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E0024-Paul\21_ETABS\"/>
    </mc:Choice>
  </mc:AlternateContent>
  <xr:revisionPtr revIDLastSave="0" documentId="13_ncr:1_{97287C4E-75E6-4FA0-A3B8-079897CD6EE9}" xr6:coauthVersionLast="46" xr6:coauthVersionMax="46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10" hidden="1">Area!$A$1:$H$17</definedName>
    <definedName name="_xlnm._FilterDatabase" localSheetId="0" hidden="1">'Assembled Point Masses'!#REF!</definedName>
    <definedName name="_xlnm._FilterDatabase" localSheetId="6" hidden="1">DL!$A$1:$I$1251</definedName>
    <definedName name="_xlnm._FilterDatabase" localSheetId="7" hidden="1">LL!$A$1:$I$1251</definedName>
    <definedName name="_xlnm._FilterDatabase" localSheetId="11" hidden="1">Mass!$A$1:$K$16</definedName>
    <definedName name="_xlnm._FilterDatabase" localSheetId="9" hidden="1">動態地震力修正!$A$1:$I$1251</definedName>
    <definedName name="_xlnm._FilterDatabase" localSheetId="8" hidden="1">靜態地震力!$A$1:$I$1251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<sst xmlns="http://schemas.openxmlformats.org/spreadsheetml/2006/main" count="19155" uniqueCount="258">
  <si>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</si>
  <si>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</si>
  <si>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</si>
  <si>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</si>
  <si>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</si>
  <si>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</si>
  <si>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</si>
  <si>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</si>
  <si>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</si>
  <si>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</si>
  <si>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</si>
  <si>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</si>
  <si>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</si>
  <si>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</si>
  <si>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</si>
  <si>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</si>
  <si>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</si>
  <si>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</si>
  <si>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</si>
  <si>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</si>
  <si>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</si>
  <si>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</si>
  <si>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</si>
  <si>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</si>
  <si>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</si>
  <si>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</si>
  <si>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</si>
  <si>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</si>
  <si>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</si>
  <si>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</si>
  <si>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</si>
  <si>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</si>
  <si>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</si>
  <si>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</si>
  <si>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</si>
  <si>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</si>
  <si>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</si>
  <si>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</si>
  <si>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</si>
  <si>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</si>
  <si>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</si>
  <si>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</si>
  <si>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</si>
  <si>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</si>
  <si>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</si>
  <si>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</si>
  <si>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</si>
  <si>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</si>
  <si>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</si>
  <si>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</si>
  <si>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</si>
  <si>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</si>
  <si>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</si>
  <si>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</si>
  <si>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</si>
  <si>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</si>
  <si>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</si>
  <si>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</si>
  <si>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</si>
  <si>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</si>
  <si>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</si>
  <si>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</si>
  <si>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</si>
  <si>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</si>
  <si>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</si>
  <si>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</si>
  <si>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</si>
  <si>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</si>
  <si>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</si>
  <si>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</si>
  <si>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</si>
  <si>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</si>
  <si>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</si>
  <si>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</si>
  <si>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</si>
  <si>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</si>
  <si>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</si>
  <si>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</si>
  <si>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</si>
  <si>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</si>
  <si>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</si>
  <si>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</si>
  <si>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</si>
  <si>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</si>
  <si>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</si>
  <si>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</si>
  <si>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</si>
  <si>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</si>
  <si>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</si>
  <si>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</si>
  <si>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</si>
  <si>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</si>
  <si>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</si>
  <si>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</si>
  <si>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</si>
  <si>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</si>
  <si>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</si>
  <si>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</si>
  <si>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</si>
  <si>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</si>
  <si>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</si>
  <si>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</si>
  <si>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</si>
  <si>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</si>
  <si>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</si>
  <si>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</si>
  <si>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</si>
  <si>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</si>
  <si>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</si>
  <si>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</si>
  <si>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</si>
  <si>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</si>
  <si>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</si>
  <si>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</si>
  <si>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</si>
  <si>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取樓層之半，且單位重會扣掉梁柱接頭的部分。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</si>
  <si>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</si>
  <si>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</si>
  <si>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</si>
  <si>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</si>
  <si>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</si>
  <si>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</si>
  <si>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</si>
  <si>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</si>
  <si>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</si>
  <si>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RF</t>
  </si>
  <si>
    <t>4F</t>
  </si>
  <si>
    <t>3F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</si>
  <si>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</si>
  <si>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</si>
  <si>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</si>
  <si>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</si>
  <si>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</si>
  <si>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</si>
  <si>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</si>
  <si>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</si>
  <si>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</si>
  <si>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</si>
  <si>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</si>
  <si>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</si>
  <si>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Floor</t>
  </si>
  <si>
    <t>SUM</t>
  </si>
  <si>
    <t>TOTAL</t>
  </si>
  <si>
    <t>Top</t>
  </si>
  <si>
    <t>LL</t>
  </si>
  <si>
    <t>WX</t>
  </si>
  <si>
    <t>WY</t>
  </si>
  <si>
    <t>WLX</t>
  </si>
  <si>
    <t>WLY</t>
  </si>
  <si>
    <t>WTX</t>
  </si>
  <si>
    <t>WTY</t>
  </si>
  <si>
    <t>EQYB</t>
  </si>
  <si>
    <t>EQX</t>
  </si>
  <si>
    <t>EQY</t>
  </si>
  <si>
    <t>FLH</t>
  </si>
  <si>
    <t>FLN</t>
  </si>
  <si>
    <t>FLL</t>
  </si>
  <si>
    <t>SPECXF MIN</t>
  </si>
  <si>
    <t>SPECYF MIN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</si>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</sst>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:K13"/>
  <sheetViews>
    <sheetView workbookViewId="0">
      <selection sqref="A1:K13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116</v>
      </c>
      <c r="C1" s="1" t="s">
        <v>17</v>
      </c>
      <c r="D1" s="1" t="s">
        <v>117</v>
      </c>
      <c r="E1" s="1" t="s">
        <v>118</v>
      </c>
      <c r="F1" s="1" t="s">
        <v>119</v>
      </c>
      <c r="G1" s="1" t="s">
        <v>120</v>
      </c>
      <c r="H1" s="1" t="s">
        <v>121</v>
      </c>
      <c r="I1" s="1" t="s">
        <v>122</v>
      </c>
      <c r="J1" s="1" t="s">
        <v>123</v>
      </c>
      <c r="K1" s="1" t="s">
        <v>124</v>
      </c>
    </row>
    <row r="2" spans="1:11" x14ac:dyDescent="0.25">
      <c r="A2" s="1" t="s">
        <v>125</v>
      </c>
      <c r="B2" s="1">
        <v>18</v>
      </c>
      <c r="C2" s="1">
        <v>23.290467</v>
      </c>
      <c r="D2" s="1">
        <v>23.290467</v>
      </c>
      <c r="E2" s="1">
        <v>0</v>
      </c>
      <c r="F2" s="1">
        <v>0</v>
      </c>
      <c r="G2" s="1">
        <v>0</v>
      </c>
      <c r="H2" s="1">
        <v>938.94630800000004</v>
      </c>
      <c r="I2" s="1">
        <v>6</v>
      </c>
      <c r="J2" s="1">
        <v>6</v>
      </c>
      <c r="K2" s="1">
        <v>15</v>
      </c>
    </row>
    <row r="3" spans="1:11" x14ac:dyDescent="0.25">
      <c r="A3" s="1" t="s">
        <v>126</v>
      </c>
      <c r="B3" s="1">
        <v>19</v>
      </c>
      <c r="C3" s="1">
        <v>24.481152000000002</v>
      </c>
      <c r="D3" s="1">
        <v>24.481152000000002</v>
      </c>
      <c r="E3" s="1">
        <v>0</v>
      </c>
      <c r="F3" s="1">
        <v>0</v>
      </c>
      <c r="G3" s="1">
        <v>0</v>
      </c>
      <c r="H3" s="1">
        <v>996.09921099999997</v>
      </c>
      <c r="I3" s="1">
        <v>6</v>
      </c>
      <c r="J3" s="1">
        <v>6</v>
      </c>
      <c r="K3" s="1">
        <v>12</v>
      </c>
    </row>
    <row r="4" spans="1:11" x14ac:dyDescent="0.25">
      <c r="A4" s="1" t="s">
        <v>127</v>
      </c>
      <c r="B4" s="1">
        <v>20</v>
      </c>
      <c r="C4" s="1">
        <v>24.481152000000002</v>
      </c>
      <c r="D4" s="1">
        <v>24.481152000000002</v>
      </c>
      <c r="E4" s="1">
        <v>0</v>
      </c>
      <c r="F4" s="1">
        <v>0</v>
      </c>
      <c r="G4" s="1">
        <v>0</v>
      </c>
      <c r="H4" s="1">
        <v>996.09921099999997</v>
      </c>
      <c r="I4" s="1">
        <v>6</v>
      </c>
      <c r="J4" s="1">
        <v>6</v>
      </c>
      <c r="K4" s="1">
        <v>9</v>
      </c>
    </row>
    <row r="5" spans="1:11" x14ac:dyDescent="0.25">
      <c r="A5" s="1" t="s">
        <v>9</v>
      </c>
      <c r="B5" s="1">
        <v>21</v>
      </c>
      <c r="C5" s="1">
        <v>24.481152000000002</v>
      </c>
      <c r="D5" s="1">
        <v>24.481152000000002</v>
      </c>
      <c r="E5" s="1">
        <v>0</v>
      </c>
      <c r="F5" s="1">
        <v>0</v>
      </c>
      <c r="G5" s="1">
        <v>0</v>
      </c>
      <c r="H5" s="1">
        <v>996.09921099999997</v>
      </c>
      <c r="I5" s="1">
        <v>6</v>
      </c>
      <c r="J5" s="1">
        <v>6</v>
      </c>
      <c r="K5" s="1">
        <v>6</v>
      </c>
    </row>
    <row r="6" spans="1:11" x14ac:dyDescent="0.25">
      <c r="A6" s="1" t="s">
        <v>10</v>
      </c>
      <c r="B6" s="1">
        <v>22</v>
      </c>
      <c r="C6" s="1">
        <v>1.190685</v>
      </c>
      <c r="D6" s="1">
        <v>1.190685</v>
      </c>
      <c r="E6" s="1">
        <v>0</v>
      </c>
      <c r="F6" s="1">
        <v>0</v>
      </c>
      <c r="G6" s="1">
        <v>0</v>
      </c>
      <c r="H6" s="1">
        <v>57.152903000000002</v>
      </c>
      <c r="I6" s="1">
        <v>6</v>
      </c>
      <c r="J6" s="1">
        <v>6</v>
      </c>
      <c r="K6" s="1">
        <v>3</v>
      </c>
    </row>
    <row r="7" spans="1:11" x14ac:dyDescent="0.25">
      <c r="A7" s="1" t="s">
        <v>125</v>
      </c>
      <c r="B7" s="1" t="s">
        <v>128</v>
      </c>
      <c r="C7" s="1">
        <v>23.290467</v>
      </c>
      <c r="D7" s="1">
        <v>23.290467</v>
      </c>
      <c r="E7" s="1">
        <v>0</v>
      </c>
      <c r="F7" s="1">
        <v>0</v>
      </c>
      <c r="G7" s="1">
        <v>0</v>
      </c>
      <c r="H7" s="1">
        <v>938.94630800000004</v>
      </c>
    </row>
    <row r="8" spans="1:11" x14ac:dyDescent="0.25">
      <c r="A8" s="1" t="s">
        <v>126</v>
      </c>
      <c r="B8" s="1" t="s">
        <v>128</v>
      </c>
      <c r="C8" s="1">
        <v>24.481152000000002</v>
      </c>
      <c r="D8" s="1">
        <v>24.481152000000002</v>
      </c>
      <c r="E8" s="1">
        <v>0</v>
      </c>
      <c r="F8" s="1">
        <v>0</v>
      </c>
      <c r="G8" s="1">
        <v>0</v>
      </c>
      <c r="H8" s="1">
        <v>996.09921099999997</v>
      </c>
    </row>
    <row r="9" spans="1:11" x14ac:dyDescent="0.25">
      <c r="A9" s="1" t="s">
        <v>127</v>
      </c>
      <c r="B9" s="1" t="s">
        <v>128</v>
      </c>
      <c r="C9" s="1">
        <v>24.481152000000002</v>
      </c>
      <c r="D9" s="1">
        <v>24.481152000000002</v>
      </c>
      <c r="E9" s="1">
        <v>0</v>
      </c>
      <c r="F9" s="1">
        <v>0</v>
      </c>
      <c r="G9" s="1">
        <v>0</v>
      </c>
      <c r="H9" s="1">
        <v>996.09921099999997</v>
      </c>
    </row>
    <row r="10" spans="1:11" x14ac:dyDescent="0.25">
      <c r="A10" s="1" t="s">
        <v>9</v>
      </c>
      <c r="B10" s="1" t="s">
        <v>128</v>
      </c>
      <c r="C10" s="1">
        <v>24.481152000000002</v>
      </c>
      <c r="D10" s="1">
        <v>24.481152000000002</v>
      </c>
      <c r="E10" s="1">
        <v>0</v>
      </c>
      <c r="F10" s="1">
        <v>0</v>
      </c>
      <c r="G10" s="1">
        <v>0</v>
      </c>
      <c r="H10" s="1">
        <v>996.09921099999997</v>
      </c>
    </row>
    <row r="11" spans="1:11" x14ac:dyDescent="0.25">
      <c r="A11" s="1" t="s">
        <v>10</v>
      </c>
      <c r="B11" s="1" t="s">
        <v>128</v>
      </c>
      <c r="C11" s="1">
        <v>1.190685</v>
      </c>
      <c r="D11" s="1">
        <v>1.190685</v>
      </c>
      <c r="E11" s="1">
        <v>0</v>
      </c>
      <c r="F11" s="1">
        <v>0</v>
      </c>
      <c r="G11" s="1">
        <v>0</v>
      </c>
      <c r="H11" s="1">
        <v>57.152903000000002</v>
      </c>
    </row>
    <row r="12" spans="1:11" x14ac:dyDescent="0.25">
      <c r="A12" s="1" t="s">
        <v>129</v>
      </c>
      <c r="B12" s="1" t="s">
        <v>128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</row>
    <row r="13" spans="1:11" x14ac:dyDescent="0.25">
      <c r="A13" s="1" t="s">
        <v>130</v>
      </c>
      <c r="B13" s="1" t="s">
        <v>128</v>
      </c>
      <c r="C13" s="1">
        <v>97.924609000000004</v>
      </c>
      <c r="D13" s="1">
        <v>97.924609000000004</v>
      </c>
      <c r="E13" s="1">
        <v>0</v>
      </c>
      <c r="F13" s="1">
        <v>0</v>
      </c>
      <c r="G13" s="1">
        <v>0</v>
      </c>
      <c r="H13" s="1">
        <v>3984.3968450000002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:H17"/>
  <sheetViews>
    <sheetView workbookViewId="0">
      <selection sqref="A1:H17"/>
    </sheetView>
  </sheetViews>
  <sheetFormatPr defaultRowHeight="16.5" x14ac:dyDescent="0.25"/>
  <sheetData>
    <row r="1" spans="1:8" x14ac:dyDescent="0.25">
      <c r="A1" t="s">
        <v>0</v>
      </c>
      <c r="B1" t="s">
        <v>131</v>
      </c>
      <c r="C1" t="s">
        <v>132</v>
      </c>
      <c r="D1" t="s">
        <v>133</v>
      </c>
      <c r="E1" t="s">
        <v>11</v>
      </c>
      <c r="F1" t="s">
        <v>134</v>
      </c>
      <c r="G1" t="s">
        <v>135</v>
      </c>
      <c r="H1" t="s">
        <v>136</v>
      </c>
    </row>
    <row r="2" spans="1:8" x14ac:dyDescent="0.25">
      <c r="A2" t="s">
        <v>125</v>
      </c>
      <c r="B2" t="s">
        <v>137</v>
      </c>
      <c r="C2" t="s">
        <v>138</v>
      </c>
      <c r="D2">
        <v>23.353000000000002</v>
      </c>
      <c r="E2">
        <v>144</v>
      </c>
      <c r="F2">
        <v>0.16220000000000001</v>
      </c>
      <c r="G2">
        <v>9</v>
      </c>
    </row>
    <row r="3" spans="1:8" x14ac:dyDescent="0.25">
      <c r="A3" t="s">
        <v>125</v>
      </c>
      <c r="B3" t="s">
        <v>139</v>
      </c>
      <c r="C3" t="s">
        <v>138</v>
      </c>
      <c r="D3">
        <v>54.491</v>
      </c>
      <c r="E3">
        <v>144</v>
      </c>
      <c r="F3">
        <v>0.37840000000000001</v>
      </c>
      <c r="G3">
        <v>12</v>
      </c>
      <c r="H3">
        <v>0</v>
      </c>
    </row>
    <row r="4" spans="1:8" x14ac:dyDescent="0.25">
      <c r="A4" t="s">
        <v>125</v>
      </c>
      <c r="B4" t="s">
        <v>140</v>
      </c>
      <c r="C4" t="s">
        <v>138</v>
      </c>
      <c r="D4">
        <v>83.034000000000006</v>
      </c>
      <c r="E4">
        <v>144</v>
      </c>
      <c r="F4">
        <v>0.5766</v>
      </c>
    </row>
    <row r="5" spans="1:8" x14ac:dyDescent="0.25">
      <c r="A5" t="s">
        <v>126</v>
      </c>
      <c r="B5" t="s">
        <v>137</v>
      </c>
      <c r="C5" t="s">
        <v>138</v>
      </c>
      <c r="D5">
        <v>23.353000000000002</v>
      </c>
      <c r="E5">
        <v>144</v>
      </c>
      <c r="F5">
        <v>0.16220000000000001</v>
      </c>
      <c r="G5">
        <v>9</v>
      </c>
    </row>
    <row r="6" spans="1:8" x14ac:dyDescent="0.25">
      <c r="A6" t="s">
        <v>126</v>
      </c>
      <c r="B6" t="s">
        <v>139</v>
      </c>
      <c r="C6" t="s">
        <v>138</v>
      </c>
      <c r="D6">
        <v>54.491</v>
      </c>
      <c r="E6">
        <v>144</v>
      </c>
      <c r="F6">
        <v>0.37840000000000001</v>
      </c>
      <c r="G6">
        <v>12</v>
      </c>
      <c r="H6">
        <v>0</v>
      </c>
    </row>
    <row r="7" spans="1:8" x14ac:dyDescent="0.25">
      <c r="A7" t="s">
        <v>126</v>
      </c>
      <c r="B7" t="s">
        <v>140</v>
      </c>
      <c r="C7" t="s">
        <v>138</v>
      </c>
      <c r="D7">
        <v>83.034000000000006</v>
      </c>
      <c r="E7">
        <v>144</v>
      </c>
      <c r="F7">
        <v>0.5766</v>
      </c>
    </row>
    <row r="8" spans="1:8" x14ac:dyDescent="0.25">
      <c r="A8" t="s">
        <v>127</v>
      </c>
      <c r="B8" t="s">
        <v>137</v>
      </c>
      <c r="C8" t="s">
        <v>138</v>
      </c>
      <c r="D8">
        <v>23.353000000000002</v>
      </c>
      <c r="E8">
        <v>144</v>
      </c>
      <c r="F8">
        <v>0.16220000000000001</v>
      </c>
      <c r="G8">
        <v>9</v>
      </c>
    </row>
    <row r="9" spans="1:8" x14ac:dyDescent="0.25">
      <c r="A9" t="s">
        <v>127</v>
      </c>
      <c r="B9" t="s">
        <v>139</v>
      </c>
      <c r="C9" t="s">
        <v>138</v>
      </c>
      <c r="D9">
        <v>54.491</v>
      </c>
      <c r="E9">
        <v>144</v>
      </c>
      <c r="F9">
        <v>0.37840000000000001</v>
      </c>
      <c r="G9">
        <v>12</v>
      </c>
      <c r="H9">
        <v>0</v>
      </c>
    </row>
    <row r="10" spans="1:8" x14ac:dyDescent="0.25">
      <c r="A10" t="s">
        <v>127</v>
      </c>
      <c r="B10" t="s">
        <v>140</v>
      </c>
      <c r="C10" t="s">
        <v>138</v>
      </c>
      <c r="D10">
        <v>83.034000000000006</v>
      </c>
      <c r="E10">
        <v>144</v>
      </c>
      <c r="F10">
        <v>0.5766</v>
      </c>
    </row>
    <row r="11" spans="1:8" x14ac:dyDescent="0.25">
      <c r="A11" t="s">
        <v>9</v>
      </c>
      <c r="B11" t="s">
        <v>137</v>
      </c>
      <c r="C11" t="s">
        <v>138</v>
      </c>
      <c r="D11">
        <v>23.353000000000002</v>
      </c>
      <c r="E11">
        <v>144</v>
      </c>
      <c r="F11">
        <v>0.16220000000000001</v>
      </c>
      <c r="G11">
        <v>9</v>
      </c>
    </row>
    <row r="12" spans="1:8" x14ac:dyDescent="0.25">
      <c r="A12" t="s">
        <v>9</v>
      </c>
      <c r="B12" t="s">
        <v>139</v>
      </c>
      <c r="C12" t="s">
        <v>138</v>
      </c>
      <c r="D12">
        <v>54.491</v>
      </c>
      <c r="E12">
        <v>144</v>
      </c>
      <c r="F12">
        <v>0.37840000000000001</v>
      </c>
      <c r="G12">
        <v>12</v>
      </c>
      <c r="H12">
        <v>0</v>
      </c>
    </row>
    <row r="13" spans="1:8" x14ac:dyDescent="0.25">
      <c r="A13" t="s">
        <v>9</v>
      </c>
      <c r="B13" t="s">
        <v>140</v>
      </c>
      <c r="C13" t="s">
        <v>138</v>
      </c>
      <c r="D13">
        <v>83.034000000000006</v>
      </c>
      <c r="E13">
        <v>144</v>
      </c>
      <c r="F13">
        <v>0.5766</v>
      </c>
    </row>
    <row r="14" spans="1:8" x14ac:dyDescent="0.25">
      <c r="A14" t="s">
        <v>141</v>
      </c>
      <c r="B14" t="s">
        <v>137</v>
      </c>
      <c r="C14" t="s">
        <v>138</v>
      </c>
      <c r="D14">
        <v>93.412999999999997</v>
      </c>
      <c r="E14">
        <v>576</v>
      </c>
      <c r="F14">
        <v>0.16220000000000001</v>
      </c>
      <c r="G14">
        <v>36</v>
      </c>
    </row>
    <row r="15" spans="1:8" x14ac:dyDescent="0.25">
      <c r="A15" t="s">
        <v>141</v>
      </c>
      <c r="B15" t="s">
        <v>139</v>
      </c>
      <c r="C15" t="s">
        <v>138</v>
      </c>
      <c r="D15">
        <v>217.964</v>
      </c>
      <c r="E15">
        <v>576</v>
      </c>
      <c r="F15">
        <v>0.37840000000000001</v>
      </c>
      <c r="G15">
        <v>48</v>
      </c>
      <c r="H15">
        <v>0</v>
      </c>
    </row>
    <row r="16" spans="1:8" x14ac:dyDescent="0.25">
      <c r="A16" t="s">
        <v>141</v>
      </c>
      <c r="B16" t="s">
        <v>140</v>
      </c>
      <c r="C16" t="s">
        <v>138</v>
      </c>
      <c r="D16">
        <v>332.13499999999999</v>
      </c>
      <c r="E16">
        <v>576</v>
      </c>
      <c r="F16">
        <v>0.5766</v>
      </c>
    </row>
    <row r="17" spans="1:8" x14ac:dyDescent="0.25">
      <c r="A17" t="s">
        <v>142</v>
      </c>
      <c r="B17" t="s">
        <v>128</v>
      </c>
      <c r="C17" t="s">
        <v>128</v>
      </c>
      <c r="D17">
        <v>643.51199999999994</v>
      </c>
      <c r="E17">
        <v>576</v>
      </c>
      <c r="F17">
        <v>1.1172</v>
      </c>
      <c r="G17">
        <v>84</v>
      </c>
      <c r="H17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:I1251"/>
  <sheetViews>
    <sheetView workbookViewId="0">
      <selection sqref="A1:I1251"/>
    </sheetView>
  </sheetViews>
  <sheetFormatPr defaultRowHeight="16.5" x14ac:dyDescent="0.25"/>
  <sheetData>
    <row r="1" spans="1:9" x14ac:dyDescent="0.25">
      <c r="A1" t="s">
        <v>0</v>
      </c>
      <c r="B1" t="s">
        <v>100</v>
      </c>
      <c r="C1" t="s">
        <v>101</v>
      </c>
      <c r="D1" t="s">
        <v>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</row>
    <row r="2" spans="1:9" x14ac:dyDescent="0.25">
      <c r="A2" t="s">
        <v>125</v>
      </c>
      <c r="B2" t="s">
        <v>2</v>
      </c>
      <c r="C2" t="s">
        <v>143</v>
      </c>
      <c r="D2">
        <v>222.78</v>
      </c>
      <c r="E2">
        <v>0</v>
      </c>
      <c r="F2">
        <v>0</v>
      </c>
      <c r="G2">
        <v>0</v>
      </c>
      <c r="H2">
        <v>1336.6759999999999</v>
      </c>
      <c r="I2">
        <v>-1336.6759999999999</v>
      </c>
    </row>
    <row r="3" spans="1:9" x14ac:dyDescent="0.25">
      <c r="A3" t="s">
        <v>125</v>
      </c>
      <c r="B3" t="s">
        <v>2</v>
      </c>
      <c r="C3" t="s">
        <v>3</v>
      </c>
      <c r="D3">
        <v>246.13</v>
      </c>
      <c r="E3">
        <v>0</v>
      </c>
      <c r="F3">
        <v>0</v>
      </c>
      <c r="G3">
        <v>0</v>
      </c>
      <c r="H3">
        <v>1476.796</v>
      </c>
      <c r="I3">
        <v>-1476.796</v>
      </c>
    </row>
    <row r="4" spans="1:9" x14ac:dyDescent="0.25">
      <c r="A4" t="s">
        <v>125</v>
      </c>
      <c r="B4" t="s">
        <v>144</v>
      </c>
      <c r="C4" t="s">
        <v>143</v>
      </c>
      <c r="D4">
        <v>43.2</v>
      </c>
      <c r="E4">
        <v>0</v>
      </c>
      <c r="F4">
        <v>0</v>
      </c>
      <c r="G4">
        <v>0</v>
      </c>
      <c r="H4">
        <v>259.2</v>
      </c>
      <c r="I4">
        <v>-259.2</v>
      </c>
    </row>
    <row r="5" spans="1:9" x14ac:dyDescent="0.25">
      <c r="A5" t="s">
        <v>125</v>
      </c>
      <c r="B5" t="s">
        <v>144</v>
      </c>
      <c r="C5" t="s">
        <v>3</v>
      </c>
      <c r="D5">
        <v>43.2</v>
      </c>
      <c r="E5">
        <v>0</v>
      </c>
      <c r="F5">
        <v>0</v>
      </c>
      <c r="G5">
        <v>0</v>
      </c>
      <c r="H5">
        <v>259.2</v>
      </c>
      <c r="I5">
        <v>-259.2</v>
      </c>
    </row>
    <row r="6" spans="1:9" x14ac:dyDescent="0.25">
      <c r="A6" t="s">
        <v>125</v>
      </c>
      <c r="B6" t="s">
        <v>12</v>
      </c>
      <c r="C6" t="s">
        <v>143</v>
      </c>
      <c r="D6">
        <v>0</v>
      </c>
      <c r="E6">
        <v>-99.4</v>
      </c>
      <c r="F6">
        <v>0</v>
      </c>
      <c r="G6">
        <v>656.06299999999999</v>
      </c>
      <c r="H6">
        <v>0</v>
      </c>
      <c r="I6">
        <v>0</v>
      </c>
    </row>
    <row r="7" spans="1:9" x14ac:dyDescent="0.25">
      <c r="A7" t="s">
        <v>125</v>
      </c>
      <c r="B7" t="s">
        <v>12</v>
      </c>
      <c r="C7" t="s">
        <v>3</v>
      </c>
      <c r="D7">
        <v>0</v>
      </c>
      <c r="E7">
        <v>-99.4</v>
      </c>
      <c r="F7">
        <v>0</v>
      </c>
      <c r="G7">
        <v>656.06299999999999</v>
      </c>
      <c r="H7">
        <v>0</v>
      </c>
      <c r="I7">
        <v>-299.06700000000001</v>
      </c>
    </row>
    <row r="8" spans="1:9" x14ac:dyDescent="0.25">
      <c r="A8" t="s">
        <v>125</v>
      </c>
      <c r="B8" t="s">
        <v>13</v>
      </c>
      <c r="C8" t="s">
        <v>143</v>
      </c>
      <c r="D8">
        <v>0</v>
      </c>
      <c r="E8">
        <v>-99.4</v>
      </c>
      <c r="F8">
        <v>0</v>
      </c>
      <c r="G8">
        <v>536.779</v>
      </c>
      <c r="H8">
        <v>0</v>
      </c>
      <c r="I8">
        <v>0</v>
      </c>
    </row>
    <row r="9" spans="1:9" x14ac:dyDescent="0.25">
      <c r="A9" t="s">
        <v>125</v>
      </c>
      <c r="B9" t="s">
        <v>13</v>
      </c>
      <c r="C9" t="s">
        <v>3</v>
      </c>
      <c r="D9">
        <v>0</v>
      </c>
      <c r="E9">
        <v>-99.4</v>
      </c>
      <c r="F9">
        <v>0</v>
      </c>
      <c r="G9">
        <v>536.779</v>
      </c>
      <c r="H9">
        <v>0</v>
      </c>
      <c r="I9">
        <v>-299.06700000000001</v>
      </c>
    </row>
    <row r="10" spans="1:9" x14ac:dyDescent="0.25">
      <c r="A10" t="s">
        <v>125</v>
      </c>
      <c r="B10" t="s">
        <v>14</v>
      </c>
      <c r="C10" t="s">
        <v>143</v>
      </c>
      <c r="D10">
        <v>0</v>
      </c>
      <c r="E10">
        <v>0</v>
      </c>
      <c r="F10">
        <v>-99.4</v>
      </c>
      <c r="G10">
        <v>-656.06299999999999</v>
      </c>
      <c r="H10">
        <v>0</v>
      </c>
      <c r="I10">
        <v>0</v>
      </c>
    </row>
    <row r="11" spans="1:9" x14ac:dyDescent="0.25">
      <c r="A11" t="s">
        <v>125</v>
      </c>
      <c r="B11" t="s">
        <v>14</v>
      </c>
      <c r="C11" t="s">
        <v>3</v>
      </c>
      <c r="D11">
        <v>0</v>
      </c>
      <c r="E11">
        <v>0</v>
      </c>
      <c r="F11">
        <v>-99.4</v>
      </c>
      <c r="G11">
        <v>-656.06299999999999</v>
      </c>
      <c r="H11">
        <v>299.06700000000001</v>
      </c>
      <c r="I11">
        <v>0</v>
      </c>
    </row>
    <row r="12" spans="1:9" x14ac:dyDescent="0.25">
      <c r="A12" t="s">
        <v>125</v>
      </c>
      <c r="B12" t="s">
        <v>15</v>
      </c>
      <c r="C12" t="s">
        <v>143</v>
      </c>
      <c r="D12">
        <v>0</v>
      </c>
      <c r="E12">
        <v>0</v>
      </c>
      <c r="F12">
        <v>-99.4</v>
      </c>
      <c r="G12">
        <v>-536.779</v>
      </c>
      <c r="H12">
        <v>0</v>
      </c>
      <c r="I12">
        <v>0</v>
      </c>
    </row>
    <row r="13" spans="1:9" x14ac:dyDescent="0.25">
      <c r="A13" t="s">
        <v>125</v>
      </c>
      <c r="B13" t="s">
        <v>15</v>
      </c>
      <c r="C13" t="s">
        <v>3</v>
      </c>
      <c r="D13">
        <v>0</v>
      </c>
      <c r="E13">
        <v>0</v>
      </c>
      <c r="F13">
        <v>-99.4</v>
      </c>
      <c r="G13">
        <v>-536.779</v>
      </c>
      <c r="H13">
        <v>299.06700000000001</v>
      </c>
      <c r="I13">
        <v>0</v>
      </c>
    </row>
    <row r="14" spans="1:9" x14ac:dyDescent="0.25">
      <c r="A14" t="s">
        <v>125</v>
      </c>
      <c r="B14" t="s">
        <v>145</v>
      </c>
      <c r="C14" t="s">
        <v>143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125</v>
      </c>
      <c r="B15" t="s">
        <v>145</v>
      </c>
      <c r="C15" t="s">
        <v>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125</v>
      </c>
      <c r="B16" t="s">
        <v>146</v>
      </c>
      <c r="C16" t="s">
        <v>143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125</v>
      </c>
      <c r="B17" t="s">
        <v>146</v>
      </c>
      <c r="C17" t="s">
        <v>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125</v>
      </c>
      <c r="B18" t="s">
        <v>147</v>
      </c>
      <c r="C18" t="s">
        <v>143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125</v>
      </c>
      <c r="B19" t="s">
        <v>147</v>
      </c>
      <c r="C19" t="s">
        <v>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125</v>
      </c>
      <c r="B20" t="s">
        <v>148</v>
      </c>
      <c r="C20" t="s">
        <v>143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125</v>
      </c>
      <c r="B21" t="s">
        <v>148</v>
      </c>
      <c r="C21" t="s">
        <v>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125</v>
      </c>
      <c r="B22" t="s">
        <v>149</v>
      </c>
      <c r="C22" t="s">
        <v>143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125</v>
      </c>
      <c r="B23" t="s">
        <v>149</v>
      </c>
      <c r="C23" t="s">
        <v>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125</v>
      </c>
      <c r="B24" t="s">
        <v>150</v>
      </c>
      <c r="C24" t="s">
        <v>143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125</v>
      </c>
      <c r="B25" t="s">
        <v>150</v>
      </c>
      <c r="C25" t="s">
        <v>3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125</v>
      </c>
      <c r="B26" t="s">
        <v>16</v>
      </c>
      <c r="C26" t="s">
        <v>143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125</v>
      </c>
      <c r="B27" t="s">
        <v>16</v>
      </c>
      <c r="C27" t="s">
        <v>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125</v>
      </c>
      <c r="B28" t="s">
        <v>151</v>
      </c>
      <c r="C28" t="s">
        <v>143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125</v>
      </c>
      <c r="B29" t="s">
        <v>151</v>
      </c>
      <c r="C29" t="s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125</v>
      </c>
      <c r="B30" t="s">
        <v>152</v>
      </c>
      <c r="C30" t="s">
        <v>143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125</v>
      </c>
      <c r="B31" t="s">
        <v>152</v>
      </c>
      <c r="C31" t="s">
        <v>3</v>
      </c>
      <c r="D31">
        <v>0</v>
      </c>
      <c r="E31">
        <v>0</v>
      </c>
      <c r="F31">
        <v>0</v>
      </c>
      <c r="G31">
        <v>0</v>
      </c>
      <c r="H31">
        <v>0</v>
      </c>
      <c r="I31">
        <v>-7.1999999999999995E-2</v>
      </c>
    </row>
    <row r="32" spans="1:9" x14ac:dyDescent="0.25">
      <c r="A32" t="s">
        <v>125</v>
      </c>
      <c r="B32" t="s">
        <v>153</v>
      </c>
      <c r="C32" t="s">
        <v>143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125</v>
      </c>
      <c r="B33" t="s">
        <v>153</v>
      </c>
      <c r="C33" t="s">
        <v>3</v>
      </c>
      <c r="D33">
        <v>0</v>
      </c>
      <c r="E33">
        <v>0</v>
      </c>
      <c r="F33">
        <v>0</v>
      </c>
      <c r="G33">
        <v>0</v>
      </c>
      <c r="H33">
        <v>7.1999999999999995E-2</v>
      </c>
      <c r="I33">
        <v>0</v>
      </c>
    </row>
    <row r="34" spans="1:9" x14ac:dyDescent="0.25">
      <c r="A34" t="s">
        <v>125</v>
      </c>
      <c r="B34" t="s">
        <v>154</v>
      </c>
      <c r="C34" t="s">
        <v>143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25">
      <c r="A35" t="s">
        <v>125</v>
      </c>
      <c r="B35" t="s">
        <v>154</v>
      </c>
      <c r="C35" t="s">
        <v>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25">
      <c r="A36" t="s">
        <v>125</v>
      </c>
      <c r="B36" t="s">
        <v>155</v>
      </c>
      <c r="C36" t="s">
        <v>143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125</v>
      </c>
      <c r="B37" t="s">
        <v>155</v>
      </c>
      <c r="C37" t="s">
        <v>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25">
      <c r="A38" t="s">
        <v>125</v>
      </c>
      <c r="B38" t="s">
        <v>156</v>
      </c>
      <c r="C38" t="s">
        <v>143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5">
      <c r="A39" t="s">
        <v>125</v>
      </c>
      <c r="B39" t="s">
        <v>156</v>
      </c>
      <c r="C39" t="s">
        <v>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5">
      <c r="A40" t="s">
        <v>125</v>
      </c>
      <c r="B40" t="s">
        <v>4</v>
      </c>
      <c r="C40" t="s">
        <v>143</v>
      </c>
      <c r="D40">
        <v>0</v>
      </c>
      <c r="E40">
        <v>75.78</v>
      </c>
      <c r="F40">
        <v>0</v>
      </c>
      <c r="G40">
        <v>500.13099999999997</v>
      </c>
      <c r="H40">
        <v>0</v>
      </c>
      <c r="I40">
        <v>0</v>
      </c>
    </row>
    <row r="41" spans="1:9" x14ac:dyDescent="0.25">
      <c r="A41" t="s">
        <v>125</v>
      </c>
      <c r="B41" t="s">
        <v>4</v>
      </c>
      <c r="C41" t="s">
        <v>3</v>
      </c>
      <c r="D41">
        <v>0</v>
      </c>
      <c r="E41">
        <v>75.78</v>
      </c>
      <c r="F41">
        <v>0</v>
      </c>
      <c r="G41">
        <v>500.13099999999997</v>
      </c>
      <c r="H41">
        <v>0</v>
      </c>
      <c r="I41">
        <v>228.00800000000001</v>
      </c>
    </row>
    <row r="42" spans="1:9" x14ac:dyDescent="0.25">
      <c r="A42" t="s">
        <v>125</v>
      </c>
      <c r="B42" t="s">
        <v>5</v>
      </c>
      <c r="C42" t="s">
        <v>143</v>
      </c>
      <c r="D42">
        <v>0</v>
      </c>
      <c r="E42">
        <v>0</v>
      </c>
      <c r="F42">
        <v>75.78</v>
      </c>
      <c r="G42">
        <v>500.13099999999997</v>
      </c>
      <c r="H42">
        <v>0</v>
      </c>
      <c r="I42">
        <v>0</v>
      </c>
    </row>
    <row r="43" spans="1:9" x14ac:dyDescent="0.25">
      <c r="A43" t="s">
        <v>125</v>
      </c>
      <c r="B43" t="s">
        <v>5</v>
      </c>
      <c r="C43" t="s">
        <v>3</v>
      </c>
      <c r="D43">
        <v>0</v>
      </c>
      <c r="E43">
        <v>0</v>
      </c>
      <c r="F43">
        <v>75.78</v>
      </c>
      <c r="G43">
        <v>500.13099999999997</v>
      </c>
      <c r="H43">
        <v>228.00800000000001</v>
      </c>
      <c r="I43">
        <v>0</v>
      </c>
    </row>
    <row r="44" spans="1:9" x14ac:dyDescent="0.25">
      <c r="A44" t="s">
        <v>125</v>
      </c>
      <c r="B44" t="s">
        <v>6</v>
      </c>
      <c r="C44" t="s">
        <v>143</v>
      </c>
      <c r="D44">
        <v>33.42</v>
      </c>
      <c r="E44">
        <v>0</v>
      </c>
      <c r="F44">
        <v>0</v>
      </c>
      <c r="G44">
        <v>0</v>
      </c>
      <c r="H44">
        <v>200.501</v>
      </c>
      <c r="I44">
        <v>-200.501</v>
      </c>
    </row>
    <row r="45" spans="1:9" x14ac:dyDescent="0.25">
      <c r="A45" t="s">
        <v>125</v>
      </c>
      <c r="B45" t="s">
        <v>6</v>
      </c>
      <c r="C45" t="s">
        <v>3</v>
      </c>
      <c r="D45">
        <v>36.92</v>
      </c>
      <c r="E45">
        <v>0</v>
      </c>
      <c r="F45">
        <v>0</v>
      </c>
      <c r="G45">
        <v>0</v>
      </c>
      <c r="H45">
        <v>221.51900000000001</v>
      </c>
      <c r="I45">
        <v>-221.51900000000001</v>
      </c>
    </row>
    <row r="46" spans="1:9" x14ac:dyDescent="0.25">
      <c r="A46" t="s">
        <v>125</v>
      </c>
      <c r="B46" t="s">
        <v>7</v>
      </c>
      <c r="C46" t="s">
        <v>143</v>
      </c>
      <c r="D46">
        <v>0</v>
      </c>
      <c r="E46">
        <v>90.93</v>
      </c>
      <c r="F46">
        <v>0</v>
      </c>
      <c r="G46">
        <v>600.15700000000004</v>
      </c>
      <c r="H46">
        <v>0</v>
      </c>
      <c r="I46">
        <v>0</v>
      </c>
    </row>
    <row r="47" spans="1:9" x14ac:dyDescent="0.25">
      <c r="A47" t="s">
        <v>125</v>
      </c>
      <c r="B47" t="s">
        <v>7</v>
      </c>
      <c r="C47" t="s">
        <v>3</v>
      </c>
      <c r="D47">
        <v>0</v>
      </c>
      <c r="E47">
        <v>90.93</v>
      </c>
      <c r="F47">
        <v>0</v>
      </c>
      <c r="G47">
        <v>600.15700000000004</v>
      </c>
      <c r="H47">
        <v>0</v>
      </c>
      <c r="I47">
        <v>273.61</v>
      </c>
    </row>
    <row r="48" spans="1:9" x14ac:dyDescent="0.25">
      <c r="A48" t="s">
        <v>125</v>
      </c>
      <c r="B48" t="s">
        <v>157</v>
      </c>
      <c r="C48" t="s">
        <v>143</v>
      </c>
      <c r="D48">
        <v>0</v>
      </c>
      <c r="E48">
        <v>-90.93</v>
      </c>
      <c r="F48">
        <v>0</v>
      </c>
      <c r="G48">
        <v>-600.15700000000004</v>
      </c>
      <c r="H48">
        <v>0</v>
      </c>
      <c r="I48">
        <v>0</v>
      </c>
    </row>
    <row r="49" spans="1:9" x14ac:dyDescent="0.25">
      <c r="A49" t="s">
        <v>125</v>
      </c>
      <c r="B49" t="s">
        <v>157</v>
      </c>
      <c r="C49" t="s">
        <v>3</v>
      </c>
      <c r="D49">
        <v>0</v>
      </c>
      <c r="E49">
        <v>-90.93</v>
      </c>
      <c r="F49">
        <v>0</v>
      </c>
      <c r="G49">
        <v>-600.15700000000004</v>
      </c>
      <c r="H49">
        <v>0</v>
      </c>
      <c r="I49">
        <v>-273.61</v>
      </c>
    </row>
    <row r="50" spans="1:9" x14ac:dyDescent="0.25">
      <c r="A50" t="s">
        <v>125</v>
      </c>
      <c r="B50" t="s">
        <v>8</v>
      </c>
      <c r="C50" t="s">
        <v>143</v>
      </c>
      <c r="D50">
        <v>0</v>
      </c>
      <c r="E50">
        <v>0</v>
      </c>
      <c r="F50">
        <v>83.36</v>
      </c>
      <c r="G50">
        <v>550.14400000000001</v>
      </c>
      <c r="H50">
        <v>0</v>
      </c>
      <c r="I50">
        <v>0</v>
      </c>
    </row>
    <row r="51" spans="1:9" x14ac:dyDescent="0.25">
      <c r="A51" t="s">
        <v>125</v>
      </c>
      <c r="B51" t="s">
        <v>8</v>
      </c>
      <c r="C51" t="s">
        <v>3</v>
      </c>
      <c r="D51">
        <v>0</v>
      </c>
      <c r="E51">
        <v>0</v>
      </c>
      <c r="F51">
        <v>83.36</v>
      </c>
      <c r="G51">
        <v>550.14400000000001</v>
      </c>
      <c r="H51">
        <v>250.809</v>
      </c>
      <c r="I51">
        <v>0</v>
      </c>
    </row>
    <row r="52" spans="1:9" x14ac:dyDescent="0.25">
      <c r="A52" t="s">
        <v>125</v>
      </c>
      <c r="B52" t="s">
        <v>158</v>
      </c>
      <c r="C52" t="s">
        <v>143</v>
      </c>
      <c r="D52">
        <v>0</v>
      </c>
      <c r="E52">
        <v>0</v>
      </c>
      <c r="F52">
        <v>-83.36</v>
      </c>
      <c r="G52">
        <v>-550.14400000000001</v>
      </c>
      <c r="H52">
        <v>0</v>
      </c>
      <c r="I52">
        <v>0</v>
      </c>
    </row>
    <row r="53" spans="1:9" x14ac:dyDescent="0.25">
      <c r="A53" t="s">
        <v>125</v>
      </c>
      <c r="B53" t="s">
        <v>158</v>
      </c>
      <c r="C53" t="s">
        <v>3</v>
      </c>
      <c r="D53">
        <v>0</v>
      </c>
      <c r="E53">
        <v>0</v>
      </c>
      <c r="F53">
        <v>-83.36</v>
      </c>
      <c r="G53">
        <v>-550.14400000000001</v>
      </c>
      <c r="H53">
        <v>-250.809</v>
      </c>
      <c r="I53">
        <v>0</v>
      </c>
    </row>
    <row r="54" spans="1:9" x14ac:dyDescent="0.25">
      <c r="A54" t="s">
        <v>125</v>
      </c>
      <c r="B54" t="s">
        <v>159</v>
      </c>
      <c r="C54" t="s">
        <v>143</v>
      </c>
      <c r="D54">
        <v>311.89</v>
      </c>
      <c r="E54">
        <v>0</v>
      </c>
      <c r="F54">
        <v>0</v>
      </c>
      <c r="G54">
        <v>0</v>
      </c>
      <c r="H54">
        <v>1871.347</v>
      </c>
      <c r="I54">
        <v>-1871.347</v>
      </c>
    </row>
    <row r="55" spans="1:9" x14ac:dyDescent="0.25">
      <c r="A55" t="s">
        <v>125</v>
      </c>
      <c r="B55" t="s">
        <v>159</v>
      </c>
      <c r="C55" t="s">
        <v>3</v>
      </c>
      <c r="D55">
        <v>344.59</v>
      </c>
      <c r="E55">
        <v>0</v>
      </c>
      <c r="F55">
        <v>0</v>
      </c>
      <c r="G55">
        <v>0</v>
      </c>
      <c r="H55">
        <v>2067.5140000000001</v>
      </c>
      <c r="I55">
        <v>-2067.5140000000001</v>
      </c>
    </row>
    <row r="56" spans="1:9" x14ac:dyDescent="0.25">
      <c r="A56" t="s">
        <v>125</v>
      </c>
      <c r="B56" t="s">
        <v>160</v>
      </c>
      <c r="C56" t="s">
        <v>143</v>
      </c>
      <c r="D56">
        <v>336.46</v>
      </c>
      <c r="E56">
        <v>0</v>
      </c>
      <c r="F56">
        <v>0</v>
      </c>
      <c r="G56">
        <v>0</v>
      </c>
      <c r="H56">
        <v>2018.732</v>
      </c>
      <c r="I56">
        <v>-2018.732</v>
      </c>
    </row>
    <row r="57" spans="1:9" x14ac:dyDescent="0.25">
      <c r="A57" t="s">
        <v>125</v>
      </c>
      <c r="B57" t="s">
        <v>160</v>
      </c>
      <c r="C57" t="s">
        <v>3</v>
      </c>
      <c r="D57">
        <v>364.48</v>
      </c>
      <c r="E57">
        <v>0</v>
      </c>
      <c r="F57">
        <v>0</v>
      </c>
      <c r="G57">
        <v>0</v>
      </c>
      <c r="H57">
        <v>2186.875</v>
      </c>
      <c r="I57">
        <v>-2186.875</v>
      </c>
    </row>
    <row r="58" spans="1:9" x14ac:dyDescent="0.25">
      <c r="A58" t="s">
        <v>125</v>
      </c>
      <c r="B58" t="s">
        <v>161</v>
      </c>
      <c r="C58" t="s">
        <v>143</v>
      </c>
      <c r="D58">
        <v>288.94</v>
      </c>
      <c r="E58">
        <v>0</v>
      </c>
      <c r="F58">
        <v>0</v>
      </c>
      <c r="G58">
        <v>0</v>
      </c>
      <c r="H58">
        <v>1733.6120000000001</v>
      </c>
      <c r="I58">
        <v>-1733.6120000000001</v>
      </c>
    </row>
    <row r="59" spans="1:9" x14ac:dyDescent="0.25">
      <c r="A59" t="s">
        <v>125</v>
      </c>
      <c r="B59" t="s">
        <v>161</v>
      </c>
      <c r="C59" t="s">
        <v>3</v>
      </c>
      <c r="D59">
        <v>316.95999999999998</v>
      </c>
      <c r="E59">
        <v>0</v>
      </c>
      <c r="F59">
        <v>0</v>
      </c>
      <c r="G59">
        <v>0</v>
      </c>
      <c r="H59">
        <v>1901.7550000000001</v>
      </c>
      <c r="I59">
        <v>-1901.7550000000001</v>
      </c>
    </row>
    <row r="60" spans="1:9" x14ac:dyDescent="0.25">
      <c r="A60" t="s">
        <v>125</v>
      </c>
      <c r="B60" t="s">
        <v>162</v>
      </c>
      <c r="C60" t="s">
        <v>143</v>
      </c>
      <c r="D60">
        <v>298.95999999999998</v>
      </c>
      <c r="E60">
        <v>-99.4</v>
      </c>
      <c r="F60">
        <v>0</v>
      </c>
      <c r="G60">
        <v>656.06299999999999</v>
      </c>
      <c r="H60">
        <v>1793.7619999999999</v>
      </c>
      <c r="I60">
        <v>-1793.7619999999999</v>
      </c>
    </row>
    <row r="61" spans="1:9" x14ac:dyDescent="0.25">
      <c r="A61" t="s">
        <v>125</v>
      </c>
      <c r="B61" t="s">
        <v>162</v>
      </c>
      <c r="C61" t="s">
        <v>3</v>
      </c>
      <c r="D61">
        <v>328.04</v>
      </c>
      <c r="E61">
        <v>-99.4</v>
      </c>
      <c r="F61">
        <v>0</v>
      </c>
      <c r="G61">
        <v>656.06299999999999</v>
      </c>
      <c r="H61">
        <v>1968.211</v>
      </c>
      <c r="I61">
        <v>-2267.277</v>
      </c>
    </row>
    <row r="62" spans="1:9" x14ac:dyDescent="0.25">
      <c r="A62" t="s">
        <v>125</v>
      </c>
      <c r="B62" t="s">
        <v>163</v>
      </c>
      <c r="C62" t="s">
        <v>143</v>
      </c>
      <c r="D62">
        <v>298.95999999999998</v>
      </c>
      <c r="E62">
        <v>-99.4</v>
      </c>
      <c r="F62">
        <v>0</v>
      </c>
      <c r="G62">
        <v>536.779</v>
      </c>
      <c r="H62">
        <v>1793.7619999999999</v>
      </c>
      <c r="I62">
        <v>-1793.7619999999999</v>
      </c>
    </row>
    <row r="63" spans="1:9" x14ac:dyDescent="0.25">
      <c r="A63" t="s">
        <v>125</v>
      </c>
      <c r="B63" t="s">
        <v>163</v>
      </c>
      <c r="C63" t="s">
        <v>3</v>
      </c>
      <c r="D63">
        <v>328.04</v>
      </c>
      <c r="E63">
        <v>-99.4</v>
      </c>
      <c r="F63">
        <v>0</v>
      </c>
      <c r="G63">
        <v>536.779</v>
      </c>
      <c r="H63">
        <v>1968.211</v>
      </c>
      <c r="I63">
        <v>-2267.277</v>
      </c>
    </row>
    <row r="64" spans="1:9" x14ac:dyDescent="0.25">
      <c r="A64" t="s">
        <v>125</v>
      </c>
      <c r="B64" t="s">
        <v>164</v>
      </c>
      <c r="C64" t="s">
        <v>143</v>
      </c>
      <c r="D64">
        <v>298.95999999999998</v>
      </c>
      <c r="E64">
        <v>99.4</v>
      </c>
      <c r="F64">
        <v>0</v>
      </c>
      <c r="G64">
        <v>-656.06299999999999</v>
      </c>
      <c r="H64">
        <v>1793.7619999999999</v>
      </c>
      <c r="I64">
        <v>-1793.7619999999999</v>
      </c>
    </row>
    <row r="65" spans="1:9" x14ac:dyDescent="0.25">
      <c r="A65" t="s">
        <v>125</v>
      </c>
      <c r="B65" t="s">
        <v>164</v>
      </c>
      <c r="C65" t="s">
        <v>3</v>
      </c>
      <c r="D65">
        <v>328.04</v>
      </c>
      <c r="E65">
        <v>99.4</v>
      </c>
      <c r="F65">
        <v>0</v>
      </c>
      <c r="G65">
        <v>-656.06299999999999</v>
      </c>
      <c r="H65">
        <v>1968.211</v>
      </c>
      <c r="I65">
        <v>-1669.144</v>
      </c>
    </row>
    <row r="66" spans="1:9" x14ac:dyDescent="0.25">
      <c r="A66" t="s">
        <v>125</v>
      </c>
      <c r="B66" t="s">
        <v>165</v>
      </c>
      <c r="C66" t="s">
        <v>143</v>
      </c>
      <c r="D66">
        <v>298.95999999999998</v>
      </c>
      <c r="E66">
        <v>99.4</v>
      </c>
      <c r="F66">
        <v>0</v>
      </c>
      <c r="G66">
        <v>-536.779</v>
      </c>
      <c r="H66">
        <v>1793.7619999999999</v>
      </c>
      <c r="I66">
        <v>-1793.7619999999999</v>
      </c>
    </row>
    <row r="67" spans="1:9" x14ac:dyDescent="0.25">
      <c r="A67" t="s">
        <v>125</v>
      </c>
      <c r="B67" t="s">
        <v>165</v>
      </c>
      <c r="C67" t="s">
        <v>3</v>
      </c>
      <c r="D67">
        <v>328.04</v>
      </c>
      <c r="E67">
        <v>99.4</v>
      </c>
      <c r="F67">
        <v>0</v>
      </c>
      <c r="G67">
        <v>-536.779</v>
      </c>
      <c r="H67">
        <v>1968.211</v>
      </c>
      <c r="I67">
        <v>-1669.144</v>
      </c>
    </row>
    <row r="68" spans="1:9" x14ac:dyDescent="0.25">
      <c r="A68" t="s">
        <v>125</v>
      </c>
      <c r="B68" t="s">
        <v>166</v>
      </c>
      <c r="C68" t="s">
        <v>143</v>
      </c>
      <c r="D68">
        <v>298.95999999999998</v>
      </c>
      <c r="E68">
        <v>0</v>
      </c>
      <c r="F68">
        <v>-99.4</v>
      </c>
      <c r="G68">
        <v>-656.06299999999999</v>
      </c>
      <c r="H68">
        <v>1793.7619999999999</v>
      </c>
      <c r="I68">
        <v>-1793.7619999999999</v>
      </c>
    </row>
    <row r="69" spans="1:9" x14ac:dyDescent="0.25">
      <c r="A69" t="s">
        <v>125</v>
      </c>
      <c r="B69" t="s">
        <v>166</v>
      </c>
      <c r="C69" t="s">
        <v>3</v>
      </c>
      <c r="D69">
        <v>328.04</v>
      </c>
      <c r="E69">
        <v>0</v>
      </c>
      <c r="F69">
        <v>-99.4</v>
      </c>
      <c r="G69">
        <v>-656.06299999999999</v>
      </c>
      <c r="H69">
        <v>2267.277</v>
      </c>
      <c r="I69">
        <v>-1968.211</v>
      </c>
    </row>
    <row r="70" spans="1:9" x14ac:dyDescent="0.25">
      <c r="A70" t="s">
        <v>125</v>
      </c>
      <c r="B70" t="s">
        <v>167</v>
      </c>
      <c r="C70" t="s">
        <v>143</v>
      </c>
      <c r="D70">
        <v>298.95999999999998</v>
      </c>
      <c r="E70">
        <v>0</v>
      </c>
      <c r="F70">
        <v>-99.4</v>
      </c>
      <c r="G70">
        <v>-536.779</v>
      </c>
      <c r="H70">
        <v>1793.7619999999999</v>
      </c>
      <c r="I70">
        <v>-1793.7619999999999</v>
      </c>
    </row>
    <row r="71" spans="1:9" x14ac:dyDescent="0.25">
      <c r="A71" t="s">
        <v>125</v>
      </c>
      <c r="B71" t="s">
        <v>167</v>
      </c>
      <c r="C71" t="s">
        <v>3</v>
      </c>
      <c r="D71">
        <v>328.04</v>
      </c>
      <c r="E71">
        <v>0</v>
      </c>
      <c r="F71">
        <v>-99.4</v>
      </c>
      <c r="G71">
        <v>-536.779</v>
      </c>
      <c r="H71">
        <v>2267.277</v>
      </c>
      <c r="I71">
        <v>-1968.211</v>
      </c>
    </row>
    <row r="72" spans="1:9" x14ac:dyDescent="0.25">
      <c r="A72" t="s">
        <v>125</v>
      </c>
      <c r="B72" t="s">
        <v>168</v>
      </c>
      <c r="C72" t="s">
        <v>143</v>
      </c>
      <c r="D72">
        <v>298.95999999999998</v>
      </c>
      <c r="E72">
        <v>0</v>
      </c>
      <c r="F72">
        <v>99.4</v>
      </c>
      <c r="G72">
        <v>656.06299999999999</v>
      </c>
      <c r="H72">
        <v>1793.7619999999999</v>
      </c>
      <c r="I72">
        <v>-1793.7619999999999</v>
      </c>
    </row>
    <row r="73" spans="1:9" x14ac:dyDescent="0.25">
      <c r="A73" t="s">
        <v>125</v>
      </c>
      <c r="B73" t="s">
        <v>168</v>
      </c>
      <c r="C73" t="s">
        <v>3</v>
      </c>
      <c r="D73">
        <v>328.04</v>
      </c>
      <c r="E73">
        <v>0</v>
      </c>
      <c r="F73">
        <v>99.4</v>
      </c>
      <c r="G73">
        <v>656.06299999999999</v>
      </c>
      <c r="H73">
        <v>1669.144</v>
      </c>
      <c r="I73">
        <v>-1968.211</v>
      </c>
    </row>
    <row r="74" spans="1:9" x14ac:dyDescent="0.25">
      <c r="A74" t="s">
        <v>125</v>
      </c>
      <c r="B74" t="s">
        <v>169</v>
      </c>
      <c r="C74" t="s">
        <v>143</v>
      </c>
      <c r="D74">
        <v>298.95999999999998</v>
      </c>
      <c r="E74">
        <v>0</v>
      </c>
      <c r="F74">
        <v>99.4</v>
      </c>
      <c r="G74">
        <v>536.779</v>
      </c>
      <c r="H74">
        <v>1793.7619999999999</v>
      </c>
      <c r="I74">
        <v>-1793.7619999999999</v>
      </c>
    </row>
    <row r="75" spans="1:9" x14ac:dyDescent="0.25">
      <c r="A75" t="s">
        <v>125</v>
      </c>
      <c r="B75" t="s">
        <v>169</v>
      </c>
      <c r="C75" t="s">
        <v>3</v>
      </c>
      <c r="D75">
        <v>328.04</v>
      </c>
      <c r="E75">
        <v>0</v>
      </c>
      <c r="F75">
        <v>99.4</v>
      </c>
      <c r="G75">
        <v>536.779</v>
      </c>
      <c r="H75">
        <v>1669.144</v>
      </c>
      <c r="I75">
        <v>-1968.211</v>
      </c>
    </row>
    <row r="76" spans="1:9" x14ac:dyDescent="0.25">
      <c r="A76" t="s">
        <v>125</v>
      </c>
      <c r="B76" t="s">
        <v>170</v>
      </c>
      <c r="C76" t="s">
        <v>143</v>
      </c>
      <c r="D76">
        <v>278.91000000000003</v>
      </c>
      <c r="E76">
        <v>-99.4</v>
      </c>
      <c r="F76">
        <v>0</v>
      </c>
      <c r="G76">
        <v>656.06299999999999</v>
      </c>
      <c r="H76">
        <v>1673.461</v>
      </c>
      <c r="I76">
        <v>-1673.461</v>
      </c>
    </row>
    <row r="77" spans="1:9" x14ac:dyDescent="0.25">
      <c r="A77" t="s">
        <v>125</v>
      </c>
      <c r="B77" t="s">
        <v>170</v>
      </c>
      <c r="C77" t="s">
        <v>3</v>
      </c>
      <c r="D77">
        <v>305.88</v>
      </c>
      <c r="E77">
        <v>-99.4</v>
      </c>
      <c r="F77">
        <v>0</v>
      </c>
      <c r="G77">
        <v>656.06299999999999</v>
      </c>
      <c r="H77">
        <v>1835.299</v>
      </c>
      <c r="I77">
        <v>-2134.366</v>
      </c>
    </row>
    <row r="78" spans="1:9" x14ac:dyDescent="0.25">
      <c r="A78" t="s">
        <v>125</v>
      </c>
      <c r="B78" t="s">
        <v>171</v>
      </c>
      <c r="C78" t="s">
        <v>143</v>
      </c>
      <c r="D78">
        <v>278.91000000000003</v>
      </c>
      <c r="E78">
        <v>-99.4</v>
      </c>
      <c r="F78">
        <v>0</v>
      </c>
      <c r="G78">
        <v>536.779</v>
      </c>
      <c r="H78">
        <v>1673.461</v>
      </c>
      <c r="I78">
        <v>-1673.461</v>
      </c>
    </row>
    <row r="79" spans="1:9" x14ac:dyDescent="0.25">
      <c r="A79" t="s">
        <v>125</v>
      </c>
      <c r="B79" t="s">
        <v>171</v>
      </c>
      <c r="C79" t="s">
        <v>3</v>
      </c>
      <c r="D79">
        <v>305.88</v>
      </c>
      <c r="E79">
        <v>-99.4</v>
      </c>
      <c r="F79">
        <v>0</v>
      </c>
      <c r="G79">
        <v>536.779</v>
      </c>
      <c r="H79">
        <v>1835.299</v>
      </c>
      <c r="I79">
        <v>-2134.366</v>
      </c>
    </row>
    <row r="80" spans="1:9" x14ac:dyDescent="0.25">
      <c r="A80" t="s">
        <v>125</v>
      </c>
      <c r="B80" t="s">
        <v>172</v>
      </c>
      <c r="C80" t="s">
        <v>143</v>
      </c>
      <c r="D80">
        <v>278.91000000000003</v>
      </c>
      <c r="E80">
        <v>99.4</v>
      </c>
      <c r="F80">
        <v>0</v>
      </c>
      <c r="G80">
        <v>-656.06299999999999</v>
      </c>
      <c r="H80">
        <v>1673.461</v>
      </c>
      <c r="I80">
        <v>-1673.461</v>
      </c>
    </row>
    <row r="81" spans="1:9" x14ac:dyDescent="0.25">
      <c r="A81" t="s">
        <v>125</v>
      </c>
      <c r="B81" t="s">
        <v>172</v>
      </c>
      <c r="C81" t="s">
        <v>3</v>
      </c>
      <c r="D81">
        <v>305.88</v>
      </c>
      <c r="E81">
        <v>99.4</v>
      </c>
      <c r="F81">
        <v>0</v>
      </c>
      <c r="G81">
        <v>-656.06299999999999</v>
      </c>
      <c r="H81">
        <v>1835.299</v>
      </c>
      <c r="I81">
        <v>-1536.2329999999999</v>
      </c>
    </row>
    <row r="82" spans="1:9" x14ac:dyDescent="0.25">
      <c r="A82" t="s">
        <v>125</v>
      </c>
      <c r="B82" t="s">
        <v>173</v>
      </c>
      <c r="C82" t="s">
        <v>143</v>
      </c>
      <c r="D82">
        <v>278.91000000000003</v>
      </c>
      <c r="E82">
        <v>99.4</v>
      </c>
      <c r="F82">
        <v>0</v>
      </c>
      <c r="G82">
        <v>-536.779</v>
      </c>
      <c r="H82">
        <v>1673.461</v>
      </c>
      <c r="I82">
        <v>-1673.461</v>
      </c>
    </row>
    <row r="83" spans="1:9" x14ac:dyDescent="0.25">
      <c r="A83" t="s">
        <v>125</v>
      </c>
      <c r="B83" t="s">
        <v>173</v>
      </c>
      <c r="C83" t="s">
        <v>3</v>
      </c>
      <c r="D83">
        <v>305.88</v>
      </c>
      <c r="E83">
        <v>99.4</v>
      </c>
      <c r="F83">
        <v>0</v>
      </c>
      <c r="G83">
        <v>-536.779</v>
      </c>
      <c r="H83">
        <v>1835.299</v>
      </c>
      <c r="I83">
        <v>-1536.2329999999999</v>
      </c>
    </row>
    <row r="84" spans="1:9" x14ac:dyDescent="0.25">
      <c r="A84" t="s">
        <v>125</v>
      </c>
      <c r="B84" t="s">
        <v>174</v>
      </c>
      <c r="C84" t="s">
        <v>143</v>
      </c>
      <c r="D84">
        <v>278.91000000000003</v>
      </c>
      <c r="E84">
        <v>0</v>
      </c>
      <c r="F84">
        <v>-99.4</v>
      </c>
      <c r="G84">
        <v>-656.06299999999999</v>
      </c>
      <c r="H84">
        <v>1673.461</v>
      </c>
      <c r="I84">
        <v>-1673.461</v>
      </c>
    </row>
    <row r="85" spans="1:9" x14ac:dyDescent="0.25">
      <c r="A85" t="s">
        <v>125</v>
      </c>
      <c r="B85" t="s">
        <v>174</v>
      </c>
      <c r="C85" t="s">
        <v>3</v>
      </c>
      <c r="D85">
        <v>305.88</v>
      </c>
      <c r="E85">
        <v>0</v>
      </c>
      <c r="F85">
        <v>-99.4</v>
      </c>
      <c r="G85">
        <v>-656.06299999999999</v>
      </c>
      <c r="H85">
        <v>2134.366</v>
      </c>
      <c r="I85">
        <v>-1835.299</v>
      </c>
    </row>
    <row r="86" spans="1:9" x14ac:dyDescent="0.25">
      <c r="A86" t="s">
        <v>125</v>
      </c>
      <c r="B86" t="s">
        <v>175</v>
      </c>
      <c r="C86" t="s">
        <v>143</v>
      </c>
      <c r="D86">
        <v>278.91000000000003</v>
      </c>
      <c r="E86">
        <v>0</v>
      </c>
      <c r="F86">
        <v>-99.4</v>
      </c>
      <c r="G86">
        <v>-536.779</v>
      </c>
      <c r="H86">
        <v>1673.461</v>
      </c>
      <c r="I86">
        <v>-1673.461</v>
      </c>
    </row>
    <row r="87" spans="1:9" x14ac:dyDescent="0.25">
      <c r="A87" t="s">
        <v>125</v>
      </c>
      <c r="B87" t="s">
        <v>175</v>
      </c>
      <c r="C87" t="s">
        <v>3</v>
      </c>
      <c r="D87">
        <v>305.88</v>
      </c>
      <c r="E87">
        <v>0</v>
      </c>
      <c r="F87">
        <v>-99.4</v>
      </c>
      <c r="G87">
        <v>-536.779</v>
      </c>
      <c r="H87">
        <v>2134.366</v>
      </c>
      <c r="I87">
        <v>-1835.299</v>
      </c>
    </row>
    <row r="88" spans="1:9" x14ac:dyDescent="0.25">
      <c r="A88" t="s">
        <v>125</v>
      </c>
      <c r="B88" t="s">
        <v>176</v>
      </c>
      <c r="C88" t="s">
        <v>143</v>
      </c>
      <c r="D88">
        <v>278.91000000000003</v>
      </c>
      <c r="E88">
        <v>0</v>
      </c>
      <c r="F88">
        <v>99.4</v>
      </c>
      <c r="G88">
        <v>656.06299999999999</v>
      </c>
      <c r="H88">
        <v>1673.461</v>
      </c>
      <c r="I88">
        <v>-1673.461</v>
      </c>
    </row>
    <row r="89" spans="1:9" x14ac:dyDescent="0.25">
      <c r="A89" t="s">
        <v>125</v>
      </c>
      <c r="B89" t="s">
        <v>176</v>
      </c>
      <c r="C89" t="s">
        <v>3</v>
      </c>
      <c r="D89">
        <v>305.88</v>
      </c>
      <c r="E89">
        <v>0</v>
      </c>
      <c r="F89">
        <v>99.4</v>
      </c>
      <c r="G89">
        <v>656.06299999999999</v>
      </c>
      <c r="H89">
        <v>1536.2329999999999</v>
      </c>
      <c r="I89">
        <v>-1835.299</v>
      </c>
    </row>
    <row r="90" spans="1:9" x14ac:dyDescent="0.25">
      <c r="A90" t="s">
        <v>125</v>
      </c>
      <c r="B90" t="s">
        <v>177</v>
      </c>
      <c r="C90" t="s">
        <v>143</v>
      </c>
      <c r="D90">
        <v>278.91000000000003</v>
      </c>
      <c r="E90">
        <v>0</v>
      </c>
      <c r="F90">
        <v>99.4</v>
      </c>
      <c r="G90">
        <v>536.779</v>
      </c>
      <c r="H90">
        <v>1673.461</v>
      </c>
      <c r="I90">
        <v>-1673.461</v>
      </c>
    </row>
    <row r="91" spans="1:9" x14ac:dyDescent="0.25">
      <c r="A91" t="s">
        <v>125</v>
      </c>
      <c r="B91" t="s">
        <v>177</v>
      </c>
      <c r="C91" t="s">
        <v>3</v>
      </c>
      <c r="D91">
        <v>305.88</v>
      </c>
      <c r="E91">
        <v>0</v>
      </c>
      <c r="F91">
        <v>99.4</v>
      </c>
      <c r="G91">
        <v>536.779</v>
      </c>
      <c r="H91">
        <v>1536.2329999999999</v>
      </c>
      <c r="I91">
        <v>-1835.299</v>
      </c>
    </row>
    <row r="92" spans="1:9" x14ac:dyDescent="0.25">
      <c r="A92" t="s">
        <v>125</v>
      </c>
      <c r="B92" t="s">
        <v>178</v>
      </c>
      <c r="C92" t="s">
        <v>143</v>
      </c>
      <c r="D92">
        <v>322.35000000000002</v>
      </c>
      <c r="E92">
        <v>-29.82</v>
      </c>
      <c r="F92">
        <v>0</v>
      </c>
      <c r="G92">
        <v>196.81899999999999</v>
      </c>
      <c r="H92">
        <v>1934.1130000000001</v>
      </c>
      <c r="I92">
        <v>-1934.1130000000001</v>
      </c>
    </row>
    <row r="93" spans="1:9" x14ac:dyDescent="0.25">
      <c r="A93" t="s">
        <v>125</v>
      </c>
      <c r="B93" t="s">
        <v>178</v>
      </c>
      <c r="C93" t="s">
        <v>3</v>
      </c>
      <c r="D93">
        <v>353.88</v>
      </c>
      <c r="E93">
        <v>-29.82</v>
      </c>
      <c r="F93">
        <v>0</v>
      </c>
      <c r="G93">
        <v>196.81899999999999</v>
      </c>
      <c r="H93">
        <v>2123.2739999999999</v>
      </c>
      <c r="I93">
        <v>-2212.9940000000001</v>
      </c>
    </row>
    <row r="94" spans="1:9" x14ac:dyDescent="0.25">
      <c r="A94" t="s">
        <v>125</v>
      </c>
      <c r="B94" t="s">
        <v>179</v>
      </c>
      <c r="C94" t="s">
        <v>143</v>
      </c>
      <c r="D94">
        <v>322.35000000000002</v>
      </c>
      <c r="E94">
        <v>-29.82</v>
      </c>
      <c r="F94">
        <v>0</v>
      </c>
      <c r="G94">
        <v>161.03399999999999</v>
      </c>
      <c r="H94">
        <v>1934.1130000000001</v>
      </c>
      <c r="I94">
        <v>-1934.1130000000001</v>
      </c>
    </row>
    <row r="95" spans="1:9" x14ac:dyDescent="0.25">
      <c r="A95" t="s">
        <v>125</v>
      </c>
      <c r="B95" t="s">
        <v>179</v>
      </c>
      <c r="C95" t="s">
        <v>3</v>
      </c>
      <c r="D95">
        <v>353.88</v>
      </c>
      <c r="E95">
        <v>-29.82</v>
      </c>
      <c r="F95">
        <v>0</v>
      </c>
      <c r="G95">
        <v>161.03399999999999</v>
      </c>
      <c r="H95">
        <v>2123.2739999999999</v>
      </c>
      <c r="I95">
        <v>-2212.9940000000001</v>
      </c>
    </row>
    <row r="96" spans="1:9" x14ac:dyDescent="0.25">
      <c r="A96" t="s">
        <v>125</v>
      </c>
      <c r="B96" t="s">
        <v>180</v>
      </c>
      <c r="C96" t="s">
        <v>143</v>
      </c>
      <c r="D96">
        <v>322.35000000000002</v>
      </c>
      <c r="E96">
        <v>29.82</v>
      </c>
      <c r="F96">
        <v>0</v>
      </c>
      <c r="G96">
        <v>-196.81899999999999</v>
      </c>
      <c r="H96">
        <v>1934.1130000000001</v>
      </c>
      <c r="I96">
        <v>-1934.1130000000001</v>
      </c>
    </row>
    <row r="97" spans="1:9" x14ac:dyDescent="0.25">
      <c r="A97" t="s">
        <v>125</v>
      </c>
      <c r="B97" t="s">
        <v>180</v>
      </c>
      <c r="C97" t="s">
        <v>3</v>
      </c>
      <c r="D97">
        <v>353.88</v>
      </c>
      <c r="E97">
        <v>29.82</v>
      </c>
      <c r="F97">
        <v>0</v>
      </c>
      <c r="G97">
        <v>-196.81899999999999</v>
      </c>
      <c r="H97">
        <v>2123.2739999999999</v>
      </c>
      <c r="I97">
        <v>-2033.5540000000001</v>
      </c>
    </row>
    <row r="98" spans="1:9" x14ac:dyDescent="0.25">
      <c r="A98" t="s">
        <v>125</v>
      </c>
      <c r="B98" t="s">
        <v>181</v>
      </c>
      <c r="C98" t="s">
        <v>143</v>
      </c>
      <c r="D98">
        <v>322.35000000000002</v>
      </c>
      <c r="E98">
        <v>29.82</v>
      </c>
      <c r="F98">
        <v>0</v>
      </c>
      <c r="G98">
        <v>-161.03399999999999</v>
      </c>
      <c r="H98">
        <v>1934.1130000000001</v>
      </c>
      <c r="I98">
        <v>-1934.1130000000001</v>
      </c>
    </row>
    <row r="99" spans="1:9" x14ac:dyDescent="0.25">
      <c r="A99" t="s">
        <v>125</v>
      </c>
      <c r="B99" t="s">
        <v>181</v>
      </c>
      <c r="C99" t="s">
        <v>3</v>
      </c>
      <c r="D99">
        <v>353.88</v>
      </c>
      <c r="E99">
        <v>29.82</v>
      </c>
      <c r="F99">
        <v>0</v>
      </c>
      <c r="G99">
        <v>-161.03399999999999</v>
      </c>
      <c r="H99">
        <v>2123.2739999999999</v>
      </c>
      <c r="I99">
        <v>-2033.5540000000001</v>
      </c>
    </row>
    <row r="100" spans="1:9" x14ac:dyDescent="0.25">
      <c r="A100" t="s">
        <v>125</v>
      </c>
      <c r="B100" t="s">
        <v>182</v>
      </c>
      <c r="C100" t="s">
        <v>143</v>
      </c>
      <c r="D100">
        <v>322.35000000000002</v>
      </c>
      <c r="E100">
        <v>0</v>
      </c>
      <c r="F100">
        <v>-29.82</v>
      </c>
      <c r="G100">
        <v>-196.81899999999999</v>
      </c>
      <c r="H100">
        <v>1934.1130000000001</v>
      </c>
      <c r="I100">
        <v>-1934.1130000000001</v>
      </c>
    </row>
    <row r="101" spans="1:9" x14ac:dyDescent="0.25">
      <c r="A101" t="s">
        <v>125</v>
      </c>
      <c r="B101" t="s">
        <v>182</v>
      </c>
      <c r="C101" t="s">
        <v>3</v>
      </c>
      <c r="D101">
        <v>353.88</v>
      </c>
      <c r="E101">
        <v>0</v>
      </c>
      <c r="F101">
        <v>-29.82</v>
      </c>
      <c r="G101">
        <v>-196.81899999999999</v>
      </c>
      <c r="H101">
        <v>2212.9940000000001</v>
      </c>
      <c r="I101">
        <v>-2123.2739999999999</v>
      </c>
    </row>
    <row r="102" spans="1:9" x14ac:dyDescent="0.25">
      <c r="A102" t="s">
        <v>125</v>
      </c>
      <c r="B102" t="s">
        <v>183</v>
      </c>
      <c r="C102" t="s">
        <v>143</v>
      </c>
      <c r="D102">
        <v>322.35000000000002</v>
      </c>
      <c r="E102">
        <v>0</v>
      </c>
      <c r="F102">
        <v>-29.82</v>
      </c>
      <c r="G102">
        <v>-161.03399999999999</v>
      </c>
      <c r="H102">
        <v>1934.1130000000001</v>
      </c>
      <c r="I102">
        <v>-1934.1130000000001</v>
      </c>
    </row>
    <row r="103" spans="1:9" x14ac:dyDescent="0.25">
      <c r="A103" t="s">
        <v>125</v>
      </c>
      <c r="B103" t="s">
        <v>183</v>
      </c>
      <c r="C103" t="s">
        <v>3</v>
      </c>
      <c r="D103">
        <v>353.88</v>
      </c>
      <c r="E103">
        <v>0</v>
      </c>
      <c r="F103">
        <v>-29.82</v>
      </c>
      <c r="G103">
        <v>-161.03399999999999</v>
      </c>
      <c r="H103">
        <v>2212.9940000000001</v>
      </c>
      <c r="I103">
        <v>-2123.2739999999999</v>
      </c>
    </row>
    <row r="104" spans="1:9" x14ac:dyDescent="0.25">
      <c r="A104" t="s">
        <v>125</v>
      </c>
      <c r="B104" t="s">
        <v>184</v>
      </c>
      <c r="C104" t="s">
        <v>143</v>
      </c>
      <c r="D104">
        <v>322.35000000000002</v>
      </c>
      <c r="E104">
        <v>0</v>
      </c>
      <c r="F104">
        <v>29.82</v>
      </c>
      <c r="G104">
        <v>196.81899999999999</v>
      </c>
      <c r="H104">
        <v>1934.1130000000001</v>
      </c>
      <c r="I104">
        <v>-1934.1130000000001</v>
      </c>
    </row>
    <row r="105" spans="1:9" x14ac:dyDescent="0.25">
      <c r="A105" t="s">
        <v>125</v>
      </c>
      <c r="B105" t="s">
        <v>184</v>
      </c>
      <c r="C105" t="s">
        <v>3</v>
      </c>
      <c r="D105">
        <v>353.88</v>
      </c>
      <c r="E105">
        <v>0</v>
      </c>
      <c r="F105">
        <v>29.82</v>
      </c>
      <c r="G105">
        <v>196.81899999999999</v>
      </c>
      <c r="H105">
        <v>2033.5540000000001</v>
      </c>
      <c r="I105">
        <v>-2123.2739999999999</v>
      </c>
    </row>
    <row r="106" spans="1:9" x14ac:dyDescent="0.25">
      <c r="A106" t="s">
        <v>125</v>
      </c>
      <c r="B106" t="s">
        <v>185</v>
      </c>
      <c r="C106" t="s">
        <v>143</v>
      </c>
      <c r="D106">
        <v>322.35000000000002</v>
      </c>
      <c r="E106">
        <v>0</v>
      </c>
      <c r="F106">
        <v>29.82</v>
      </c>
      <c r="G106">
        <v>161.03399999999999</v>
      </c>
      <c r="H106">
        <v>1934.1130000000001</v>
      </c>
      <c r="I106">
        <v>-1934.1130000000001</v>
      </c>
    </row>
    <row r="107" spans="1:9" x14ac:dyDescent="0.25">
      <c r="A107" t="s">
        <v>125</v>
      </c>
      <c r="B107" t="s">
        <v>185</v>
      </c>
      <c r="C107" t="s">
        <v>3</v>
      </c>
      <c r="D107">
        <v>353.88</v>
      </c>
      <c r="E107">
        <v>0</v>
      </c>
      <c r="F107">
        <v>29.82</v>
      </c>
      <c r="G107">
        <v>161.03399999999999</v>
      </c>
      <c r="H107">
        <v>2033.5540000000001</v>
      </c>
      <c r="I107">
        <v>-2123.2739999999999</v>
      </c>
    </row>
    <row r="108" spans="1:9" x14ac:dyDescent="0.25">
      <c r="A108" t="s">
        <v>125</v>
      </c>
      <c r="B108" t="s">
        <v>186</v>
      </c>
      <c r="C108" t="s">
        <v>143</v>
      </c>
      <c r="D108">
        <v>255.52</v>
      </c>
      <c r="E108">
        <v>-29.82</v>
      </c>
      <c r="F108">
        <v>0</v>
      </c>
      <c r="G108">
        <v>196.81899999999999</v>
      </c>
      <c r="H108">
        <v>1533.11</v>
      </c>
      <c r="I108">
        <v>-1533.11</v>
      </c>
    </row>
    <row r="109" spans="1:9" x14ac:dyDescent="0.25">
      <c r="A109" t="s">
        <v>125</v>
      </c>
      <c r="B109" t="s">
        <v>186</v>
      </c>
      <c r="C109" t="s">
        <v>3</v>
      </c>
      <c r="D109">
        <v>280.04000000000002</v>
      </c>
      <c r="E109">
        <v>-29.82</v>
      </c>
      <c r="F109">
        <v>0</v>
      </c>
      <c r="G109">
        <v>196.81899999999999</v>
      </c>
      <c r="H109">
        <v>1680.2360000000001</v>
      </c>
      <c r="I109">
        <v>-1769.9559999999999</v>
      </c>
    </row>
    <row r="110" spans="1:9" x14ac:dyDescent="0.25">
      <c r="A110" t="s">
        <v>125</v>
      </c>
      <c r="B110" t="s">
        <v>187</v>
      </c>
      <c r="C110" t="s">
        <v>143</v>
      </c>
      <c r="D110">
        <v>255.52</v>
      </c>
      <c r="E110">
        <v>-29.82</v>
      </c>
      <c r="F110">
        <v>0</v>
      </c>
      <c r="G110">
        <v>161.03399999999999</v>
      </c>
      <c r="H110">
        <v>1533.11</v>
      </c>
      <c r="I110">
        <v>-1533.11</v>
      </c>
    </row>
    <row r="111" spans="1:9" x14ac:dyDescent="0.25">
      <c r="A111" t="s">
        <v>125</v>
      </c>
      <c r="B111" t="s">
        <v>187</v>
      </c>
      <c r="C111" t="s">
        <v>3</v>
      </c>
      <c r="D111">
        <v>280.04000000000002</v>
      </c>
      <c r="E111">
        <v>-29.82</v>
      </c>
      <c r="F111">
        <v>0</v>
      </c>
      <c r="G111">
        <v>161.03399999999999</v>
      </c>
      <c r="H111">
        <v>1680.2360000000001</v>
      </c>
      <c r="I111">
        <v>-1769.9559999999999</v>
      </c>
    </row>
    <row r="112" spans="1:9" x14ac:dyDescent="0.25">
      <c r="A112" t="s">
        <v>125</v>
      </c>
      <c r="B112" t="s">
        <v>188</v>
      </c>
      <c r="C112" t="s">
        <v>143</v>
      </c>
      <c r="D112">
        <v>255.52</v>
      </c>
      <c r="E112">
        <v>29.82</v>
      </c>
      <c r="F112">
        <v>0</v>
      </c>
      <c r="G112">
        <v>-196.81899999999999</v>
      </c>
      <c r="H112">
        <v>1533.11</v>
      </c>
      <c r="I112">
        <v>-1533.11</v>
      </c>
    </row>
    <row r="113" spans="1:9" x14ac:dyDescent="0.25">
      <c r="A113" t="s">
        <v>125</v>
      </c>
      <c r="B113" t="s">
        <v>188</v>
      </c>
      <c r="C113" t="s">
        <v>3</v>
      </c>
      <c r="D113">
        <v>280.04000000000002</v>
      </c>
      <c r="E113">
        <v>29.82</v>
      </c>
      <c r="F113">
        <v>0</v>
      </c>
      <c r="G113">
        <v>-196.81899999999999</v>
      </c>
      <c r="H113">
        <v>1680.2360000000001</v>
      </c>
      <c r="I113">
        <v>-1590.5160000000001</v>
      </c>
    </row>
    <row r="114" spans="1:9" x14ac:dyDescent="0.25">
      <c r="A114" t="s">
        <v>125</v>
      </c>
      <c r="B114" t="s">
        <v>189</v>
      </c>
      <c r="C114" t="s">
        <v>143</v>
      </c>
      <c r="D114">
        <v>255.52</v>
      </c>
      <c r="E114">
        <v>29.82</v>
      </c>
      <c r="F114">
        <v>0</v>
      </c>
      <c r="G114">
        <v>-161.03399999999999</v>
      </c>
      <c r="H114">
        <v>1533.11</v>
      </c>
      <c r="I114">
        <v>-1533.11</v>
      </c>
    </row>
    <row r="115" spans="1:9" x14ac:dyDescent="0.25">
      <c r="A115" t="s">
        <v>125</v>
      </c>
      <c r="B115" t="s">
        <v>189</v>
      </c>
      <c r="C115" t="s">
        <v>3</v>
      </c>
      <c r="D115">
        <v>280.04000000000002</v>
      </c>
      <c r="E115">
        <v>29.82</v>
      </c>
      <c r="F115">
        <v>0</v>
      </c>
      <c r="G115">
        <v>-161.03399999999999</v>
      </c>
      <c r="H115">
        <v>1680.2360000000001</v>
      </c>
      <c r="I115">
        <v>-1590.5160000000001</v>
      </c>
    </row>
    <row r="116" spans="1:9" x14ac:dyDescent="0.25">
      <c r="A116" t="s">
        <v>125</v>
      </c>
      <c r="B116" t="s">
        <v>190</v>
      </c>
      <c r="C116" t="s">
        <v>143</v>
      </c>
      <c r="D116">
        <v>255.52</v>
      </c>
      <c r="E116">
        <v>0</v>
      </c>
      <c r="F116">
        <v>-29.82</v>
      </c>
      <c r="G116">
        <v>-196.81899999999999</v>
      </c>
      <c r="H116">
        <v>1533.11</v>
      </c>
      <c r="I116">
        <v>-1533.11</v>
      </c>
    </row>
    <row r="117" spans="1:9" x14ac:dyDescent="0.25">
      <c r="A117" t="s">
        <v>125</v>
      </c>
      <c r="B117" t="s">
        <v>190</v>
      </c>
      <c r="C117" t="s">
        <v>3</v>
      </c>
      <c r="D117">
        <v>280.04000000000002</v>
      </c>
      <c r="E117">
        <v>0</v>
      </c>
      <c r="F117">
        <v>-29.82</v>
      </c>
      <c r="G117">
        <v>-196.81899999999999</v>
      </c>
      <c r="H117">
        <v>1769.9559999999999</v>
      </c>
      <c r="I117">
        <v>-1680.2360000000001</v>
      </c>
    </row>
    <row r="118" spans="1:9" x14ac:dyDescent="0.25">
      <c r="A118" t="s">
        <v>125</v>
      </c>
      <c r="B118" t="s">
        <v>191</v>
      </c>
      <c r="C118" t="s">
        <v>143</v>
      </c>
      <c r="D118">
        <v>255.52</v>
      </c>
      <c r="E118">
        <v>0</v>
      </c>
      <c r="F118">
        <v>-29.82</v>
      </c>
      <c r="G118">
        <v>-161.03399999999999</v>
      </c>
      <c r="H118">
        <v>1533.11</v>
      </c>
      <c r="I118">
        <v>-1533.11</v>
      </c>
    </row>
    <row r="119" spans="1:9" x14ac:dyDescent="0.25">
      <c r="A119" t="s">
        <v>125</v>
      </c>
      <c r="B119" t="s">
        <v>191</v>
      </c>
      <c r="C119" t="s">
        <v>3</v>
      </c>
      <c r="D119">
        <v>280.04000000000002</v>
      </c>
      <c r="E119">
        <v>0</v>
      </c>
      <c r="F119">
        <v>-29.82</v>
      </c>
      <c r="G119">
        <v>-161.03399999999999</v>
      </c>
      <c r="H119">
        <v>1769.9559999999999</v>
      </c>
      <c r="I119">
        <v>-1680.2360000000001</v>
      </c>
    </row>
    <row r="120" spans="1:9" x14ac:dyDescent="0.25">
      <c r="A120" t="s">
        <v>125</v>
      </c>
      <c r="B120" t="s">
        <v>192</v>
      </c>
      <c r="C120" t="s">
        <v>143</v>
      </c>
      <c r="D120">
        <v>255.52</v>
      </c>
      <c r="E120">
        <v>0</v>
      </c>
      <c r="F120">
        <v>29.82</v>
      </c>
      <c r="G120">
        <v>196.81899999999999</v>
      </c>
      <c r="H120">
        <v>1533.11</v>
      </c>
      <c r="I120">
        <v>-1533.11</v>
      </c>
    </row>
    <row r="121" spans="1:9" x14ac:dyDescent="0.25">
      <c r="A121" t="s">
        <v>125</v>
      </c>
      <c r="B121" t="s">
        <v>192</v>
      </c>
      <c r="C121" t="s">
        <v>3</v>
      </c>
      <c r="D121">
        <v>280.04000000000002</v>
      </c>
      <c r="E121">
        <v>0</v>
      </c>
      <c r="F121">
        <v>29.82</v>
      </c>
      <c r="G121">
        <v>196.81899999999999</v>
      </c>
      <c r="H121">
        <v>1590.5160000000001</v>
      </c>
      <c r="I121">
        <v>-1680.2360000000001</v>
      </c>
    </row>
    <row r="122" spans="1:9" x14ac:dyDescent="0.25">
      <c r="A122" t="s">
        <v>125</v>
      </c>
      <c r="B122" t="s">
        <v>193</v>
      </c>
      <c r="C122" t="s">
        <v>143</v>
      </c>
      <c r="D122">
        <v>255.52</v>
      </c>
      <c r="E122">
        <v>0</v>
      </c>
      <c r="F122">
        <v>29.82</v>
      </c>
      <c r="G122">
        <v>161.03399999999999</v>
      </c>
      <c r="H122">
        <v>1533.11</v>
      </c>
      <c r="I122">
        <v>-1533.11</v>
      </c>
    </row>
    <row r="123" spans="1:9" x14ac:dyDescent="0.25">
      <c r="A123" t="s">
        <v>125</v>
      </c>
      <c r="B123" t="s">
        <v>193</v>
      </c>
      <c r="C123" t="s">
        <v>3</v>
      </c>
      <c r="D123">
        <v>280.04000000000002</v>
      </c>
      <c r="E123">
        <v>0</v>
      </c>
      <c r="F123">
        <v>29.82</v>
      </c>
      <c r="G123">
        <v>161.03399999999999</v>
      </c>
      <c r="H123">
        <v>1590.5160000000001</v>
      </c>
      <c r="I123">
        <v>-1680.2360000000001</v>
      </c>
    </row>
    <row r="124" spans="1:9" x14ac:dyDescent="0.25">
      <c r="A124" t="s">
        <v>125</v>
      </c>
      <c r="B124" t="s">
        <v>194</v>
      </c>
      <c r="C124" t="s">
        <v>143</v>
      </c>
      <c r="D124">
        <v>210.53</v>
      </c>
      <c r="E124">
        <v>-99.4</v>
      </c>
      <c r="F124">
        <v>0</v>
      </c>
      <c r="G124">
        <v>656.06299999999999</v>
      </c>
      <c r="H124">
        <v>1263.1590000000001</v>
      </c>
      <c r="I124">
        <v>-1263.1590000000001</v>
      </c>
    </row>
    <row r="125" spans="1:9" x14ac:dyDescent="0.25">
      <c r="A125" t="s">
        <v>125</v>
      </c>
      <c r="B125" t="s">
        <v>194</v>
      </c>
      <c r="C125" t="s">
        <v>3</v>
      </c>
      <c r="D125">
        <v>232.6</v>
      </c>
      <c r="E125">
        <v>-99.4</v>
      </c>
      <c r="F125">
        <v>0</v>
      </c>
      <c r="G125">
        <v>656.06299999999999</v>
      </c>
      <c r="H125">
        <v>1395.5719999999999</v>
      </c>
      <c r="I125">
        <v>-1694.6389999999999</v>
      </c>
    </row>
    <row r="126" spans="1:9" x14ac:dyDescent="0.25">
      <c r="A126" t="s">
        <v>125</v>
      </c>
      <c r="B126" t="s">
        <v>195</v>
      </c>
      <c r="C126" t="s">
        <v>143</v>
      </c>
      <c r="D126">
        <v>210.53</v>
      </c>
      <c r="E126">
        <v>-99.4</v>
      </c>
      <c r="F126">
        <v>0</v>
      </c>
      <c r="G126">
        <v>536.779</v>
      </c>
      <c r="H126">
        <v>1263.1590000000001</v>
      </c>
      <c r="I126">
        <v>-1263.1590000000001</v>
      </c>
    </row>
    <row r="127" spans="1:9" x14ac:dyDescent="0.25">
      <c r="A127" t="s">
        <v>125</v>
      </c>
      <c r="B127" t="s">
        <v>195</v>
      </c>
      <c r="C127" t="s">
        <v>3</v>
      </c>
      <c r="D127">
        <v>232.6</v>
      </c>
      <c r="E127">
        <v>-99.4</v>
      </c>
      <c r="F127">
        <v>0</v>
      </c>
      <c r="G127">
        <v>536.779</v>
      </c>
      <c r="H127">
        <v>1395.5719999999999</v>
      </c>
      <c r="I127">
        <v>-1694.6389999999999</v>
      </c>
    </row>
    <row r="128" spans="1:9" x14ac:dyDescent="0.25">
      <c r="A128" t="s">
        <v>125</v>
      </c>
      <c r="B128" t="s">
        <v>196</v>
      </c>
      <c r="C128" t="s">
        <v>143</v>
      </c>
      <c r="D128">
        <v>210.53</v>
      </c>
      <c r="E128">
        <v>99.4</v>
      </c>
      <c r="F128">
        <v>0</v>
      </c>
      <c r="G128">
        <v>-656.06299999999999</v>
      </c>
      <c r="H128">
        <v>1263.1590000000001</v>
      </c>
      <c r="I128">
        <v>-1263.1590000000001</v>
      </c>
    </row>
    <row r="129" spans="1:9" x14ac:dyDescent="0.25">
      <c r="A129" t="s">
        <v>125</v>
      </c>
      <c r="B129" t="s">
        <v>196</v>
      </c>
      <c r="C129" t="s">
        <v>3</v>
      </c>
      <c r="D129">
        <v>232.6</v>
      </c>
      <c r="E129">
        <v>99.4</v>
      </c>
      <c r="F129">
        <v>0</v>
      </c>
      <c r="G129">
        <v>-656.06299999999999</v>
      </c>
      <c r="H129">
        <v>1395.5719999999999</v>
      </c>
      <c r="I129">
        <v>-1096.5060000000001</v>
      </c>
    </row>
    <row r="130" spans="1:9" x14ac:dyDescent="0.25">
      <c r="A130" t="s">
        <v>125</v>
      </c>
      <c r="B130" t="s">
        <v>197</v>
      </c>
      <c r="C130" t="s">
        <v>143</v>
      </c>
      <c r="D130">
        <v>210.53</v>
      </c>
      <c r="E130">
        <v>99.4</v>
      </c>
      <c r="F130">
        <v>0</v>
      </c>
      <c r="G130">
        <v>-536.779</v>
      </c>
      <c r="H130">
        <v>1263.1590000000001</v>
      </c>
      <c r="I130">
        <v>-1263.1590000000001</v>
      </c>
    </row>
    <row r="131" spans="1:9" x14ac:dyDescent="0.25">
      <c r="A131" t="s">
        <v>125</v>
      </c>
      <c r="B131" t="s">
        <v>197</v>
      </c>
      <c r="C131" t="s">
        <v>3</v>
      </c>
      <c r="D131">
        <v>232.6</v>
      </c>
      <c r="E131">
        <v>99.4</v>
      </c>
      <c r="F131">
        <v>0</v>
      </c>
      <c r="G131">
        <v>-536.779</v>
      </c>
      <c r="H131">
        <v>1395.5719999999999</v>
      </c>
      <c r="I131">
        <v>-1096.5060000000001</v>
      </c>
    </row>
    <row r="132" spans="1:9" x14ac:dyDescent="0.25">
      <c r="A132" t="s">
        <v>125</v>
      </c>
      <c r="B132" t="s">
        <v>198</v>
      </c>
      <c r="C132" t="s">
        <v>143</v>
      </c>
      <c r="D132">
        <v>210.53</v>
      </c>
      <c r="E132">
        <v>0</v>
      </c>
      <c r="F132">
        <v>-99.4</v>
      </c>
      <c r="G132">
        <v>-656.06299999999999</v>
      </c>
      <c r="H132">
        <v>1263.1590000000001</v>
      </c>
      <c r="I132">
        <v>-1263.1590000000001</v>
      </c>
    </row>
    <row r="133" spans="1:9" x14ac:dyDescent="0.25">
      <c r="A133" t="s">
        <v>125</v>
      </c>
      <c r="B133" t="s">
        <v>198</v>
      </c>
      <c r="C133" t="s">
        <v>3</v>
      </c>
      <c r="D133">
        <v>232.6</v>
      </c>
      <c r="E133">
        <v>0</v>
      </c>
      <c r="F133">
        <v>-99.4</v>
      </c>
      <c r="G133">
        <v>-656.06299999999999</v>
      </c>
      <c r="H133">
        <v>1694.6389999999999</v>
      </c>
      <c r="I133">
        <v>-1395.5719999999999</v>
      </c>
    </row>
    <row r="134" spans="1:9" x14ac:dyDescent="0.25">
      <c r="A134" t="s">
        <v>125</v>
      </c>
      <c r="B134" t="s">
        <v>199</v>
      </c>
      <c r="C134" t="s">
        <v>143</v>
      </c>
      <c r="D134">
        <v>210.53</v>
      </c>
      <c r="E134">
        <v>0</v>
      </c>
      <c r="F134">
        <v>-99.4</v>
      </c>
      <c r="G134">
        <v>-536.779</v>
      </c>
      <c r="H134">
        <v>1263.1590000000001</v>
      </c>
      <c r="I134">
        <v>-1263.1590000000001</v>
      </c>
    </row>
    <row r="135" spans="1:9" x14ac:dyDescent="0.25">
      <c r="A135" t="s">
        <v>125</v>
      </c>
      <c r="B135" t="s">
        <v>199</v>
      </c>
      <c r="C135" t="s">
        <v>3</v>
      </c>
      <c r="D135">
        <v>232.6</v>
      </c>
      <c r="E135">
        <v>0</v>
      </c>
      <c r="F135">
        <v>-99.4</v>
      </c>
      <c r="G135">
        <v>-536.779</v>
      </c>
      <c r="H135">
        <v>1694.6389999999999</v>
      </c>
      <c r="I135">
        <v>-1395.5719999999999</v>
      </c>
    </row>
    <row r="136" spans="1:9" x14ac:dyDescent="0.25">
      <c r="A136" t="s">
        <v>125</v>
      </c>
      <c r="B136" t="s">
        <v>200</v>
      </c>
      <c r="C136" t="s">
        <v>143</v>
      </c>
      <c r="D136">
        <v>210.53</v>
      </c>
      <c r="E136">
        <v>0</v>
      </c>
      <c r="F136">
        <v>99.4</v>
      </c>
      <c r="G136">
        <v>656.06299999999999</v>
      </c>
      <c r="H136">
        <v>1263.1590000000001</v>
      </c>
      <c r="I136">
        <v>-1263.1590000000001</v>
      </c>
    </row>
    <row r="137" spans="1:9" x14ac:dyDescent="0.25">
      <c r="A137" t="s">
        <v>125</v>
      </c>
      <c r="B137" t="s">
        <v>200</v>
      </c>
      <c r="C137" t="s">
        <v>3</v>
      </c>
      <c r="D137">
        <v>232.6</v>
      </c>
      <c r="E137">
        <v>0</v>
      </c>
      <c r="F137">
        <v>99.4</v>
      </c>
      <c r="G137">
        <v>656.06299999999999</v>
      </c>
      <c r="H137">
        <v>1096.5060000000001</v>
      </c>
      <c r="I137">
        <v>-1395.5719999999999</v>
      </c>
    </row>
    <row r="138" spans="1:9" x14ac:dyDescent="0.25">
      <c r="A138" t="s">
        <v>125</v>
      </c>
      <c r="B138" t="s">
        <v>201</v>
      </c>
      <c r="C138" t="s">
        <v>143</v>
      </c>
      <c r="D138">
        <v>210.53</v>
      </c>
      <c r="E138">
        <v>0</v>
      </c>
      <c r="F138">
        <v>99.4</v>
      </c>
      <c r="G138">
        <v>536.779</v>
      </c>
      <c r="H138">
        <v>1263.1590000000001</v>
      </c>
      <c r="I138">
        <v>-1263.1590000000001</v>
      </c>
    </row>
    <row r="139" spans="1:9" x14ac:dyDescent="0.25">
      <c r="A139" t="s">
        <v>125</v>
      </c>
      <c r="B139" t="s">
        <v>201</v>
      </c>
      <c r="C139" t="s">
        <v>3</v>
      </c>
      <c r="D139">
        <v>232.6</v>
      </c>
      <c r="E139">
        <v>0</v>
      </c>
      <c r="F139">
        <v>99.4</v>
      </c>
      <c r="G139">
        <v>536.779</v>
      </c>
      <c r="H139">
        <v>1096.5060000000001</v>
      </c>
      <c r="I139">
        <v>-1395.5719999999999</v>
      </c>
    </row>
    <row r="140" spans="1:9" x14ac:dyDescent="0.25">
      <c r="A140" t="s">
        <v>125</v>
      </c>
      <c r="B140" t="s">
        <v>202</v>
      </c>
      <c r="C140" t="s">
        <v>143</v>
      </c>
      <c r="D140">
        <v>190.48</v>
      </c>
      <c r="E140">
        <v>-99.4</v>
      </c>
      <c r="F140">
        <v>0</v>
      </c>
      <c r="G140">
        <v>656.06299999999999</v>
      </c>
      <c r="H140">
        <v>1142.8579999999999</v>
      </c>
      <c r="I140">
        <v>-1142.8579999999999</v>
      </c>
    </row>
    <row r="141" spans="1:9" x14ac:dyDescent="0.25">
      <c r="A141" t="s">
        <v>125</v>
      </c>
      <c r="B141" t="s">
        <v>202</v>
      </c>
      <c r="C141" t="s">
        <v>3</v>
      </c>
      <c r="D141">
        <v>210.44</v>
      </c>
      <c r="E141">
        <v>-99.4</v>
      </c>
      <c r="F141">
        <v>0</v>
      </c>
      <c r="G141">
        <v>656.06299999999999</v>
      </c>
      <c r="H141">
        <v>1262.6600000000001</v>
      </c>
      <c r="I141">
        <v>-1561.7270000000001</v>
      </c>
    </row>
    <row r="142" spans="1:9" x14ac:dyDescent="0.25">
      <c r="A142" t="s">
        <v>125</v>
      </c>
      <c r="B142" t="s">
        <v>203</v>
      </c>
      <c r="C142" t="s">
        <v>143</v>
      </c>
      <c r="D142">
        <v>190.48</v>
      </c>
      <c r="E142">
        <v>-99.4</v>
      </c>
      <c r="F142">
        <v>0</v>
      </c>
      <c r="G142">
        <v>536.779</v>
      </c>
      <c r="H142">
        <v>1142.8579999999999</v>
      </c>
      <c r="I142">
        <v>-1142.8579999999999</v>
      </c>
    </row>
    <row r="143" spans="1:9" x14ac:dyDescent="0.25">
      <c r="A143" t="s">
        <v>125</v>
      </c>
      <c r="B143" t="s">
        <v>203</v>
      </c>
      <c r="C143" t="s">
        <v>3</v>
      </c>
      <c r="D143">
        <v>210.44</v>
      </c>
      <c r="E143">
        <v>-99.4</v>
      </c>
      <c r="F143">
        <v>0</v>
      </c>
      <c r="G143">
        <v>536.779</v>
      </c>
      <c r="H143">
        <v>1262.6600000000001</v>
      </c>
      <c r="I143">
        <v>-1561.7270000000001</v>
      </c>
    </row>
    <row r="144" spans="1:9" x14ac:dyDescent="0.25">
      <c r="A144" t="s">
        <v>125</v>
      </c>
      <c r="B144" t="s">
        <v>204</v>
      </c>
      <c r="C144" t="s">
        <v>143</v>
      </c>
      <c r="D144">
        <v>190.48</v>
      </c>
      <c r="E144">
        <v>99.4</v>
      </c>
      <c r="F144">
        <v>0</v>
      </c>
      <c r="G144">
        <v>-656.06299999999999</v>
      </c>
      <c r="H144">
        <v>1142.8579999999999</v>
      </c>
      <c r="I144">
        <v>-1142.8579999999999</v>
      </c>
    </row>
    <row r="145" spans="1:9" x14ac:dyDescent="0.25">
      <c r="A145" t="s">
        <v>125</v>
      </c>
      <c r="B145" t="s">
        <v>204</v>
      </c>
      <c r="C145" t="s">
        <v>3</v>
      </c>
      <c r="D145">
        <v>210.44</v>
      </c>
      <c r="E145">
        <v>99.4</v>
      </c>
      <c r="F145">
        <v>0</v>
      </c>
      <c r="G145">
        <v>-656.06299999999999</v>
      </c>
      <c r="H145">
        <v>1262.6600000000001</v>
      </c>
      <c r="I145">
        <v>-963.59400000000005</v>
      </c>
    </row>
    <row r="146" spans="1:9" x14ac:dyDescent="0.25">
      <c r="A146" t="s">
        <v>125</v>
      </c>
      <c r="B146" t="s">
        <v>205</v>
      </c>
      <c r="C146" t="s">
        <v>143</v>
      </c>
      <c r="D146">
        <v>190.48</v>
      </c>
      <c r="E146">
        <v>99.4</v>
      </c>
      <c r="F146">
        <v>0</v>
      </c>
      <c r="G146">
        <v>-536.779</v>
      </c>
      <c r="H146">
        <v>1142.8579999999999</v>
      </c>
      <c r="I146">
        <v>-1142.8579999999999</v>
      </c>
    </row>
    <row r="147" spans="1:9" x14ac:dyDescent="0.25">
      <c r="A147" t="s">
        <v>125</v>
      </c>
      <c r="B147" t="s">
        <v>205</v>
      </c>
      <c r="C147" t="s">
        <v>3</v>
      </c>
      <c r="D147">
        <v>210.44</v>
      </c>
      <c r="E147">
        <v>99.4</v>
      </c>
      <c r="F147">
        <v>0</v>
      </c>
      <c r="G147">
        <v>-536.779</v>
      </c>
      <c r="H147">
        <v>1262.6600000000001</v>
      </c>
      <c r="I147">
        <v>-963.59400000000005</v>
      </c>
    </row>
    <row r="148" spans="1:9" x14ac:dyDescent="0.25">
      <c r="A148" t="s">
        <v>125</v>
      </c>
      <c r="B148" t="s">
        <v>206</v>
      </c>
      <c r="C148" t="s">
        <v>143</v>
      </c>
      <c r="D148">
        <v>190.48</v>
      </c>
      <c r="E148">
        <v>0</v>
      </c>
      <c r="F148">
        <v>-99.4</v>
      </c>
      <c r="G148">
        <v>-656.06299999999999</v>
      </c>
      <c r="H148">
        <v>1142.8579999999999</v>
      </c>
      <c r="I148">
        <v>-1142.8579999999999</v>
      </c>
    </row>
    <row r="149" spans="1:9" x14ac:dyDescent="0.25">
      <c r="A149" t="s">
        <v>125</v>
      </c>
      <c r="B149" t="s">
        <v>206</v>
      </c>
      <c r="C149" t="s">
        <v>3</v>
      </c>
      <c r="D149">
        <v>210.44</v>
      </c>
      <c r="E149">
        <v>0</v>
      </c>
      <c r="F149">
        <v>-99.4</v>
      </c>
      <c r="G149">
        <v>-656.06299999999999</v>
      </c>
      <c r="H149">
        <v>1561.7270000000001</v>
      </c>
      <c r="I149">
        <v>-1262.6600000000001</v>
      </c>
    </row>
    <row r="150" spans="1:9" x14ac:dyDescent="0.25">
      <c r="A150" t="s">
        <v>125</v>
      </c>
      <c r="B150" t="s">
        <v>207</v>
      </c>
      <c r="C150" t="s">
        <v>143</v>
      </c>
      <c r="D150">
        <v>190.48</v>
      </c>
      <c r="E150">
        <v>0</v>
      </c>
      <c r="F150">
        <v>-99.4</v>
      </c>
      <c r="G150">
        <v>-536.779</v>
      </c>
      <c r="H150">
        <v>1142.8579999999999</v>
      </c>
      <c r="I150">
        <v>-1142.8579999999999</v>
      </c>
    </row>
    <row r="151" spans="1:9" x14ac:dyDescent="0.25">
      <c r="A151" t="s">
        <v>125</v>
      </c>
      <c r="B151" t="s">
        <v>207</v>
      </c>
      <c r="C151" t="s">
        <v>3</v>
      </c>
      <c r="D151">
        <v>210.44</v>
      </c>
      <c r="E151">
        <v>0</v>
      </c>
      <c r="F151">
        <v>-99.4</v>
      </c>
      <c r="G151">
        <v>-536.779</v>
      </c>
      <c r="H151">
        <v>1561.7270000000001</v>
      </c>
      <c r="I151">
        <v>-1262.6600000000001</v>
      </c>
    </row>
    <row r="152" spans="1:9" x14ac:dyDescent="0.25">
      <c r="A152" t="s">
        <v>125</v>
      </c>
      <c r="B152" t="s">
        <v>208</v>
      </c>
      <c r="C152" t="s">
        <v>143</v>
      </c>
      <c r="D152">
        <v>190.48</v>
      </c>
      <c r="E152">
        <v>0</v>
      </c>
      <c r="F152">
        <v>99.4</v>
      </c>
      <c r="G152">
        <v>656.06299999999999</v>
      </c>
      <c r="H152">
        <v>1142.8579999999999</v>
      </c>
      <c r="I152">
        <v>-1142.8579999999999</v>
      </c>
    </row>
    <row r="153" spans="1:9" x14ac:dyDescent="0.25">
      <c r="A153" t="s">
        <v>125</v>
      </c>
      <c r="B153" t="s">
        <v>208</v>
      </c>
      <c r="C153" t="s">
        <v>3</v>
      </c>
      <c r="D153">
        <v>210.44</v>
      </c>
      <c r="E153">
        <v>0</v>
      </c>
      <c r="F153">
        <v>99.4</v>
      </c>
      <c r="G153">
        <v>656.06299999999999</v>
      </c>
      <c r="H153">
        <v>963.59400000000005</v>
      </c>
      <c r="I153">
        <v>-1262.6600000000001</v>
      </c>
    </row>
    <row r="154" spans="1:9" x14ac:dyDescent="0.25">
      <c r="A154" t="s">
        <v>125</v>
      </c>
      <c r="B154" t="s">
        <v>209</v>
      </c>
      <c r="C154" t="s">
        <v>143</v>
      </c>
      <c r="D154">
        <v>190.48</v>
      </c>
      <c r="E154">
        <v>0</v>
      </c>
      <c r="F154">
        <v>99.4</v>
      </c>
      <c r="G154">
        <v>536.779</v>
      </c>
      <c r="H154">
        <v>1142.8579999999999</v>
      </c>
      <c r="I154">
        <v>-1142.8579999999999</v>
      </c>
    </row>
    <row r="155" spans="1:9" x14ac:dyDescent="0.25">
      <c r="A155" t="s">
        <v>125</v>
      </c>
      <c r="B155" t="s">
        <v>209</v>
      </c>
      <c r="C155" t="s">
        <v>3</v>
      </c>
      <c r="D155">
        <v>210.44</v>
      </c>
      <c r="E155">
        <v>0</v>
      </c>
      <c r="F155">
        <v>99.4</v>
      </c>
      <c r="G155">
        <v>536.779</v>
      </c>
      <c r="H155">
        <v>963.59400000000005</v>
      </c>
      <c r="I155">
        <v>-1262.6600000000001</v>
      </c>
    </row>
    <row r="156" spans="1:9" x14ac:dyDescent="0.25">
      <c r="A156" t="s">
        <v>125</v>
      </c>
      <c r="B156" t="s">
        <v>210</v>
      </c>
      <c r="C156" t="s">
        <v>143</v>
      </c>
      <c r="D156">
        <v>233.92</v>
      </c>
      <c r="E156">
        <v>-29.82</v>
      </c>
      <c r="F156">
        <v>0</v>
      </c>
      <c r="G156">
        <v>196.81899999999999</v>
      </c>
      <c r="H156">
        <v>1403.51</v>
      </c>
      <c r="I156">
        <v>-1403.51</v>
      </c>
    </row>
    <row r="157" spans="1:9" x14ac:dyDescent="0.25">
      <c r="A157" t="s">
        <v>125</v>
      </c>
      <c r="B157" t="s">
        <v>210</v>
      </c>
      <c r="C157" t="s">
        <v>3</v>
      </c>
      <c r="D157">
        <v>258.44</v>
      </c>
      <c r="E157">
        <v>-29.82</v>
      </c>
      <c r="F157">
        <v>0</v>
      </c>
      <c r="G157">
        <v>196.81899999999999</v>
      </c>
      <c r="H157">
        <v>1550.636</v>
      </c>
      <c r="I157">
        <v>-1640.356</v>
      </c>
    </row>
    <row r="158" spans="1:9" x14ac:dyDescent="0.25">
      <c r="A158" t="s">
        <v>125</v>
      </c>
      <c r="B158" t="s">
        <v>211</v>
      </c>
      <c r="C158" t="s">
        <v>143</v>
      </c>
      <c r="D158">
        <v>233.92</v>
      </c>
      <c r="E158">
        <v>-29.82</v>
      </c>
      <c r="F158">
        <v>0</v>
      </c>
      <c r="G158">
        <v>161.03399999999999</v>
      </c>
      <c r="H158">
        <v>1403.51</v>
      </c>
      <c r="I158">
        <v>-1403.51</v>
      </c>
    </row>
    <row r="159" spans="1:9" x14ac:dyDescent="0.25">
      <c r="A159" t="s">
        <v>125</v>
      </c>
      <c r="B159" t="s">
        <v>211</v>
      </c>
      <c r="C159" t="s">
        <v>3</v>
      </c>
      <c r="D159">
        <v>258.44</v>
      </c>
      <c r="E159">
        <v>-29.82</v>
      </c>
      <c r="F159">
        <v>0</v>
      </c>
      <c r="G159">
        <v>161.03399999999999</v>
      </c>
      <c r="H159">
        <v>1550.636</v>
      </c>
      <c r="I159">
        <v>-1640.356</v>
      </c>
    </row>
    <row r="160" spans="1:9" x14ac:dyDescent="0.25">
      <c r="A160" t="s">
        <v>125</v>
      </c>
      <c r="B160" t="s">
        <v>212</v>
      </c>
      <c r="C160" t="s">
        <v>143</v>
      </c>
      <c r="D160">
        <v>233.92</v>
      </c>
      <c r="E160">
        <v>29.82</v>
      </c>
      <c r="F160">
        <v>0</v>
      </c>
      <c r="G160">
        <v>-196.81899999999999</v>
      </c>
      <c r="H160">
        <v>1403.51</v>
      </c>
      <c r="I160">
        <v>-1403.51</v>
      </c>
    </row>
    <row r="161" spans="1:9" x14ac:dyDescent="0.25">
      <c r="A161" t="s">
        <v>125</v>
      </c>
      <c r="B161" t="s">
        <v>212</v>
      </c>
      <c r="C161" t="s">
        <v>3</v>
      </c>
      <c r="D161">
        <v>258.44</v>
      </c>
      <c r="E161">
        <v>29.82</v>
      </c>
      <c r="F161">
        <v>0</v>
      </c>
      <c r="G161">
        <v>-196.81899999999999</v>
      </c>
      <c r="H161">
        <v>1550.636</v>
      </c>
      <c r="I161">
        <v>-1460.9159999999999</v>
      </c>
    </row>
    <row r="162" spans="1:9" x14ac:dyDescent="0.25">
      <c r="A162" t="s">
        <v>125</v>
      </c>
      <c r="B162" t="s">
        <v>213</v>
      </c>
      <c r="C162" t="s">
        <v>143</v>
      </c>
      <c r="D162">
        <v>233.92</v>
      </c>
      <c r="E162">
        <v>29.82</v>
      </c>
      <c r="F162">
        <v>0</v>
      </c>
      <c r="G162">
        <v>-161.03399999999999</v>
      </c>
      <c r="H162">
        <v>1403.51</v>
      </c>
      <c r="I162">
        <v>-1403.51</v>
      </c>
    </row>
    <row r="163" spans="1:9" x14ac:dyDescent="0.25">
      <c r="A163" t="s">
        <v>125</v>
      </c>
      <c r="B163" t="s">
        <v>213</v>
      </c>
      <c r="C163" t="s">
        <v>3</v>
      </c>
      <c r="D163">
        <v>258.44</v>
      </c>
      <c r="E163">
        <v>29.82</v>
      </c>
      <c r="F163">
        <v>0</v>
      </c>
      <c r="G163">
        <v>-161.03399999999999</v>
      </c>
      <c r="H163">
        <v>1550.636</v>
      </c>
      <c r="I163">
        <v>-1460.9159999999999</v>
      </c>
    </row>
    <row r="164" spans="1:9" x14ac:dyDescent="0.25">
      <c r="A164" t="s">
        <v>125</v>
      </c>
      <c r="B164" t="s">
        <v>214</v>
      </c>
      <c r="C164" t="s">
        <v>143</v>
      </c>
      <c r="D164">
        <v>233.92</v>
      </c>
      <c r="E164">
        <v>0</v>
      </c>
      <c r="F164">
        <v>-29.82</v>
      </c>
      <c r="G164">
        <v>-196.81899999999999</v>
      </c>
      <c r="H164">
        <v>1403.51</v>
      </c>
      <c r="I164">
        <v>-1403.51</v>
      </c>
    </row>
    <row r="165" spans="1:9" x14ac:dyDescent="0.25">
      <c r="A165" t="s">
        <v>125</v>
      </c>
      <c r="B165" t="s">
        <v>214</v>
      </c>
      <c r="C165" t="s">
        <v>3</v>
      </c>
      <c r="D165">
        <v>258.44</v>
      </c>
      <c r="E165">
        <v>0</v>
      </c>
      <c r="F165">
        <v>-29.82</v>
      </c>
      <c r="G165">
        <v>-196.81899999999999</v>
      </c>
      <c r="H165">
        <v>1640.356</v>
      </c>
      <c r="I165">
        <v>-1550.636</v>
      </c>
    </row>
    <row r="166" spans="1:9" x14ac:dyDescent="0.25">
      <c r="A166" t="s">
        <v>125</v>
      </c>
      <c r="B166" t="s">
        <v>215</v>
      </c>
      <c r="C166" t="s">
        <v>143</v>
      </c>
      <c r="D166">
        <v>233.92</v>
      </c>
      <c r="E166">
        <v>0</v>
      </c>
      <c r="F166">
        <v>-29.82</v>
      </c>
      <c r="G166">
        <v>-161.03399999999999</v>
      </c>
      <c r="H166">
        <v>1403.51</v>
      </c>
      <c r="I166">
        <v>-1403.51</v>
      </c>
    </row>
    <row r="167" spans="1:9" x14ac:dyDescent="0.25">
      <c r="A167" t="s">
        <v>125</v>
      </c>
      <c r="B167" t="s">
        <v>215</v>
      </c>
      <c r="C167" t="s">
        <v>3</v>
      </c>
      <c r="D167">
        <v>258.44</v>
      </c>
      <c r="E167">
        <v>0</v>
      </c>
      <c r="F167">
        <v>-29.82</v>
      </c>
      <c r="G167">
        <v>-161.03399999999999</v>
      </c>
      <c r="H167">
        <v>1640.356</v>
      </c>
      <c r="I167">
        <v>-1550.636</v>
      </c>
    </row>
    <row r="168" spans="1:9" x14ac:dyDescent="0.25">
      <c r="A168" t="s">
        <v>125</v>
      </c>
      <c r="B168" t="s">
        <v>216</v>
      </c>
      <c r="C168" t="s">
        <v>143</v>
      </c>
      <c r="D168">
        <v>233.92</v>
      </c>
      <c r="E168">
        <v>0</v>
      </c>
      <c r="F168">
        <v>29.82</v>
      </c>
      <c r="G168">
        <v>196.81899999999999</v>
      </c>
      <c r="H168">
        <v>1403.51</v>
      </c>
      <c r="I168">
        <v>-1403.51</v>
      </c>
    </row>
    <row r="169" spans="1:9" x14ac:dyDescent="0.25">
      <c r="A169" t="s">
        <v>125</v>
      </c>
      <c r="B169" t="s">
        <v>216</v>
      </c>
      <c r="C169" t="s">
        <v>3</v>
      </c>
      <c r="D169">
        <v>258.44</v>
      </c>
      <c r="E169">
        <v>0</v>
      </c>
      <c r="F169">
        <v>29.82</v>
      </c>
      <c r="G169">
        <v>196.81899999999999</v>
      </c>
      <c r="H169">
        <v>1460.9159999999999</v>
      </c>
      <c r="I169">
        <v>-1550.636</v>
      </c>
    </row>
    <row r="170" spans="1:9" x14ac:dyDescent="0.25">
      <c r="A170" t="s">
        <v>125</v>
      </c>
      <c r="B170" t="s">
        <v>217</v>
      </c>
      <c r="C170" t="s">
        <v>143</v>
      </c>
      <c r="D170">
        <v>233.92</v>
      </c>
      <c r="E170">
        <v>0</v>
      </c>
      <c r="F170">
        <v>29.82</v>
      </c>
      <c r="G170">
        <v>161.03399999999999</v>
      </c>
      <c r="H170">
        <v>1403.51</v>
      </c>
      <c r="I170">
        <v>-1403.51</v>
      </c>
    </row>
    <row r="171" spans="1:9" x14ac:dyDescent="0.25">
      <c r="A171" t="s">
        <v>125</v>
      </c>
      <c r="B171" t="s">
        <v>217</v>
      </c>
      <c r="C171" t="s">
        <v>3</v>
      </c>
      <c r="D171">
        <v>258.44</v>
      </c>
      <c r="E171">
        <v>0</v>
      </c>
      <c r="F171">
        <v>29.82</v>
      </c>
      <c r="G171">
        <v>161.03399999999999</v>
      </c>
      <c r="H171">
        <v>1460.9159999999999</v>
      </c>
      <c r="I171">
        <v>-1550.636</v>
      </c>
    </row>
    <row r="172" spans="1:9" x14ac:dyDescent="0.25">
      <c r="A172" t="s">
        <v>125</v>
      </c>
      <c r="B172" t="s">
        <v>218</v>
      </c>
      <c r="C172" t="s">
        <v>143</v>
      </c>
      <c r="D172">
        <v>167.08</v>
      </c>
      <c r="E172">
        <v>-29.82</v>
      </c>
      <c r="F172">
        <v>0</v>
      </c>
      <c r="G172">
        <v>196.81899999999999</v>
      </c>
      <c r="H172">
        <v>1002.5069999999999</v>
      </c>
      <c r="I172">
        <v>-1002.5069999999999</v>
      </c>
    </row>
    <row r="173" spans="1:9" x14ac:dyDescent="0.25">
      <c r="A173" t="s">
        <v>125</v>
      </c>
      <c r="B173" t="s">
        <v>218</v>
      </c>
      <c r="C173" t="s">
        <v>3</v>
      </c>
      <c r="D173">
        <v>184.6</v>
      </c>
      <c r="E173">
        <v>-29.82</v>
      </c>
      <c r="F173">
        <v>0</v>
      </c>
      <c r="G173">
        <v>196.81899999999999</v>
      </c>
      <c r="H173">
        <v>1107.597</v>
      </c>
      <c r="I173">
        <v>-1197.317</v>
      </c>
    </row>
    <row r="174" spans="1:9" x14ac:dyDescent="0.25">
      <c r="A174" t="s">
        <v>125</v>
      </c>
      <c r="B174" t="s">
        <v>219</v>
      </c>
      <c r="C174" t="s">
        <v>143</v>
      </c>
      <c r="D174">
        <v>167.08</v>
      </c>
      <c r="E174">
        <v>-29.82</v>
      </c>
      <c r="F174">
        <v>0</v>
      </c>
      <c r="G174">
        <v>161.03399999999999</v>
      </c>
      <c r="H174">
        <v>1002.5069999999999</v>
      </c>
      <c r="I174">
        <v>-1002.5069999999999</v>
      </c>
    </row>
    <row r="175" spans="1:9" x14ac:dyDescent="0.25">
      <c r="A175" t="s">
        <v>125</v>
      </c>
      <c r="B175" t="s">
        <v>219</v>
      </c>
      <c r="C175" t="s">
        <v>3</v>
      </c>
      <c r="D175">
        <v>184.6</v>
      </c>
      <c r="E175">
        <v>-29.82</v>
      </c>
      <c r="F175">
        <v>0</v>
      </c>
      <c r="G175">
        <v>161.03399999999999</v>
      </c>
      <c r="H175">
        <v>1107.597</v>
      </c>
      <c r="I175">
        <v>-1197.317</v>
      </c>
    </row>
    <row r="176" spans="1:9" x14ac:dyDescent="0.25">
      <c r="A176" t="s">
        <v>125</v>
      </c>
      <c r="B176" t="s">
        <v>220</v>
      </c>
      <c r="C176" t="s">
        <v>143</v>
      </c>
      <c r="D176">
        <v>167.08</v>
      </c>
      <c r="E176">
        <v>29.82</v>
      </c>
      <c r="F176">
        <v>0</v>
      </c>
      <c r="G176">
        <v>-196.81899999999999</v>
      </c>
      <c r="H176">
        <v>1002.5069999999999</v>
      </c>
      <c r="I176">
        <v>-1002.5069999999999</v>
      </c>
    </row>
    <row r="177" spans="1:9" x14ac:dyDescent="0.25">
      <c r="A177" t="s">
        <v>125</v>
      </c>
      <c r="B177" t="s">
        <v>220</v>
      </c>
      <c r="C177" t="s">
        <v>3</v>
      </c>
      <c r="D177">
        <v>184.6</v>
      </c>
      <c r="E177">
        <v>29.82</v>
      </c>
      <c r="F177">
        <v>0</v>
      </c>
      <c r="G177">
        <v>-196.81899999999999</v>
      </c>
      <c r="H177">
        <v>1107.597</v>
      </c>
      <c r="I177">
        <v>-1017.877</v>
      </c>
    </row>
    <row r="178" spans="1:9" x14ac:dyDescent="0.25">
      <c r="A178" t="s">
        <v>125</v>
      </c>
      <c r="B178" t="s">
        <v>221</v>
      </c>
      <c r="C178" t="s">
        <v>143</v>
      </c>
      <c r="D178">
        <v>167.08</v>
      </c>
      <c r="E178">
        <v>29.82</v>
      </c>
      <c r="F178">
        <v>0</v>
      </c>
      <c r="G178">
        <v>-161.03399999999999</v>
      </c>
      <c r="H178">
        <v>1002.5069999999999</v>
      </c>
      <c r="I178">
        <v>-1002.5069999999999</v>
      </c>
    </row>
    <row r="179" spans="1:9" x14ac:dyDescent="0.25">
      <c r="A179" t="s">
        <v>125</v>
      </c>
      <c r="B179" t="s">
        <v>221</v>
      </c>
      <c r="C179" t="s">
        <v>3</v>
      </c>
      <c r="D179">
        <v>184.6</v>
      </c>
      <c r="E179">
        <v>29.82</v>
      </c>
      <c r="F179">
        <v>0</v>
      </c>
      <c r="G179">
        <v>-161.03399999999999</v>
      </c>
      <c r="H179">
        <v>1107.597</v>
      </c>
      <c r="I179">
        <v>-1017.877</v>
      </c>
    </row>
    <row r="180" spans="1:9" x14ac:dyDescent="0.25">
      <c r="A180" t="s">
        <v>125</v>
      </c>
      <c r="B180" t="s">
        <v>222</v>
      </c>
      <c r="C180" t="s">
        <v>143</v>
      </c>
      <c r="D180">
        <v>167.08</v>
      </c>
      <c r="E180">
        <v>0</v>
      </c>
      <c r="F180">
        <v>-29.82</v>
      </c>
      <c r="G180">
        <v>-196.81899999999999</v>
      </c>
      <c r="H180">
        <v>1002.5069999999999</v>
      </c>
      <c r="I180">
        <v>-1002.5069999999999</v>
      </c>
    </row>
    <row r="181" spans="1:9" x14ac:dyDescent="0.25">
      <c r="A181" t="s">
        <v>125</v>
      </c>
      <c r="B181" t="s">
        <v>222</v>
      </c>
      <c r="C181" t="s">
        <v>3</v>
      </c>
      <c r="D181">
        <v>184.6</v>
      </c>
      <c r="E181">
        <v>0</v>
      </c>
      <c r="F181">
        <v>-29.82</v>
      </c>
      <c r="G181">
        <v>-196.81899999999999</v>
      </c>
      <c r="H181">
        <v>1197.317</v>
      </c>
      <c r="I181">
        <v>-1107.597</v>
      </c>
    </row>
    <row r="182" spans="1:9" x14ac:dyDescent="0.25">
      <c r="A182" t="s">
        <v>125</v>
      </c>
      <c r="B182" t="s">
        <v>223</v>
      </c>
      <c r="C182" t="s">
        <v>143</v>
      </c>
      <c r="D182">
        <v>167.08</v>
      </c>
      <c r="E182">
        <v>0</v>
      </c>
      <c r="F182">
        <v>-29.82</v>
      </c>
      <c r="G182">
        <v>-161.03399999999999</v>
      </c>
      <c r="H182">
        <v>1002.5069999999999</v>
      </c>
      <c r="I182">
        <v>-1002.5069999999999</v>
      </c>
    </row>
    <row r="183" spans="1:9" x14ac:dyDescent="0.25">
      <c r="A183" t="s">
        <v>125</v>
      </c>
      <c r="B183" t="s">
        <v>223</v>
      </c>
      <c r="C183" t="s">
        <v>3</v>
      </c>
      <c r="D183">
        <v>184.6</v>
      </c>
      <c r="E183">
        <v>0</v>
      </c>
      <c r="F183">
        <v>-29.82</v>
      </c>
      <c r="G183">
        <v>-161.03399999999999</v>
      </c>
      <c r="H183">
        <v>1197.317</v>
      </c>
      <c r="I183">
        <v>-1107.597</v>
      </c>
    </row>
    <row r="184" spans="1:9" x14ac:dyDescent="0.25">
      <c r="A184" t="s">
        <v>125</v>
      </c>
      <c r="B184" t="s">
        <v>224</v>
      </c>
      <c r="C184" t="s">
        <v>143</v>
      </c>
      <c r="D184">
        <v>167.08</v>
      </c>
      <c r="E184">
        <v>0</v>
      </c>
      <c r="F184">
        <v>29.82</v>
      </c>
      <c r="G184">
        <v>196.81899999999999</v>
      </c>
      <c r="H184">
        <v>1002.5069999999999</v>
      </c>
      <c r="I184">
        <v>-1002.5069999999999</v>
      </c>
    </row>
    <row r="185" spans="1:9" x14ac:dyDescent="0.25">
      <c r="A185" t="s">
        <v>125</v>
      </c>
      <c r="B185" t="s">
        <v>224</v>
      </c>
      <c r="C185" t="s">
        <v>3</v>
      </c>
      <c r="D185">
        <v>184.6</v>
      </c>
      <c r="E185">
        <v>0</v>
      </c>
      <c r="F185">
        <v>29.82</v>
      </c>
      <c r="G185">
        <v>196.81899999999999</v>
      </c>
      <c r="H185">
        <v>1017.877</v>
      </c>
      <c r="I185">
        <v>-1107.597</v>
      </c>
    </row>
    <row r="186" spans="1:9" x14ac:dyDescent="0.25">
      <c r="A186" t="s">
        <v>125</v>
      </c>
      <c r="B186" t="s">
        <v>225</v>
      </c>
      <c r="C186" t="s">
        <v>143</v>
      </c>
      <c r="D186">
        <v>167.08</v>
      </c>
      <c r="E186">
        <v>0</v>
      </c>
      <c r="F186">
        <v>29.82</v>
      </c>
      <c r="G186">
        <v>161.03399999999999</v>
      </c>
      <c r="H186">
        <v>1002.5069999999999</v>
      </c>
      <c r="I186">
        <v>-1002.5069999999999</v>
      </c>
    </row>
    <row r="187" spans="1:9" x14ac:dyDescent="0.25">
      <c r="A187" t="s">
        <v>125</v>
      </c>
      <c r="B187" t="s">
        <v>225</v>
      </c>
      <c r="C187" t="s">
        <v>3</v>
      </c>
      <c r="D187">
        <v>184.6</v>
      </c>
      <c r="E187">
        <v>0</v>
      </c>
      <c r="F187">
        <v>29.82</v>
      </c>
      <c r="G187">
        <v>161.03399999999999</v>
      </c>
      <c r="H187">
        <v>1017.877</v>
      </c>
      <c r="I187">
        <v>-1107.597</v>
      </c>
    </row>
    <row r="188" spans="1:9" x14ac:dyDescent="0.25">
      <c r="A188" t="s">
        <v>125</v>
      </c>
      <c r="B188" t="s">
        <v>226</v>
      </c>
      <c r="C188" t="s">
        <v>143</v>
      </c>
      <c r="D188">
        <v>298.95999999999998</v>
      </c>
      <c r="E188">
        <v>90.93</v>
      </c>
      <c r="F188">
        <v>0</v>
      </c>
      <c r="G188">
        <v>600.15700000000004</v>
      </c>
      <c r="H188">
        <v>1793.7619999999999</v>
      </c>
      <c r="I188">
        <v>-1793.7619999999999</v>
      </c>
    </row>
    <row r="189" spans="1:9" x14ac:dyDescent="0.25">
      <c r="A189" t="s">
        <v>125</v>
      </c>
      <c r="B189" t="s">
        <v>226</v>
      </c>
      <c r="C189" t="s">
        <v>3</v>
      </c>
      <c r="D189">
        <v>328.04</v>
      </c>
      <c r="E189">
        <v>90.93</v>
      </c>
      <c r="F189">
        <v>0</v>
      </c>
      <c r="G189">
        <v>600.15700000000004</v>
      </c>
      <c r="H189">
        <v>1968.211</v>
      </c>
      <c r="I189">
        <v>-1694.6010000000001</v>
      </c>
    </row>
    <row r="190" spans="1:9" x14ac:dyDescent="0.25">
      <c r="A190" t="s">
        <v>125</v>
      </c>
      <c r="B190" t="s">
        <v>227</v>
      </c>
      <c r="C190" t="s">
        <v>143</v>
      </c>
      <c r="D190">
        <v>298.95999999999998</v>
      </c>
      <c r="E190">
        <v>-90.93</v>
      </c>
      <c r="F190">
        <v>0</v>
      </c>
      <c r="G190">
        <v>-600.15700000000004</v>
      </c>
      <c r="H190">
        <v>1793.7619999999999</v>
      </c>
      <c r="I190">
        <v>-1793.7619999999999</v>
      </c>
    </row>
    <row r="191" spans="1:9" x14ac:dyDescent="0.25">
      <c r="A191" t="s">
        <v>125</v>
      </c>
      <c r="B191" t="s">
        <v>227</v>
      </c>
      <c r="C191" t="s">
        <v>3</v>
      </c>
      <c r="D191">
        <v>328.04</v>
      </c>
      <c r="E191">
        <v>-90.93</v>
      </c>
      <c r="F191">
        <v>0</v>
      </c>
      <c r="G191">
        <v>-600.15700000000004</v>
      </c>
      <c r="H191">
        <v>1968.211</v>
      </c>
      <c r="I191">
        <v>-2241.8209999999999</v>
      </c>
    </row>
    <row r="192" spans="1:9" x14ac:dyDescent="0.25">
      <c r="A192" t="s">
        <v>125</v>
      </c>
      <c r="B192" t="s">
        <v>228</v>
      </c>
      <c r="C192" t="s">
        <v>143</v>
      </c>
      <c r="D192">
        <v>278.91000000000003</v>
      </c>
      <c r="E192">
        <v>90.93</v>
      </c>
      <c r="F192">
        <v>0</v>
      </c>
      <c r="G192">
        <v>600.15700000000004</v>
      </c>
      <c r="H192">
        <v>1673.461</v>
      </c>
      <c r="I192">
        <v>-1673.461</v>
      </c>
    </row>
    <row r="193" spans="1:9" x14ac:dyDescent="0.25">
      <c r="A193" t="s">
        <v>125</v>
      </c>
      <c r="B193" t="s">
        <v>228</v>
      </c>
      <c r="C193" t="s">
        <v>3</v>
      </c>
      <c r="D193">
        <v>305.88</v>
      </c>
      <c r="E193">
        <v>90.93</v>
      </c>
      <c r="F193">
        <v>0</v>
      </c>
      <c r="G193">
        <v>600.15700000000004</v>
      </c>
      <c r="H193">
        <v>1835.299</v>
      </c>
      <c r="I193">
        <v>-1561.69</v>
      </c>
    </row>
    <row r="194" spans="1:9" x14ac:dyDescent="0.25">
      <c r="A194" t="s">
        <v>125</v>
      </c>
      <c r="B194" t="s">
        <v>229</v>
      </c>
      <c r="C194" t="s">
        <v>143</v>
      </c>
      <c r="D194">
        <v>278.91000000000003</v>
      </c>
      <c r="E194">
        <v>-90.93</v>
      </c>
      <c r="F194">
        <v>0</v>
      </c>
      <c r="G194">
        <v>-600.15700000000004</v>
      </c>
      <c r="H194">
        <v>1673.461</v>
      </c>
      <c r="I194">
        <v>-1673.461</v>
      </c>
    </row>
    <row r="195" spans="1:9" x14ac:dyDescent="0.25">
      <c r="A195" t="s">
        <v>125</v>
      </c>
      <c r="B195" t="s">
        <v>229</v>
      </c>
      <c r="C195" t="s">
        <v>3</v>
      </c>
      <c r="D195">
        <v>305.88</v>
      </c>
      <c r="E195">
        <v>-90.93</v>
      </c>
      <c r="F195">
        <v>0</v>
      </c>
      <c r="G195">
        <v>-600.15700000000004</v>
      </c>
      <c r="H195">
        <v>1835.299</v>
      </c>
      <c r="I195">
        <v>-2108.9090000000001</v>
      </c>
    </row>
    <row r="196" spans="1:9" x14ac:dyDescent="0.25">
      <c r="A196" t="s">
        <v>125</v>
      </c>
      <c r="B196" t="s">
        <v>230</v>
      </c>
      <c r="C196" t="s">
        <v>143</v>
      </c>
      <c r="D196">
        <v>298.95999999999998</v>
      </c>
      <c r="E196">
        <v>0</v>
      </c>
      <c r="F196">
        <v>83.36</v>
      </c>
      <c r="G196">
        <v>550.14400000000001</v>
      </c>
      <c r="H196">
        <v>1793.7619999999999</v>
      </c>
      <c r="I196">
        <v>-1793.7619999999999</v>
      </c>
    </row>
    <row r="197" spans="1:9" x14ac:dyDescent="0.25">
      <c r="A197" t="s">
        <v>125</v>
      </c>
      <c r="B197" t="s">
        <v>230</v>
      </c>
      <c r="C197" t="s">
        <v>3</v>
      </c>
      <c r="D197">
        <v>328.04</v>
      </c>
      <c r="E197">
        <v>0</v>
      </c>
      <c r="F197">
        <v>83.36</v>
      </c>
      <c r="G197">
        <v>550.14400000000001</v>
      </c>
      <c r="H197">
        <v>2219.02</v>
      </c>
      <c r="I197">
        <v>-1968.211</v>
      </c>
    </row>
    <row r="198" spans="1:9" x14ac:dyDescent="0.25">
      <c r="A198" t="s">
        <v>125</v>
      </c>
      <c r="B198" t="s">
        <v>231</v>
      </c>
      <c r="C198" t="s">
        <v>143</v>
      </c>
      <c r="D198">
        <v>298.95999999999998</v>
      </c>
      <c r="E198">
        <v>0</v>
      </c>
      <c r="F198">
        <v>-83.36</v>
      </c>
      <c r="G198">
        <v>-550.14400000000001</v>
      </c>
      <c r="H198">
        <v>1793.7619999999999</v>
      </c>
      <c r="I198">
        <v>-1793.7619999999999</v>
      </c>
    </row>
    <row r="199" spans="1:9" x14ac:dyDescent="0.25">
      <c r="A199" t="s">
        <v>125</v>
      </c>
      <c r="B199" t="s">
        <v>231</v>
      </c>
      <c r="C199" t="s">
        <v>3</v>
      </c>
      <c r="D199">
        <v>328.04</v>
      </c>
      <c r="E199">
        <v>0</v>
      </c>
      <c r="F199">
        <v>-83.36</v>
      </c>
      <c r="G199">
        <v>-550.14400000000001</v>
      </c>
      <c r="H199">
        <v>1717.402</v>
      </c>
      <c r="I199">
        <v>-1968.211</v>
      </c>
    </row>
    <row r="200" spans="1:9" x14ac:dyDescent="0.25">
      <c r="A200" t="s">
        <v>125</v>
      </c>
      <c r="B200" t="s">
        <v>232</v>
      </c>
      <c r="C200" t="s">
        <v>143</v>
      </c>
      <c r="D200">
        <v>278.91000000000003</v>
      </c>
      <c r="E200">
        <v>0</v>
      </c>
      <c r="F200">
        <v>83.36</v>
      </c>
      <c r="G200">
        <v>550.14400000000001</v>
      </c>
      <c r="H200">
        <v>1673.461</v>
      </c>
      <c r="I200">
        <v>-1673.461</v>
      </c>
    </row>
    <row r="201" spans="1:9" x14ac:dyDescent="0.25">
      <c r="A201" t="s">
        <v>125</v>
      </c>
      <c r="B201" t="s">
        <v>232</v>
      </c>
      <c r="C201" t="s">
        <v>3</v>
      </c>
      <c r="D201">
        <v>305.88</v>
      </c>
      <c r="E201">
        <v>0</v>
      </c>
      <c r="F201">
        <v>83.36</v>
      </c>
      <c r="G201">
        <v>550.14400000000001</v>
      </c>
      <c r="H201">
        <v>2086.1080000000002</v>
      </c>
      <c r="I201">
        <v>-1835.299</v>
      </c>
    </row>
    <row r="202" spans="1:9" x14ac:dyDescent="0.25">
      <c r="A202" t="s">
        <v>125</v>
      </c>
      <c r="B202" t="s">
        <v>233</v>
      </c>
      <c r="C202" t="s">
        <v>143</v>
      </c>
      <c r="D202">
        <v>278.91000000000003</v>
      </c>
      <c r="E202">
        <v>0</v>
      </c>
      <c r="F202">
        <v>-83.36</v>
      </c>
      <c r="G202">
        <v>-550.14400000000001</v>
      </c>
      <c r="H202">
        <v>1673.461</v>
      </c>
      <c r="I202">
        <v>-1673.461</v>
      </c>
    </row>
    <row r="203" spans="1:9" x14ac:dyDescent="0.25">
      <c r="A203" t="s">
        <v>125</v>
      </c>
      <c r="B203" t="s">
        <v>233</v>
      </c>
      <c r="C203" t="s">
        <v>3</v>
      </c>
      <c r="D203">
        <v>305.88</v>
      </c>
      <c r="E203">
        <v>0</v>
      </c>
      <c r="F203">
        <v>-83.36</v>
      </c>
      <c r="G203">
        <v>-550.14400000000001</v>
      </c>
      <c r="H203">
        <v>1584.49</v>
      </c>
      <c r="I203">
        <v>-1835.299</v>
      </c>
    </row>
    <row r="204" spans="1:9" x14ac:dyDescent="0.25">
      <c r="A204" t="s">
        <v>125</v>
      </c>
      <c r="B204" t="s">
        <v>234</v>
      </c>
      <c r="C204" t="s">
        <v>143</v>
      </c>
      <c r="D204">
        <v>322.35000000000002</v>
      </c>
      <c r="E204">
        <v>27.28</v>
      </c>
      <c r="F204">
        <v>0</v>
      </c>
      <c r="G204">
        <v>180.047</v>
      </c>
      <c r="H204">
        <v>1934.1130000000001</v>
      </c>
      <c r="I204">
        <v>-1934.1130000000001</v>
      </c>
    </row>
    <row r="205" spans="1:9" x14ac:dyDescent="0.25">
      <c r="A205" t="s">
        <v>125</v>
      </c>
      <c r="B205" t="s">
        <v>234</v>
      </c>
      <c r="C205" t="s">
        <v>3</v>
      </c>
      <c r="D205">
        <v>353.88</v>
      </c>
      <c r="E205">
        <v>27.28</v>
      </c>
      <c r="F205">
        <v>0</v>
      </c>
      <c r="G205">
        <v>180.047</v>
      </c>
      <c r="H205">
        <v>2123.2739999999999</v>
      </c>
      <c r="I205">
        <v>-2041.192</v>
      </c>
    </row>
    <row r="206" spans="1:9" x14ac:dyDescent="0.25">
      <c r="A206" t="s">
        <v>125</v>
      </c>
      <c r="B206" t="s">
        <v>235</v>
      </c>
      <c r="C206" t="s">
        <v>143</v>
      </c>
      <c r="D206">
        <v>322.35000000000002</v>
      </c>
      <c r="E206">
        <v>-27.28</v>
      </c>
      <c r="F206">
        <v>0</v>
      </c>
      <c r="G206">
        <v>-180.047</v>
      </c>
      <c r="H206">
        <v>1934.1130000000001</v>
      </c>
      <c r="I206">
        <v>-1934.1130000000001</v>
      </c>
    </row>
    <row r="207" spans="1:9" x14ac:dyDescent="0.25">
      <c r="A207" t="s">
        <v>125</v>
      </c>
      <c r="B207" t="s">
        <v>235</v>
      </c>
      <c r="C207" t="s">
        <v>3</v>
      </c>
      <c r="D207">
        <v>353.88</v>
      </c>
      <c r="E207">
        <v>-27.28</v>
      </c>
      <c r="F207">
        <v>0</v>
      </c>
      <c r="G207">
        <v>-180.047</v>
      </c>
      <c r="H207">
        <v>2123.2739999999999</v>
      </c>
      <c r="I207">
        <v>-2205.357</v>
      </c>
    </row>
    <row r="208" spans="1:9" x14ac:dyDescent="0.25">
      <c r="A208" t="s">
        <v>125</v>
      </c>
      <c r="B208" t="s">
        <v>236</v>
      </c>
      <c r="C208" t="s">
        <v>143</v>
      </c>
      <c r="D208">
        <v>255.52</v>
      </c>
      <c r="E208">
        <v>27.28</v>
      </c>
      <c r="F208">
        <v>0</v>
      </c>
      <c r="G208">
        <v>180.047</v>
      </c>
      <c r="H208">
        <v>1533.11</v>
      </c>
      <c r="I208">
        <v>-1533.11</v>
      </c>
    </row>
    <row r="209" spans="1:9" x14ac:dyDescent="0.25">
      <c r="A209" t="s">
        <v>125</v>
      </c>
      <c r="B209" t="s">
        <v>236</v>
      </c>
      <c r="C209" t="s">
        <v>3</v>
      </c>
      <c r="D209">
        <v>280.04000000000002</v>
      </c>
      <c r="E209">
        <v>27.28</v>
      </c>
      <c r="F209">
        <v>0</v>
      </c>
      <c r="G209">
        <v>180.047</v>
      </c>
      <c r="H209">
        <v>1680.2360000000001</v>
      </c>
      <c r="I209">
        <v>-1598.153</v>
      </c>
    </row>
    <row r="210" spans="1:9" x14ac:dyDescent="0.25">
      <c r="A210" t="s">
        <v>125</v>
      </c>
      <c r="B210" t="s">
        <v>237</v>
      </c>
      <c r="C210" t="s">
        <v>143</v>
      </c>
      <c r="D210">
        <v>255.52</v>
      </c>
      <c r="E210">
        <v>-27.28</v>
      </c>
      <c r="F210">
        <v>0</v>
      </c>
      <c r="G210">
        <v>-180.047</v>
      </c>
      <c r="H210">
        <v>1533.11</v>
      </c>
      <c r="I210">
        <v>-1533.11</v>
      </c>
    </row>
    <row r="211" spans="1:9" x14ac:dyDescent="0.25">
      <c r="A211" t="s">
        <v>125</v>
      </c>
      <c r="B211" t="s">
        <v>237</v>
      </c>
      <c r="C211" t="s">
        <v>3</v>
      </c>
      <c r="D211">
        <v>280.04000000000002</v>
      </c>
      <c r="E211">
        <v>-27.28</v>
      </c>
      <c r="F211">
        <v>0</v>
      </c>
      <c r="G211">
        <v>-180.047</v>
      </c>
      <c r="H211">
        <v>1680.2360000000001</v>
      </c>
      <c r="I211">
        <v>-1762.319</v>
      </c>
    </row>
    <row r="212" spans="1:9" x14ac:dyDescent="0.25">
      <c r="A212" t="s">
        <v>125</v>
      </c>
      <c r="B212" t="s">
        <v>238</v>
      </c>
      <c r="C212" t="s">
        <v>143</v>
      </c>
      <c r="D212">
        <v>322.35000000000002</v>
      </c>
      <c r="E212">
        <v>0</v>
      </c>
      <c r="F212">
        <v>25.01</v>
      </c>
      <c r="G212">
        <v>165.04300000000001</v>
      </c>
      <c r="H212">
        <v>1934.1130000000001</v>
      </c>
      <c r="I212">
        <v>-1934.1130000000001</v>
      </c>
    </row>
    <row r="213" spans="1:9" x14ac:dyDescent="0.25">
      <c r="A213" t="s">
        <v>125</v>
      </c>
      <c r="B213" t="s">
        <v>238</v>
      </c>
      <c r="C213" t="s">
        <v>3</v>
      </c>
      <c r="D213">
        <v>353.88</v>
      </c>
      <c r="E213">
        <v>0</v>
      </c>
      <c r="F213">
        <v>25.01</v>
      </c>
      <c r="G213">
        <v>165.04300000000001</v>
      </c>
      <c r="H213">
        <v>2198.5169999999998</v>
      </c>
      <c r="I213">
        <v>-2123.2739999999999</v>
      </c>
    </row>
    <row r="214" spans="1:9" x14ac:dyDescent="0.25">
      <c r="A214" t="s">
        <v>125</v>
      </c>
      <c r="B214" t="s">
        <v>239</v>
      </c>
      <c r="C214" t="s">
        <v>143</v>
      </c>
      <c r="D214">
        <v>322.35000000000002</v>
      </c>
      <c r="E214">
        <v>0</v>
      </c>
      <c r="F214">
        <v>-25.01</v>
      </c>
      <c r="G214">
        <v>-165.04300000000001</v>
      </c>
      <c r="H214">
        <v>1934.1130000000001</v>
      </c>
      <c r="I214">
        <v>-1934.1130000000001</v>
      </c>
    </row>
    <row r="215" spans="1:9" x14ac:dyDescent="0.25">
      <c r="A215" t="s">
        <v>125</v>
      </c>
      <c r="B215" t="s">
        <v>239</v>
      </c>
      <c r="C215" t="s">
        <v>3</v>
      </c>
      <c r="D215">
        <v>353.88</v>
      </c>
      <c r="E215">
        <v>0</v>
      </c>
      <c r="F215">
        <v>-25.01</v>
      </c>
      <c r="G215">
        <v>-165.04300000000001</v>
      </c>
      <c r="H215">
        <v>2048.0320000000002</v>
      </c>
      <c r="I215">
        <v>-2123.2739999999999</v>
      </c>
    </row>
    <row r="216" spans="1:9" x14ac:dyDescent="0.25">
      <c r="A216" t="s">
        <v>125</v>
      </c>
      <c r="B216" t="s">
        <v>240</v>
      </c>
      <c r="C216" t="s">
        <v>143</v>
      </c>
      <c r="D216">
        <v>255.52</v>
      </c>
      <c r="E216">
        <v>0</v>
      </c>
      <c r="F216">
        <v>25.01</v>
      </c>
      <c r="G216">
        <v>165.04300000000001</v>
      </c>
      <c r="H216">
        <v>1533.11</v>
      </c>
      <c r="I216">
        <v>-1533.11</v>
      </c>
    </row>
    <row r="217" spans="1:9" x14ac:dyDescent="0.25">
      <c r="A217" t="s">
        <v>125</v>
      </c>
      <c r="B217" t="s">
        <v>240</v>
      </c>
      <c r="C217" t="s">
        <v>3</v>
      </c>
      <c r="D217">
        <v>280.04000000000002</v>
      </c>
      <c r="E217">
        <v>0</v>
      </c>
      <c r="F217">
        <v>25.01</v>
      </c>
      <c r="G217">
        <v>165.04300000000001</v>
      </c>
      <c r="H217">
        <v>1755.4780000000001</v>
      </c>
      <c r="I217">
        <v>-1680.2360000000001</v>
      </c>
    </row>
    <row r="218" spans="1:9" x14ac:dyDescent="0.25">
      <c r="A218" t="s">
        <v>125</v>
      </c>
      <c r="B218" t="s">
        <v>241</v>
      </c>
      <c r="C218" t="s">
        <v>143</v>
      </c>
      <c r="D218">
        <v>255.52</v>
      </c>
      <c r="E218">
        <v>0</v>
      </c>
      <c r="F218">
        <v>-25.01</v>
      </c>
      <c r="G218">
        <v>-165.04300000000001</v>
      </c>
      <c r="H218">
        <v>1533.11</v>
      </c>
      <c r="I218">
        <v>-1533.11</v>
      </c>
    </row>
    <row r="219" spans="1:9" x14ac:dyDescent="0.25">
      <c r="A219" t="s">
        <v>125</v>
      </c>
      <c r="B219" t="s">
        <v>241</v>
      </c>
      <c r="C219" t="s">
        <v>3</v>
      </c>
      <c r="D219">
        <v>280.04000000000002</v>
      </c>
      <c r="E219">
        <v>0</v>
      </c>
      <c r="F219">
        <v>-25.01</v>
      </c>
      <c r="G219">
        <v>-165.04300000000001</v>
      </c>
      <c r="H219">
        <v>1604.9929999999999</v>
      </c>
      <c r="I219">
        <v>-1680.2360000000001</v>
      </c>
    </row>
    <row r="220" spans="1:9" x14ac:dyDescent="0.25">
      <c r="A220" t="s">
        <v>125</v>
      </c>
      <c r="B220" t="s">
        <v>242</v>
      </c>
      <c r="C220" t="s">
        <v>143</v>
      </c>
      <c r="D220">
        <v>210.53</v>
      </c>
      <c r="E220">
        <v>90.93</v>
      </c>
      <c r="F220">
        <v>0</v>
      </c>
      <c r="G220">
        <v>600.15700000000004</v>
      </c>
      <c r="H220">
        <v>1263.1590000000001</v>
      </c>
      <c r="I220">
        <v>-1263.1590000000001</v>
      </c>
    </row>
    <row r="221" spans="1:9" x14ac:dyDescent="0.25">
      <c r="A221" t="s">
        <v>125</v>
      </c>
      <c r="B221" t="s">
        <v>242</v>
      </c>
      <c r="C221" t="s">
        <v>3</v>
      </c>
      <c r="D221">
        <v>232.6</v>
      </c>
      <c r="E221">
        <v>90.93</v>
      </c>
      <c r="F221">
        <v>0</v>
      </c>
      <c r="G221">
        <v>600.15700000000004</v>
      </c>
      <c r="H221">
        <v>1395.5719999999999</v>
      </c>
      <c r="I221">
        <v>-1121.962</v>
      </c>
    </row>
    <row r="222" spans="1:9" x14ac:dyDescent="0.25">
      <c r="A222" t="s">
        <v>125</v>
      </c>
      <c r="B222" t="s">
        <v>243</v>
      </c>
      <c r="C222" t="s">
        <v>143</v>
      </c>
      <c r="D222">
        <v>210.53</v>
      </c>
      <c r="E222">
        <v>-90.93</v>
      </c>
      <c r="F222">
        <v>0</v>
      </c>
      <c r="G222">
        <v>-600.15700000000004</v>
      </c>
      <c r="H222">
        <v>1263.1590000000001</v>
      </c>
      <c r="I222">
        <v>-1263.1590000000001</v>
      </c>
    </row>
    <row r="223" spans="1:9" x14ac:dyDescent="0.25">
      <c r="A223" t="s">
        <v>125</v>
      </c>
      <c r="B223" t="s">
        <v>243</v>
      </c>
      <c r="C223" t="s">
        <v>3</v>
      </c>
      <c r="D223">
        <v>232.6</v>
      </c>
      <c r="E223">
        <v>-90.93</v>
      </c>
      <c r="F223">
        <v>0</v>
      </c>
      <c r="G223">
        <v>-600.15700000000004</v>
      </c>
      <c r="H223">
        <v>1395.5719999999999</v>
      </c>
      <c r="I223">
        <v>-1669.182</v>
      </c>
    </row>
    <row r="224" spans="1:9" x14ac:dyDescent="0.25">
      <c r="A224" t="s">
        <v>125</v>
      </c>
      <c r="B224" t="s">
        <v>244</v>
      </c>
      <c r="C224" t="s">
        <v>143</v>
      </c>
      <c r="D224">
        <v>190.48</v>
      </c>
      <c r="E224">
        <v>90.93</v>
      </c>
      <c r="F224">
        <v>0</v>
      </c>
      <c r="G224">
        <v>600.15700000000004</v>
      </c>
      <c r="H224">
        <v>1142.8579999999999</v>
      </c>
      <c r="I224">
        <v>-1142.8579999999999</v>
      </c>
    </row>
    <row r="225" spans="1:9" x14ac:dyDescent="0.25">
      <c r="A225" t="s">
        <v>125</v>
      </c>
      <c r="B225" t="s">
        <v>244</v>
      </c>
      <c r="C225" t="s">
        <v>3</v>
      </c>
      <c r="D225">
        <v>210.44</v>
      </c>
      <c r="E225">
        <v>90.93</v>
      </c>
      <c r="F225">
        <v>0</v>
      </c>
      <c r="G225">
        <v>600.15700000000004</v>
      </c>
      <c r="H225">
        <v>1262.6600000000001</v>
      </c>
      <c r="I225">
        <v>-989.05100000000004</v>
      </c>
    </row>
    <row r="226" spans="1:9" x14ac:dyDescent="0.25">
      <c r="A226" t="s">
        <v>125</v>
      </c>
      <c r="B226" t="s">
        <v>245</v>
      </c>
      <c r="C226" t="s">
        <v>143</v>
      </c>
      <c r="D226">
        <v>190.48</v>
      </c>
      <c r="E226">
        <v>-90.93</v>
      </c>
      <c r="F226">
        <v>0</v>
      </c>
      <c r="G226">
        <v>-600.15700000000004</v>
      </c>
      <c r="H226">
        <v>1142.8579999999999</v>
      </c>
      <c r="I226">
        <v>-1142.8579999999999</v>
      </c>
    </row>
    <row r="227" spans="1:9" x14ac:dyDescent="0.25">
      <c r="A227" t="s">
        <v>125</v>
      </c>
      <c r="B227" t="s">
        <v>245</v>
      </c>
      <c r="C227" t="s">
        <v>3</v>
      </c>
      <c r="D227">
        <v>210.44</v>
      </c>
      <c r="E227">
        <v>-90.93</v>
      </c>
      <c r="F227">
        <v>0</v>
      </c>
      <c r="G227">
        <v>-600.15700000000004</v>
      </c>
      <c r="H227">
        <v>1262.6600000000001</v>
      </c>
      <c r="I227">
        <v>-1536.27</v>
      </c>
    </row>
    <row r="228" spans="1:9" x14ac:dyDescent="0.25">
      <c r="A228" t="s">
        <v>125</v>
      </c>
      <c r="B228" t="s">
        <v>246</v>
      </c>
      <c r="C228" t="s">
        <v>143</v>
      </c>
      <c r="D228">
        <v>210.53</v>
      </c>
      <c r="E228">
        <v>0</v>
      </c>
      <c r="F228">
        <v>83.36</v>
      </c>
      <c r="G228">
        <v>550.14400000000001</v>
      </c>
      <c r="H228">
        <v>1263.1590000000001</v>
      </c>
      <c r="I228">
        <v>-1263.1590000000001</v>
      </c>
    </row>
    <row r="229" spans="1:9" x14ac:dyDescent="0.25">
      <c r="A229" t="s">
        <v>125</v>
      </c>
      <c r="B229" t="s">
        <v>246</v>
      </c>
      <c r="C229" t="s">
        <v>3</v>
      </c>
      <c r="D229">
        <v>232.6</v>
      </c>
      <c r="E229">
        <v>0</v>
      </c>
      <c r="F229">
        <v>83.36</v>
      </c>
      <c r="G229">
        <v>550.14400000000001</v>
      </c>
      <c r="H229">
        <v>1646.3810000000001</v>
      </c>
      <c r="I229">
        <v>-1395.5719999999999</v>
      </c>
    </row>
    <row r="230" spans="1:9" x14ac:dyDescent="0.25">
      <c r="A230" t="s">
        <v>125</v>
      </c>
      <c r="B230" t="s">
        <v>247</v>
      </c>
      <c r="C230" t="s">
        <v>143</v>
      </c>
      <c r="D230">
        <v>210.53</v>
      </c>
      <c r="E230">
        <v>0</v>
      </c>
      <c r="F230">
        <v>-83.36</v>
      </c>
      <c r="G230">
        <v>-550.14400000000001</v>
      </c>
      <c r="H230">
        <v>1263.1590000000001</v>
      </c>
      <c r="I230">
        <v>-1263.1590000000001</v>
      </c>
    </row>
    <row r="231" spans="1:9" x14ac:dyDescent="0.25">
      <c r="A231" t="s">
        <v>125</v>
      </c>
      <c r="B231" t="s">
        <v>247</v>
      </c>
      <c r="C231" t="s">
        <v>3</v>
      </c>
      <c r="D231">
        <v>232.6</v>
      </c>
      <c r="E231">
        <v>0</v>
      </c>
      <c r="F231">
        <v>-83.36</v>
      </c>
      <c r="G231">
        <v>-550.14400000000001</v>
      </c>
      <c r="H231">
        <v>1144.7629999999999</v>
      </c>
      <c r="I231">
        <v>-1395.5719999999999</v>
      </c>
    </row>
    <row r="232" spans="1:9" x14ac:dyDescent="0.25">
      <c r="A232" t="s">
        <v>125</v>
      </c>
      <c r="B232" t="s">
        <v>248</v>
      </c>
      <c r="C232" t="s">
        <v>143</v>
      </c>
      <c r="D232">
        <v>190.48</v>
      </c>
      <c r="E232">
        <v>0</v>
      </c>
      <c r="F232">
        <v>83.36</v>
      </c>
      <c r="G232">
        <v>550.14400000000001</v>
      </c>
      <c r="H232">
        <v>1142.8579999999999</v>
      </c>
      <c r="I232">
        <v>-1142.8579999999999</v>
      </c>
    </row>
    <row r="233" spans="1:9" x14ac:dyDescent="0.25">
      <c r="A233" t="s">
        <v>125</v>
      </c>
      <c r="B233" t="s">
        <v>248</v>
      </c>
      <c r="C233" t="s">
        <v>3</v>
      </c>
      <c r="D233">
        <v>210.44</v>
      </c>
      <c r="E233">
        <v>0</v>
      </c>
      <c r="F233">
        <v>83.36</v>
      </c>
      <c r="G233">
        <v>550.14400000000001</v>
      </c>
      <c r="H233">
        <v>1513.4690000000001</v>
      </c>
      <c r="I233">
        <v>-1262.6600000000001</v>
      </c>
    </row>
    <row r="234" spans="1:9" x14ac:dyDescent="0.25">
      <c r="A234" t="s">
        <v>125</v>
      </c>
      <c r="B234" t="s">
        <v>249</v>
      </c>
      <c r="C234" t="s">
        <v>143</v>
      </c>
      <c r="D234">
        <v>190.48</v>
      </c>
      <c r="E234">
        <v>0</v>
      </c>
      <c r="F234">
        <v>-83.36</v>
      </c>
      <c r="G234">
        <v>-550.14400000000001</v>
      </c>
      <c r="H234">
        <v>1142.8579999999999</v>
      </c>
      <c r="I234">
        <v>-1142.8579999999999</v>
      </c>
    </row>
    <row r="235" spans="1:9" x14ac:dyDescent="0.25">
      <c r="A235" t="s">
        <v>125</v>
      </c>
      <c r="B235" t="s">
        <v>249</v>
      </c>
      <c r="C235" t="s">
        <v>3</v>
      </c>
      <c r="D235">
        <v>210.44</v>
      </c>
      <c r="E235">
        <v>0</v>
      </c>
      <c r="F235">
        <v>-83.36</v>
      </c>
      <c r="G235">
        <v>-550.14400000000001</v>
      </c>
      <c r="H235">
        <v>1011.852</v>
      </c>
      <c r="I235">
        <v>-1262.6600000000001</v>
      </c>
    </row>
    <row r="236" spans="1:9" x14ac:dyDescent="0.25">
      <c r="A236" t="s">
        <v>125</v>
      </c>
      <c r="B236" t="s">
        <v>250</v>
      </c>
      <c r="C236" t="s">
        <v>143</v>
      </c>
      <c r="D236">
        <v>233.92</v>
      </c>
      <c r="E236">
        <v>27.28</v>
      </c>
      <c r="F236">
        <v>0</v>
      </c>
      <c r="G236">
        <v>180.047</v>
      </c>
      <c r="H236">
        <v>1403.51</v>
      </c>
      <c r="I236">
        <v>-1403.51</v>
      </c>
    </row>
    <row r="237" spans="1:9" x14ac:dyDescent="0.25">
      <c r="A237" t="s">
        <v>125</v>
      </c>
      <c r="B237" t="s">
        <v>250</v>
      </c>
      <c r="C237" t="s">
        <v>3</v>
      </c>
      <c r="D237">
        <v>258.44</v>
      </c>
      <c r="E237">
        <v>27.28</v>
      </c>
      <c r="F237">
        <v>0</v>
      </c>
      <c r="G237">
        <v>180.047</v>
      </c>
      <c r="H237">
        <v>1550.636</v>
      </c>
      <c r="I237">
        <v>-1468.5530000000001</v>
      </c>
    </row>
    <row r="238" spans="1:9" x14ac:dyDescent="0.25">
      <c r="A238" t="s">
        <v>125</v>
      </c>
      <c r="B238" t="s">
        <v>251</v>
      </c>
      <c r="C238" t="s">
        <v>143</v>
      </c>
      <c r="D238">
        <v>233.92</v>
      </c>
      <c r="E238">
        <v>-27.28</v>
      </c>
      <c r="F238">
        <v>0</v>
      </c>
      <c r="G238">
        <v>-180.047</v>
      </c>
      <c r="H238">
        <v>1403.51</v>
      </c>
      <c r="I238">
        <v>-1403.51</v>
      </c>
    </row>
    <row r="239" spans="1:9" x14ac:dyDescent="0.25">
      <c r="A239" t="s">
        <v>125</v>
      </c>
      <c r="B239" t="s">
        <v>251</v>
      </c>
      <c r="C239" t="s">
        <v>3</v>
      </c>
      <c r="D239">
        <v>258.44</v>
      </c>
      <c r="E239">
        <v>-27.28</v>
      </c>
      <c r="F239">
        <v>0</v>
      </c>
      <c r="G239">
        <v>-180.047</v>
      </c>
      <c r="H239">
        <v>1550.636</v>
      </c>
      <c r="I239">
        <v>-1632.7190000000001</v>
      </c>
    </row>
    <row r="240" spans="1:9" x14ac:dyDescent="0.25">
      <c r="A240" t="s">
        <v>125</v>
      </c>
      <c r="B240" t="s">
        <v>252</v>
      </c>
      <c r="C240" t="s">
        <v>143</v>
      </c>
      <c r="D240">
        <v>167.08</v>
      </c>
      <c r="E240">
        <v>27.28</v>
      </c>
      <c r="F240">
        <v>0</v>
      </c>
      <c r="G240">
        <v>180.047</v>
      </c>
      <c r="H240">
        <v>1002.5069999999999</v>
      </c>
      <c r="I240">
        <v>-1002.5069999999999</v>
      </c>
    </row>
    <row r="241" spans="1:9" x14ac:dyDescent="0.25">
      <c r="A241" t="s">
        <v>125</v>
      </c>
      <c r="B241" t="s">
        <v>252</v>
      </c>
      <c r="C241" t="s">
        <v>3</v>
      </c>
      <c r="D241">
        <v>184.6</v>
      </c>
      <c r="E241">
        <v>27.28</v>
      </c>
      <c r="F241">
        <v>0</v>
      </c>
      <c r="G241">
        <v>180.047</v>
      </c>
      <c r="H241">
        <v>1107.597</v>
      </c>
      <c r="I241">
        <v>-1025.5139999999999</v>
      </c>
    </row>
    <row r="242" spans="1:9" x14ac:dyDescent="0.25">
      <c r="A242" t="s">
        <v>125</v>
      </c>
      <c r="B242" t="s">
        <v>253</v>
      </c>
      <c r="C242" t="s">
        <v>143</v>
      </c>
      <c r="D242">
        <v>167.08</v>
      </c>
      <c r="E242">
        <v>-27.28</v>
      </c>
      <c r="F242">
        <v>0</v>
      </c>
      <c r="G242">
        <v>-180.047</v>
      </c>
      <c r="H242">
        <v>1002.5069999999999</v>
      </c>
      <c r="I242">
        <v>-1002.5069999999999</v>
      </c>
    </row>
    <row r="243" spans="1:9" x14ac:dyDescent="0.25">
      <c r="A243" t="s">
        <v>125</v>
      </c>
      <c r="B243" t="s">
        <v>253</v>
      </c>
      <c r="C243" t="s">
        <v>3</v>
      </c>
      <c r="D243">
        <v>184.6</v>
      </c>
      <c r="E243">
        <v>-27.28</v>
      </c>
      <c r="F243">
        <v>0</v>
      </c>
      <c r="G243">
        <v>-180.047</v>
      </c>
      <c r="H243">
        <v>1107.597</v>
      </c>
      <c r="I243">
        <v>-1189.68</v>
      </c>
    </row>
    <row r="244" spans="1:9" x14ac:dyDescent="0.25">
      <c r="A244" t="s">
        <v>125</v>
      </c>
      <c r="B244" t="s">
        <v>254</v>
      </c>
      <c r="C244" t="s">
        <v>143</v>
      </c>
      <c r="D244">
        <v>233.92</v>
      </c>
      <c r="E244">
        <v>0</v>
      </c>
      <c r="F244">
        <v>25.01</v>
      </c>
      <c r="G244">
        <v>165.04300000000001</v>
      </c>
      <c r="H244">
        <v>1403.51</v>
      </c>
      <c r="I244">
        <v>-1403.51</v>
      </c>
    </row>
    <row r="245" spans="1:9" x14ac:dyDescent="0.25">
      <c r="A245" t="s">
        <v>125</v>
      </c>
      <c r="B245" t="s">
        <v>254</v>
      </c>
      <c r="C245" t="s">
        <v>3</v>
      </c>
      <c r="D245">
        <v>258.44</v>
      </c>
      <c r="E245">
        <v>0</v>
      </c>
      <c r="F245">
        <v>25.01</v>
      </c>
      <c r="G245">
        <v>165.04300000000001</v>
      </c>
      <c r="H245">
        <v>1625.8779999999999</v>
      </c>
      <c r="I245">
        <v>-1550.636</v>
      </c>
    </row>
    <row r="246" spans="1:9" x14ac:dyDescent="0.25">
      <c r="A246" t="s">
        <v>125</v>
      </c>
      <c r="B246" t="s">
        <v>255</v>
      </c>
      <c r="C246" t="s">
        <v>143</v>
      </c>
      <c r="D246">
        <v>233.92</v>
      </c>
      <c r="E246">
        <v>0</v>
      </c>
      <c r="F246">
        <v>-25.01</v>
      </c>
      <c r="G246">
        <v>-165.04300000000001</v>
      </c>
      <c r="H246">
        <v>1403.51</v>
      </c>
      <c r="I246">
        <v>-1403.51</v>
      </c>
    </row>
    <row r="247" spans="1:9" x14ac:dyDescent="0.25">
      <c r="A247" t="s">
        <v>125</v>
      </c>
      <c r="B247" t="s">
        <v>255</v>
      </c>
      <c r="C247" t="s">
        <v>3</v>
      </c>
      <c r="D247">
        <v>258.44</v>
      </c>
      <c r="E247">
        <v>0</v>
      </c>
      <c r="F247">
        <v>-25.01</v>
      </c>
      <c r="G247">
        <v>-165.04300000000001</v>
      </c>
      <c r="H247">
        <v>1475.393</v>
      </c>
      <c r="I247">
        <v>-1550.636</v>
      </c>
    </row>
    <row r="248" spans="1:9" x14ac:dyDescent="0.25">
      <c r="A248" t="s">
        <v>125</v>
      </c>
      <c r="B248" t="s">
        <v>256</v>
      </c>
      <c r="C248" t="s">
        <v>143</v>
      </c>
      <c r="D248">
        <v>167.08</v>
      </c>
      <c r="E248">
        <v>0</v>
      </c>
      <c r="F248">
        <v>25.01</v>
      </c>
      <c r="G248">
        <v>165.04300000000001</v>
      </c>
      <c r="H248">
        <v>1002.5069999999999</v>
      </c>
      <c r="I248">
        <v>-1002.5069999999999</v>
      </c>
    </row>
    <row r="249" spans="1:9" x14ac:dyDescent="0.25">
      <c r="A249" t="s">
        <v>125</v>
      </c>
      <c r="B249" t="s">
        <v>256</v>
      </c>
      <c r="C249" t="s">
        <v>3</v>
      </c>
      <c r="D249">
        <v>184.6</v>
      </c>
      <c r="E249">
        <v>0</v>
      </c>
      <c r="F249">
        <v>25.01</v>
      </c>
      <c r="G249">
        <v>165.04300000000001</v>
      </c>
      <c r="H249">
        <v>1182.8399999999999</v>
      </c>
      <c r="I249">
        <v>-1107.597</v>
      </c>
    </row>
    <row r="250" spans="1:9" x14ac:dyDescent="0.25">
      <c r="A250" t="s">
        <v>125</v>
      </c>
      <c r="B250" t="s">
        <v>257</v>
      </c>
      <c r="C250" t="s">
        <v>143</v>
      </c>
      <c r="D250">
        <v>167.08</v>
      </c>
      <c r="E250">
        <v>0</v>
      </c>
      <c r="F250">
        <v>-25.01</v>
      </c>
      <c r="G250">
        <v>-165.04300000000001</v>
      </c>
      <c r="H250">
        <v>1002.5069999999999</v>
      </c>
      <c r="I250">
        <v>-1002.5069999999999</v>
      </c>
    </row>
    <row r="251" spans="1:9" x14ac:dyDescent="0.25">
      <c r="A251" t="s">
        <v>125</v>
      </c>
      <c r="B251" t="s">
        <v>257</v>
      </c>
      <c r="C251" t="s">
        <v>3</v>
      </c>
      <c r="D251">
        <v>184.6</v>
      </c>
      <c r="E251">
        <v>0</v>
      </c>
      <c r="F251">
        <v>-25.01</v>
      </c>
      <c r="G251">
        <v>-165.04300000000001</v>
      </c>
      <c r="H251">
        <v>1032.354</v>
      </c>
      <c r="I251">
        <v>-1107.597</v>
      </c>
    </row>
    <row r="252" spans="1:9" x14ac:dyDescent="0.25">
      <c r="A252" t="s">
        <v>126</v>
      </c>
      <c r="B252" t="s">
        <v>2</v>
      </c>
      <c r="C252" t="s">
        <v>143</v>
      </c>
      <c r="D252">
        <v>468.91</v>
      </c>
      <c r="E252">
        <v>0</v>
      </c>
      <c r="F252">
        <v>0</v>
      </c>
      <c r="G252">
        <v>0</v>
      </c>
      <c r="H252">
        <v>2813.4720000000002</v>
      </c>
      <c r="I252">
        <v>-2813.4720000000002</v>
      </c>
    </row>
    <row r="253" spans="1:9" x14ac:dyDescent="0.25">
      <c r="A253" t="s">
        <v>126</v>
      </c>
      <c r="B253" t="s">
        <v>2</v>
      </c>
      <c r="C253" t="s">
        <v>3</v>
      </c>
      <c r="D253">
        <v>492.27</v>
      </c>
      <c r="E253">
        <v>0</v>
      </c>
      <c r="F253">
        <v>0</v>
      </c>
      <c r="G253">
        <v>0</v>
      </c>
      <c r="H253">
        <v>2953.5920000000001</v>
      </c>
      <c r="I253">
        <v>-2953.5920000000001</v>
      </c>
    </row>
    <row r="254" spans="1:9" x14ac:dyDescent="0.25">
      <c r="A254" t="s">
        <v>126</v>
      </c>
      <c r="B254" t="s">
        <v>144</v>
      </c>
      <c r="C254" t="s">
        <v>143</v>
      </c>
      <c r="D254">
        <v>86.4</v>
      </c>
      <c r="E254">
        <v>0</v>
      </c>
      <c r="F254">
        <v>0</v>
      </c>
      <c r="G254">
        <v>0</v>
      </c>
      <c r="H254">
        <v>518.4</v>
      </c>
      <c r="I254">
        <v>-518.4</v>
      </c>
    </row>
    <row r="255" spans="1:9" x14ac:dyDescent="0.25">
      <c r="A255" t="s">
        <v>126</v>
      </c>
      <c r="B255" t="s">
        <v>144</v>
      </c>
      <c r="C255" t="s">
        <v>3</v>
      </c>
      <c r="D255">
        <v>86.4</v>
      </c>
      <c r="E255">
        <v>0</v>
      </c>
      <c r="F255">
        <v>0</v>
      </c>
      <c r="G255">
        <v>0</v>
      </c>
      <c r="H255">
        <v>518.4</v>
      </c>
      <c r="I255">
        <v>-518.4</v>
      </c>
    </row>
    <row r="256" spans="1:9" x14ac:dyDescent="0.25">
      <c r="A256" t="s">
        <v>126</v>
      </c>
      <c r="B256" t="s">
        <v>12</v>
      </c>
      <c r="C256" t="s">
        <v>143</v>
      </c>
      <c r="D256">
        <v>0</v>
      </c>
      <c r="E256">
        <v>-177.77</v>
      </c>
      <c r="F256">
        <v>0</v>
      </c>
      <c r="G256">
        <v>1173.2660000000001</v>
      </c>
      <c r="H256">
        <v>0</v>
      </c>
      <c r="I256">
        <v>-299.06700000000001</v>
      </c>
    </row>
    <row r="257" spans="1:9" x14ac:dyDescent="0.25">
      <c r="A257" t="s">
        <v>126</v>
      </c>
      <c r="B257" t="s">
        <v>12</v>
      </c>
      <c r="C257" t="s">
        <v>3</v>
      </c>
      <c r="D257">
        <v>0</v>
      </c>
      <c r="E257">
        <v>-177.77</v>
      </c>
      <c r="F257">
        <v>0</v>
      </c>
      <c r="G257">
        <v>1173.2660000000001</v>
      </c>
      <c r="H257">
        <v>0</v>
      </c>
      <c r="I257">
        <v>-835.30700000000002</v>
      </c>
    </row>
    <row r="258" spans="1:9" x14ac:dyDescent="0.25">
      <c r="A258" t="s">
        <v>126</v>
      </c>
      <c r="B258" t="s">
        <v>13</v>
      </c>
      <c r="C258" t="s">
        <v>143</v>
      </c>
      <c r="D258">
        <v>0</v>
      </c>
      <c r="E258">
        <v>-177.77</v>
      </c>
      <c r="F258">
        <v>0</v>
      </c>
      <c r="G258">
        <v>959.94500000000005</v>
      </c>
      <c r="H258">
        <v>0</v>
      </c>
      <c r="I258">
        <v>-299.06700000000001</v>
      </c>
    </row>
    <row r="259" spans="1:9" x14ac:dyDescent="0.25">
      <c r="A259" t="s">
        <v>126</v>
      </c>
      <c r="B259" t="s">
        <v>13</v>
      </c>
      <c r="C259" t="s">
        <v>3</v>
      </c>
      <c r="D259">
        <v>0</v>
      </c>
      <c r="E259">
        <v>-177.77</v>
      </c>
      <c r="F259">
        <v>0</v>
      </c>
      <c r="G259">
        <v>959.94500000000005</v>
      </c>
      <c r="H259">
        <v>0</v>
      </c>
      <c r="I259">
        <v>-835.30700000000002</v>
      </c>
    </row>
    <row r="260" spans="1:9" x14ac:dyDescent="0.25">
      <c r="A260" t="s">
        <v>126</v>
      </c>
      <c r="B260" t="s">
        <v>14</v>
      </c>
      <c r="C260" t="s">
        <v>143</v>
      </c>
      <c r="D260">
        <v>0</v>
      </c>
      <c r="E260">
        <v>0</v>
      </c>
      <c r="F260">
        <v>-177.77</v>
      </c>
      <c r="G260">
        <v>-1173.2660000000001</v>
      </c>
      <c r="H260">
        <v>299.06700000000001</v>
      </c>
      <c r="I260">
        <v>0</v>
      </c>
    </row>
    <row r="261" spans="1:9" x14ac:dyDescent="0.25">
      <c r="A261" t="s">
        <v>126</v>
      </c>
      <c r="B261" t="s">
        <v>14</v>
      </c>
      <c r="C261" t="s">
        <v>3</v>
      </c>
      <c r="D261">
        <v>0</v>
      </c>
      <c r="E261">
        <v>0</v>
      </c>
      <c r="F261">
        <v>-177.77</v>
      </c>
      <c r="G261">
        <v>-1173.2660000000001</v>
      </c>
      <c r="H261">
        <v>835.30700000000002</v>
      </c>
      <c r="I261">
        <v>0</v>
      </c>
    </row>
    <row r="262" spans="1:9" x14ac:dyDescent="0.25">
      <c r="A262" t="s">
        <v>126</v>
      </c>
      <c r="B262" t="s">
        <v>15</v>
      </c>
      <c r="C262" t="s">
        <v>143</v>
      </c>
      <c r="D262">
        <v>0</v>
      </c>
      <c r="E262">
        <v>0</v>
      </c>
      <c r="F262">
        <v>-177.77</v>
      </c>
      <c r="G262">
        <v>-959.94500000000005</v>
      </c>
      <c r="H262">
        <v>299.06700000000001</v>
      </c>
      <c r="I262">
        <v>0</v>
      </c>
    </row>
    <row r="263" spans="1:9" x14ac:dyDescent="0.25">
      <c r="A263" t="s">
        <v>126</v>
      </c>
      <c r="B263" t="s">
        <v>15</v>
      </c>
      <c r="C263" t="s">
        <v>3</v>
      </c>
      <c r="D263">
        <v>0</v>
      </c>
      <c r="E263">
        <v>0</v>
      </c>
      <c r="F263">
        <v>-177.77</v>
      </c>
      <c r="G263">
        <v>-959.94500000000005</v>
      </c>
      <c r="H263">
        <v>835.30700000000002</v>
      </c>
      <c r="I263">
        <v>0</v>
      </c>
    </row>
    <row r="264" spans="1:9" x14ac:dyDescent="0.25">
      <c r="A264" t="s">
        <v>126</v>
      </c>
      <c r="B264" t="s">
        <v>145</v>
      </c>
      <c r="C264" t="s">
        <v>143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25">
      <c r="A265" t="s">
        <v>126</v>
      </c>
      <c r="B265" t="s">
        <v>145</v>
      </c>
      <c r="C265" t="s">
        <v>3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25">
      <c r="A266" t="s">
        <v>126</v>
      </c>
      <c r="B266" t="s">
        <v>146</v>
      </c>
      <c r="C266" t="s">
        <v>143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x14ac:dyDescent="0.25">
      <c r="A267" t="s">
        <v>126</v>
      </c>
      <c r="B267" t="s">
        <v>146</v>
      </c>
      <c r="C267" t="s">
        <v>3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25">
      <c r="A268" t="s">
        <v>126</v>
      </c>
      <c r="B268" t="s">
        <v>147</v>
      </c>
      <c r="C268" t="s">
        <v>143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25">
      <c r="A269" t="s">
        <v>126</v>
      </c>
      <c r="B269" t="s">
        <v>147</v>
      </c>
      <c r="C269" t="s">
        <v>3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25">
      <c r="A270" t="s">
        <v>126</v>
      </c>
      <c r="B270" t="s">
        <v>148</v>
      </c>
      <c r="C270" t="s">
        <v>143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25">
      <c r="A271" t="s">
        <v>126</v>
      </c>
      <c r="B271" t="s">
        <v>148</v>
      </c>
      <c r="C271" t="s">
        <v>3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25">
      <c r="A272" t="s">
        <v>126</v>
      </c>
      <c r="B272" t="s">
        <v>149</v>
      </c>
      <c r="C272" t="s">
        <v>143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25">
      <c r="A273" t="s">
        <v>126</v>
      </c>
      <c r="B273" t="s">
        <v>149</v>
      </c>
      <c r="C273" t="s">
        <v>3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25">
      <c r="A274" t="s">
        <v>126</v>
      </c>
      <c r="B274" t="s">
        <v>150</v>
      </c>
      <c r="C274" t="s">
        <v>143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25">
      <c r="A275" t="s">
        <v>126</v>
      </c>
      <c r="B275" t="s">
        <v>150</v>
      </c>
      <c r="C275" t="s">
        <v>3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25">
      <c r="A276" t="s">
        <v>126</v>
      </c>
      <c r="B276" t="s">
        <v>16</v>
      </c>
      <c r="C276" t="s">
        <v>143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25">
      <c r="A277" t="s">
        <v>126</v>
      </c>
      <c r="B277" t="s">
        <v>16</v>
      </c>
      <c r="C277" t="s">
        <v>3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25">
      <c r="A278" t="s">
        <v>126</v>
      </c>
      <c r="B278" t="s">
        <v>151</v>
      </c>
      <c r="C278" t="s">
        <v>143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x14ac:dyDescent="0.25">
      <c r="A279" t="s">
        <v>126</v>
      </c>
      <c r="B279" t="s">
        <v>151</v>
      </c>
      <c r="C279" t="s">
        <v>3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x14ac:dyDescent="0.25">
      <c r="A280" t="s">
        <v>126</v>
      </c>
      <c r="B280" t="s">
        <v>152</v>
      </c>
      <c r="C280" t="s">
        <v>143</v>
      </c>
      <c r="D280">
        <v>0</v>
      </c>
      <c r="E280">
        <v>-32.35</v>
      </c>
      <c r="F280">
        <v>0</v>
      </c>
      <c r="G280">
        <v>194.12700000000001</v>
      </c>
      <c r="H280">
        <v>0</v>
      </c>
      <c r="I280">
        <v>-7.1999999999999995E-2</v>
      </c>
    </row>
    <row r="281" spans="1:9" x14ac:dyDescent="0.25">
      <c r="A281" t="s">
        <v>126</v>
      </c>
      <c r="B281" t="s">
        <v>152</v>
      </c>
      <c r="C281" t="s">
        <v>3</v>
      </c>
      <c r="D281">
        <v>0</v>
      </c>
      <c r="E281">
        <v>-32.35</v>
      </c>
      <c r="F281">
        <v>0</v>
      </c>
      <c r="G281">
        <v>194.12700000000001</v>
      </c>
      <c r="H281">
        <v>0</v>
      </c>
      <c r="I281">
        <v>-97.68</v>
      </c>
    </row>
    <row r="282" spans="1:9" x14ac:dyDescent="0.25">
      <c r="A282" t="s">
        <v>126</v>
      </c>
      <c r="B282" t="s">
        <v>153</v>
      </c>
      <c r="C282" t="s">
        <v>143</v>
      </c>
      <c r="D282">
        <v>0</v>
      </c>
      <c r="E282">
        <v>0</v>
      </c>
      <c r="F282">
        <v>-32.35</v>
      </c>
      <c r="G282">
        <v>-194.12700000000001</v>
      </c>
      <c r="H282">
        <v>7.1999999999999995E-2</v>
      </c>
      <c r="I282">
        <v>0</v>
      </c>
    </row>
    <row r="283" spans="1:9" x14ac:dyDescent="0.25">
      <c r="A283" t="s">
        <v>126</v>
      </c>
      <c r="B283" t="s">
        <v>153</v>
      </c>
      <c r="C283" t="s">
        <v>3</v>
      </c>
      <c r="D283">
        <v>0</v>
      </c>
      <c r="E283">
        <v>0</v>
      </c>
      <c r="F283">
        <v>-32.35</v>
      </c>
      <c r="G283">
        <v>-194.12700000000001</v>
      </c>
      <c r="H283">
        <v>97.68</v>
      </c>
      <c r="I283">
        <v>0</v>
      </c>
    </row>
    <row r="284" spans="1:9" x14ac:dyDescent="0.25">
      <c r="A284" t="s">
        <v>126</v>
      </c>
      <c r="B284" t="s">
        <v>154</v>
      </c>
      <c r="C284" t="s">
        <v>143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</row>
    <row r="285" spans="1:9" x14ac:dyDescent="0.25">
      <c r="A285" t="s">
        <v>126</v>
      </c>
      <c r="B285" t="s">
        <v>154</v>
      </c>
      <c r="C285" t="s">
        <v>3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</row>
    <row r="286" spans="1:9" x14ac:dyDescent="0.25">
      <c r="A286" t="s">
        <v>126</v>
      </c>
      <c r="B286" t="s">
        <v>155</v>
      </c>
      <c r="C286" t="s">
        <v>143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</row>
    <row r="287" spans="1:9" x14ac:dyDescent="0.25">
      <c r="A287" t="s">
        <v>126</v>
      </c>
      <c r="B287" t="s">
        <v>155</v>
      </c>
      <c r="C287" t="s">
        <v>3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</row>
    <row r="288" spans="1:9" x14ac:dyDescent="0.25">
      <c r="A288" t="s">
        <v>126</v>
      </c>
      <c r="B288" t="s">
        <v>156</v>
      </c>
      <c r="C288" t="s">
        <v>143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</row>
    <row r="289" spans="1:9" x14ac:dyDescent="0.25">
      <c r="A289" t="s">
        <v>126</v>
      </c>
      <c r="B289" t="s">
        <v>156</v>
      </c>
      <c r="C289" t="s">
        <v>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</row>
    <row r="290" spans="1:9" x14ac:dyDescent="0.25">
      <c r="A290" t="s">
        <v>126</v>
      </c>
      <c r="B290" t="s">
        <v>4</v>
      </c>
      <c r="C290" t="s">
        <v>143</v>
      </c>
      <c r="D290">
        <v>0</v>
      </c>
      <c r="E290">
        <v>145.57</v>
      </c>
      <c r="F290">
        <v>0</v>
      </c>
      <c r="G290">
        <v>961.47</v>
      </c>
      <c r="H290">
        <v>0</v>
      </c>
      <c r="I290">
        <v>228.00800000000001</v>
      </c>
    </row>
    <row r="291" spans="1:9" x14ac:dyDescent="0.25">
      <c r="A291" t="s">
        <v>126</v>
      </c>
      <c r="B291" t="s">
        <v>4</v>
      </c>
      <c r="C291" t="s">
        <v>3</v>
      </c>
      <c r="D291">
        <v>0</v>
      </c>
      <c r="E291">
        <v>145.57</v>
      </c>
      <c r="F291">
        <v>0</v>
      </c>
      <c r="G291">
        <v>961.47</v>
      </c>
      <c r="H291">
        <v>0</v>
      </c>
      <c r="I291">
        <v>666.04499999999996</v>
      </c>
    </row>
    <row r="292" spans="1:9" x14ac:dyDescent="0.25">
      <c r="A292" t="s">
        <v>126</v>
      </c>
      <c r="B292" t="s">
        <v>5</v>
      </c>
      <c r="C292" t="s">
        <v>143</v>
      </c>
      <c r="D292">
        <v>0</v>
      </c>
      <c r="E292">
        <v>0</v>
      </c>
      <c r="F292">
        <v>145.57</v>
      </c>
      <c r="G292">
        <v>961.47</v>
      </c>
      <c r="H292">
        <v>228.00800000000001</v>
      </c>
      <c r="I292">
        <v>0</v>
      </c>
    </row>
    <row r="293" spans="1:9" x14ac:dyDescent="0.25">
      <c r="A293" t="s">
        <v>126</v>
      </c>
      <c r="B293" t="s">
        <v>5</v>
      </c>
      <c r="C293" t="s">
        <v>3</v>
      </c>
      <c r="D293">
        <v>0</v>
      </c>
      <c r="E293">
        <v>0</v>
      </c>
      <c r="F293">
        <v>145.57</v>
      </c>
      <c r="G293">
        <v>961.47</v>
      </c>
      <c r="H293">
        <v>666.04499999999996</v>
      </c>
      <c r="I293">
        <v>0</v>
      </c>
    </row>
    <row r="294" spans="1:9" x14ac:dyDescent="0.25">
      <c r="A294" t="s">
        <v>126</v>
      </c>
      <c r="B294" t="s">
        <v>6</v>
      </c>
      <c r="C294" t="s">
        <v>143</v>
      </c>
      <c r="D294">
        <v>70.34</v>
      </c>
      <c r="E294">
        <v>0</v>
      </c>
      <c r="F294">
        <v>0</v>
      </c>
      <c r="G294">
        <v>0</v>
      </c>
      <c r="H294">
        <v>422.02100000000002</v>
      </c>
      <c r="I294">
        <v>-422.02100000000002</v>
      </c>
    </row>
    <row r="295" spans="1:9" x14ac:dyDescent="0.25">
      <c r="A295" t="s">
        <v>126</v>
      </c>
      <c r="B295" t="s">
        <v>6</v>
      </c>
      <c r="C295" t="s">
        <v>3</v>
      </c>
      <c r="D295">
        <v>73.84</v>
      </c>
      <c r="E295">
        <v>0</v>
      </c>
      <c r="F295">
        <v>0</v>
      </c>
      <c r="G295">
        <v>0</v>
      </c>
      <c r="H295">
        <v>443.03899999999999</v>
      </c>
      <c r="I295">
        <v>-443.03899999999999</v>
      </c>
    </row>
    <row r="296" spans="1:9" x14ac:dyDescent="0.25">
      <c r="A296" t="s">
        <v>126</v>
      </c>
      <c r="B296" t="s">
        <v>7</v>
      </c>
      <c r="C296" t="s">
        <v>143</v>
      </c>
      <c r="D296">
        <v>0</v>
      </c>
      <c r="E296">
        <v>174.68</v>
      </c>
      <c r="F296">
        <v>0</v>
      </c>
      <c r="G296">
        <v>1153.7639999999999</v>
      </c>
      <c r="H296">
        <v>0</v>
      </c>
      <c r="I296">
        <v>273.61</v>
      </c>
    </row>
    <row r="297" spans="1:9" x14ac:dyDescent="0.25">
      <c r="A297" t="s">
        <v>126</v>
      </c>
      <c r="B297" t="s">
        <v>7</v>
      </c>
      <c r="C297" t="s">
        <v>3</v>
      </c>
      <c r="D297">
        <v>0</v>
      </c>
      <c r="E297">
        <v>174.68</v>
      </c>
      <c r="F297">
        <v>0</v>
      </c>
      <c r="G297">
        <v>1153.7639999999999</v>
      </c>
      <c r="H297">
        <v>0</v>
      </c>
      <c r="I297">
        <v>799.25400000000002</v>
      </c>
    </row>
    <row r="298" spans="1:9" x14ac:dyDescent="0.25">
      <c r="A298" t="s">
        <v>126</v>
      </c>
      <c r="B298" t="s">
        <v>157</v>
      </c>
      <c r="C298" t="s">
        <v>143</v>
      </c>
      <c r="D298">
        <v>0</v>
      </c>
      <c r="E298">
        <v>-174.68</v>
      </c>
      <c r="F298">
        <v>0</v>
      </c>
      <c r="G298">
        <v>-1153.7639999999999</v>
      </c>
      <c r="H298">
        <v>0</v>
      </c>
      <c r="I298">
        <v>-273.61</v>
      </c>
    </row>
    <row r="299" spans="1:9" x14ac:dyDescent="0.25">
      <c r="A299" t="s">
        <v>126</v>
      </c>
      <c r="B299" t="s">
        <v>157</v>
      </c>
      <c r="C299" t="s">
        <v>3</v>
      </c>
      <c r="D299">
        <v>0</v>
      </c>
      <c r="E299">
        <v>-174.68</v>
      </c>
      <c r="F299">
        <v>0</v>
      </c>
      <c r="G299">
        <v>-1153.7639999999999</v>
      </c>
      <c r="H299">
        <v>0</v>
      </c>
      <c r="I299">
        <v>-799.25400000000002</v>
      </c>
    </row>
    <row r="300" spans="1:9" x14ac:dyDescent="0.25">
      <c r="A300" t="s">
        <v>126</v>
      </c>
      <c r="B300" t="s">
        <v>8</v>
      </c>
      <c r="C300" t="s">
        <v>143</v>
      </c>
      <c r="D300">
        <v>0</v>
      </c>
      <c r="E300">
        <v>0</v>
      </c>
      <c r="F300">
        <v>160.13</v>
      </c>
      <c r="G300">
        <v>1057.617</v>
      </c>
      <c r="H300">
        <v>250.809</v>
      </c>
      <c r="I300">
        <v>0</v>
      </c>
    </row>
    <row r="301" spans="1:9" x14ac:dyDescent="0.25">
      <c r="A301" t="s">
        <v>126</v>
      </c>
      <c r="B301" t="s">
        <v>8</v>
      </c>
      <c r="C301" t="s">
        <v>3</v>
      </c>
      <c r="D301">
        <v>0</v>
      </c>
      <c r="E301">
        <v>0</v>
      </c>
      <c r="F301">
        <v>160.13</v>
      </c>
      <c r="G301">
        <v>1057.617</v>
      </c>
      <c r="H301">
        <v>732.65</v>
      </c>
      <c r="I301">
        <v>0</v>
      </c>
    </row>
    <row r="302" spans="1:9" x14ac:dyDescent="0.25">
      <c r="A302" t="s">
        <v>126</v>
      </c>
      <c r="B302" t="s">
        <v>158</v>
      </c>
      <c r="C302" t="s">
        <v>143</v>
      </c>
      <c r="D302">
        <v>0</v>
      </c>
      <c r="E302">
        <v>0</v>
      </c>
      <c r="F302">
        <v>-160.13</v>
      </c>
      <c r="G302">
        <v>-1057.617</v>
      </c>
      <c r="H302">
        <v>-250.809</v>
      </c>
      <c r="I302">
        <v>0</v>
      </c>
    </row>
    <row r="303" spans="1:9" x14ac:dyDescent="0.25">
      <c r="A303" t="s">
        <v>126</v>
      </c>
      <c r="B303" t="s">
        <v>158</v>
      </c>
      <c r="C303" t="s">
        <v>3</v>
      </c>
      <c r="D303">
        <v>0</v>
      </c>
      <c r="E303">
        <v>0</v>
      </c>
      <c r="F303">
        <v>-160.13</v>
      </c>
      <c r="G303">
        <v>-1057.617</v>
      </c>
      <c r="H303">
        <v>-732.65</v>
      </c>
      <c r="I303">
        <v>0</v>
      </c>
    </row>
    <row r="304" spans="1:9" x14ac:dyDescent="0.25">
      <c r="A304" t="s">
        <v>126</v>
      </c>
      <c r="B304" t="s">
        <v>159</v>
      </c>
      <c r="C304" t="s">
        <v>143</v>
      </c>
      <c r="D304">
        <v>656.48</v>
      </c>
      <c r="E304">
        <v>0</v>
      </c>
      <c r="F304">
        <v>0</v>
      </c>
      <c r="G304">
        <v>0</v>
      </c>
      <c r="H304">
        <v>3938.8609999999999</v>
      </c>
      <c r="I304">
        <v>-3938.8609999999999</v>
      </c>
    </row>
    <row r="305" spans="1:9" x14ac:dyDescent="0.25">
      <c r="A305" t="s">
        <v>126</v>
      </c>
      <c r="B305" t="s">
        <v>159</v>
      </c>
      <c r="C305" t="s">
        <v>3</v>
      </c>
      <c r="D305">
        <v>689.17</v>
      </c>
      <c r="E305">
        <v>0</v>
      </c>
      <c r="F305">
        <v>0</v>
      </c>
      <c r="G305">
        <v>0</v>
      </c>
      <c r="H305">
        <v>4135.0280000000002</v>
      </c>
      <c r="I305">
        <v>-4135.0280000000002</v>
      </c>
    </row>
    <row r="306" spans="1:9" x14ac:dyDescent="0.25">
      <c r="A306" t="s">
        <v>126</v>
      </c>
      <c r="B306" t="s">
        <v>160</v>
      </c>
      <c r="C306" t="s">
        <v>143</v>
      </c>
      <c r="D306">
        <v>700.93</v>
      </c>
      <c r="E306">
        <v>0</v>
      </c>
      <c r="F306">
        <v>0</v>
      </c>
      <c r="G306">
        <v>0</v>
      </c>
      <c r="H306">
        <v>4205.607</v>
      </c>
      <c r="I306">
        <v>-4205.607</v>
      </c>
    </row>
    <row r="307" spans="1:9" x14ac:dyDescent="0.25">
      <c r="A307" t="s">
        <v>126</v>
      </c>
      <c r="B307" t="s">
        <v>160</v>
      </c>
      <c r="C307" t="s">
        <v>3</v>
      </c>
      <c r="D307">
        <v>728.96</v>
      </c>
      <c r="E307">
        <v>0</v>
      </c>
      <c r="F307">
        <v>0</v>
      </c>
      <c r="G307">
        <v>0</v>
      </c>
      <c r="H307">
        <v>4373.75</v>
      </c>
      <c r="I307">
        <v>-4373.75</v>
      </c>
    </row>
    <row r="308" spans="1:9" x14ac:dyDescent="0.25">
      <c r="A308" t="s">
        <v>126</v>
      </c>
      <c r="B308" t="s">
        <v>161</v>
      </c>
      <c r="C308" t="s">
        <v>143</v>
      </c>
      <c r="D308">
        <v>605.89</v>
      </c>
      <c r="E308">
        <v>0</v>
      </c>
      <c r="F308">
        <v>0</v>
      </c>
      <c r="G308">
        <v>0</v>
      </c>
      <c r="H308">
        <v>3635.3670000000002</v>
      </c>
      <c r="I308">
        <v>-3635.3670000000002</v>
      </c>
    </row>
    <row r="309" spans="1:9" x14ac:dyDescent="0.25">
      <c r="A309" t="s">
        <v>126</v>
      </c>
      <c r="B309" t="s">
        <v>161</v>
      </c>
      <c r="C309" t="s">
        <v>3</v>
      </c>
      <c r="D309">
        <v>633.91999999999996</v>
      </c>
      <c r="E309">
        <v>0</v>
      </c>
      <c r="F309">
        <v>0</v>
      </c>
      <c r="G309">
        <v>0</v>
      </c>
      <c r="H309">
        <v>3803.51</v>
      </c>
      <c r="I309">
        <v>-3803.51</v>
      </c>
    </row>
    <row r="310" spans="1:9" x14ac:dyDescent="0.25">
      <c r="A310" t="s">
        <v>126</v>
      </c>
      <c r="B310" t="s">
        <v>162</v>
      </c>
      <c r="C310" t="s">
        <v>143</v>
      </c>
      <c r="D310">
        <v>627</v>
      </c>
      <c r="E310">
        <v>-177.77</v>
      </c>
      <c r="F310">
        <v>0</v>
      </c>
      <c r="G310">
        <v>1173.2660000000001</v>
      </c>
      <c r="H310">
        <v>3761.973</v>
      </c>
      <c r="I310">
        <v>-4061.0390000000002</v>
      </c>
    </row>
    <row r="311" spans="1:9" x14ac:dyDescent="0.25">
      <c r="A311" t="s">
        <v>126</v>
      </c>
      <c r="B311" t="s">
        <v>162</v>
      </c>
      <c r="C311" t="s">
        <v>3</v>
      </c>
      <c r="D311">
        <v>656.07</v>
      </c>
      <c r="E311">
        <v>-177.77</v>
      </c>
      <c r="F311">
        <v>0</v>
      </c>
      <c r="G311">
        <v>1173.2660000000001</v>
      </c>
      <c r="H311">
        <v>3936.422</v>
      </c>
      <c r="I311">
        <v>-4771.7290000000003</v>
      </c>
    </row>
    <row r="312" spans="1:9" x14ac:dyDescent="0.25">
      <c r="A312" t="s">
        <v>126</v>
      </c>
      <c r="B312" t="s">
        <v>163</v>
      </c>
      <c r="C312" t="s">
        <v>143</v>
      </c>
      <c r="D312">
        <v>627</v>
      </c>
      <c r="E312">
        <v>-177.77</v>
      </c>
      <c r="F312">
        <v>0</v>
      </c>
      <c r="G312">
        <v>959.94500000000005</v>
      </c>
      <c r="H312">
        <v>3761.973</v>
      </c>
      <c r="I312">
        <v>-4061.0390000000002</v>
      </c>
    </row>
    <row r="313" spans="1:9" x14ac:dyDescent="0.25">
      <c r="A313" t="s">
        <v>126</v>
      </c>
      <c r="B313" t="s">
        <v>163</v>
      </c>
      <c r="C313" t="s">
        <v>3</v>
      </c>
      <c r="D313">
        <v>656.07</v>
      </c>
      <c r="E313">
        <v>-177.77</v>
      </c>
      <c r="F313">
        <v>0</v>
      </c>
      <c r="G313">
        <v>959.94500000000005</v>
      </c>
      <c r="H313">
        <v>3936.422</v>
      </c>
      <c r="I313">
        <v>-4771.7290000000003</v>
      </c>
    </row>
    <row r="314" spans="1:9" x14ac:dyDescent="0.25">
      <c r="A314" t="s">
        <v>126</v>
      </c>
      <c r="B314" t="s">
        <v>164</v>
      </c>
      <c r="C314" t="s">
        <v>143</v>
      </c>
      <c r="D314">
        <v>627</v>
      </c>
      <c r="E314">
        <v>177.77</v>
      </c>
      <c r="F314">
        <v>0</v>
      </c>
      <c r="G314">
        <v>-1173.2660000000001</v>
      </c>
      <c r="H314">
        <v>3761.973</v>
      </c>
      <c r="I314">
        <v>-3462.9059999999999</v>
      </c>
    </row>
    <row r="315" spans="1:9" x14ac:dyDescent="0.25">
      <c r="A315" t="s">
        <v>126</v>
      </c>
      <c r="B315" t="s">
        <v>164</v>
      </c>
      <c r="C315" t="s">
        <v>3</v>
      </c>
      <c r="D315">
        <v>656.07</v>
      </c>
      <c r="E315">
        <v>177.77</v>
      </c>
      <c r="F315">
        <v>0</v>
      </c>
      <c r="G315">
        <v>-1173.2660000000001</v>
      </c>
      <c r="H315">
        <v>3936.422</v>
      </c>
      <c r="I315">
        <v>-3101.114</v>
      </c>
    </row>
    <row r="316" spans="1:9" x14ac:dyDescent="0.25">
      <c r="A316" t="s">
        <v>126</v>
      </c>
      <c r="B316" t="s">
        <v>165</v>
      </c>
      <c r="C316" t="s">
        <v>143</v>
      </c>
      <c r="D316">
        <v>627</v>
      </c>
      <c r="E316">
        <v>177.77</v>
      </c>
      <c r="F316">
        <v>0</v>
      </c>
      <c r="G316">
        <v>-959.94500000000005</v>
      </c>
      <c r="H316">
        <v>3761.973</v>
      </c>
      <c r="I316">
        <v>-3462.9059999999999</v>
      </c>
    </row>
    <row r="317" spans="1:9" x14ac:dyDescent="0.25">
      <c r="A317" t="s">
        <v>126</v>
      </c>
      <c r="B317" t="s">
        <v>165</v>
      </c>
      <c r="C317" t="s">
        <v>3</v>
      </c>
      <c r="D317">
        <v>656.07</v>
      </c>
      <c r="E317">
        <v>177.77</v>
      </c>
      <c r="F317">
        <v>0</v>
      </c>
      <c r="G317">
        <v>-959.94500000000005</v>
      </c>
      <c r="H317">
        <v>3936.422</v>
      </c>
      <c r="I317">
        <v>-3101.114</v>
      </c>
    </row>
    <row r="318" spans="1:9" x14ac:dyDescent="0.25">
      <c r="A318" t="s">
        <v>126</v>
      </c>
      <c r="B318" t="s">
        <v>166</v>
      </c>
      <c r="C318" t="s">
        <v>143</v>
      </c>
      <c r="D318">
        <v>627</v>
      </c>
      <c r="E318">
        <v>0</v>
      </c>
      <c r="F318">
        <v>-177.77</v>
      </c>
      <c r="G318">
        <v>-1173.2660000000001</v>
      </c>
      <c r="H318">
        <v>4061.0390000000002</v>
      </c>
      <c r="I318">
        <v>-3761.973</v>
      </c>
    </row>
    <row r="319" spans="1:9" x14ac:dyDescent="0.25">
      <c r="A319" t="s">
        <v>126</v>
      </c>
      <c r="B319" t="s">
        <v>166</v>
      </c>
      <c r="C319" t="s">
        <v>3</v>
      </c>
      <c r="D319">
        <v>656.07</v>
      </c>
      <c r="E319">
        <v>0</v>
      </c>
      <c r="F319">
        <v>-177.77</v>
      </c>
      <c r="G319">
        <v>-1173.2660000000001</v>
      </c>
      <c r="H319">
        <v>4771.7290000000003</v>
      </c>
      <c r="I319">
        <v>-3936.422</v>
      </c>
    </row>
    <row r="320" spans="1:9" x14ac:dyDescent="0.25">
      <c r="A320" t="s">
        <v>126</v>
      </c>
      <c r="B320" t="s">
        <v>167</v>
      </c>
      <c r="C320" t="s">
        <v>143</v>
      </c>
      <c r="D320">
        <v>627</v>
      </c>
      <c r="E320">
        <v>0</v>
      </c>
      <c r="F320">
        <v>-177.77</v>
      </c>
      <c r="G320">
        <v>-959.94500000000005</v>
      </c>
      <c r="H320">
        <v>4061.0390000000002</v>
      </c>
      <c r="I320">
        <v>-3761.973</v>
      </c>
    </row>
    <row r="321" spans="1:9" x14ac:dyDescent="0.25">
      <c r="A321" t="s">
        <v>126</v>
      </c>
      <c r="B321" t="s">
        <v>167</v>
      </c>
      <c r="C321" t="s">
        <v>3</v>
      </c>
      <c r="D321">
        <v>656.07</v>
      </c>
      <c r="E321">
        <v>0</v>
      </c>
      <c r="F321">
        <v>-177.77</v>
      </c>
      <c r="G321">
        <v>-959.94500000000005</v>
      </c>
      <c r="H321">
        <v>4771.7290000000003</v>
      </c>
      <c r="I321">
        <v>-3936.422</v>
      </c>
    </row>
    <row r="322" spans="1:9" x14ac:dyDescent="0.25">
      <c r="A322" t="s">
        <v>126</v>
      </c>
      <c r="B322" t="s">
        <v>168</v>
      </c>
      <c r="C322" t="s">
        <v>143</v>
      </c>
      <c r="D322">
        <v>627</v>
      </c>
      <c r="E322">
        <v>0</v>
      </c>
      <c r="F322">
        <v>177.77</v>
      </c>
      <c r="G322">
        <v>1173.2660000000001</v>
      </c>
      <c r="H322">
        <v>3462.9059999999999</v>
      </c>
      <c r="I322">
        <v>-3761.973</v>
      </c>
    </row>
    <row r="323" spans="1:9" x14ac:dyDescent="0.25">
      <c r="A323" t="s">
        <v>126</v>
      </c>
      <c r="B323" t="s">
        <v>168</v>
      </c>
      <c r="C323" t="s">
        <v>3</v>
      </c>
      <c r="D323">
        <v>656.07</v>
      </c>
      <c r="E323">
        <v>0</v>
      </c>
      <c r="F323">
        <v>177.77</v>
      </c>
      <c r="G323">
        <v>1173.2660000000001</v>
      </c>
      <c r="H323">
        <v>3101.114</v>
      </c>
      <c r="I323">
        <v>-3936.422</v>
      </c>
    </row>
    <row r="324" spans="1:9" x14ac:dyDescent="0.25">
      <c r="A324" t="s">
        <v>126</v>
      </c>
      <c r="B324" t="s">
        <v>169</v>
      </c>
      <c r="C324" t="s">
        <v>143</v>
      </c>
      <c r="D324">
        <v>627</v>
      </c>
      <c r="E324">
        <v>0</v>
      </c>
      <c r="F324">
        <v>177.77</v>
      </c>
      <c r="G324">
        <v>959.94500000000005</v>
      </c>
      <c r="H324">
        <v>3462.9059999999999</v>
      </c>
      <c r="I324">
        <v>-3761.973</v>
      </c>
    </row>
    <row r="325" spans="1:9" x14ac:dyDescent="0.25">
      <c r="A325" t="s">
        <v>126</v>
      </c>
      <c r="B325" t="s">
        <v>169</v>
      </c>
      <c r="C325" t="s">
        <v>3</v>
      </c>
      <c r="D325">
        <v>656.07</v>
      </c>
      <c r="E325">
        <v>0</v>
      </c>
      <c r="F325">
        <v>177.77</v>
      </c>
      <c r="G325">
        <v>959.94500000000005</v>
      </c>
      <c r="H325">
        <v>3101.114</v>
      </c>
      <c r="I325">
        <v>-3936.422</v>
      </c>
    </row>
    <row r="326" spans="1:9" x14ac:dyDescent="0.25">
      <c r="A326" t="s">
        <v>126</v>
      </c>
      <c r="B326" t="s">
        <v>170</v>
      </c>
      <c r="C326" t="s">
        <v>143</v>
      </c>
      <c r="D326">
        <v>584.79</v>
      </c>
      <c r="E326">
        <v>-177.77</v>
      </c>
      <c r="F326">
        <v>0</v>
      </c>
      <c r="G326">
        <v>1173.2660000000001</v>
      </c>
      <c r="H326">
        <v>3508.76</v>
      </c>
      <c r="I326">
        <v>-3807.8270000000002</v>
      </c>
    </row>
    <row r="327" spans="1:9" x14ac:dyDescent="0.25">
      <c r="A327" t="s">
        <v>126</v>
      </c>
      <c r="B327" t="s">
        <v>170</v>
      </c>
      <c r="C327" t="s">
        <v>3</v>
      </c>
      <c r="D327">
        <v>611.77</v>
      </c>
      <c r="E327">
        <v>-177.77</v>
      </c>
      <c r="F327">
        <v>0</v>
      </c>
      <c r="G327">
        <v>1173.2660000000001</v>
      </c>
      <c r="H327">
        <v>3670.5990000000002</v>
      </c>
      <c r="I327">
        <v>-4505.9059999999999</v>
      </c>
    </row>
    <row r="328" spans="1:9" x14ac:dyDescent="0.25">
      <c r="A328" t="s">
        <v>126</v>
      </c>
      <c r="B328" t="s">
        <v>171</v>
      </c>
      <c r="C328" t="s">
        <v>143</v>
      </c>
      <c r="D328">
        <v>584.79</v>
      </c>
      <c r="E328">
        <v>-177.77</v>
      </c>
      <c r="F328">
        <v>0</v>
      </c>
      <c r="G328">
        <v>959.94500000000005</v>
      </c>
      <c r="H328">
        <v>3508.76</v>
      </c>
      <c r="I328">
        <v>-3807.8270000000002</v>
      </c>
    </row>
    <row r="329" spans="1:9" x14ac:dyDescent="0.25">
      <c r="A329" t="s">
        <v>126</v>
      </c>
      <c r="B329" t="s">
        <v>171</v>
      </c>
      <c r="C329" t="s">
        <v>3</v>
      </c>
      <c r="D329">
        <v>611.77</v>
      </c>
      <c r="E329">
        <v>-177.77</v>
      </c>
      <c r="F329">
        <v>0</v>
      </c>
      <c r="G329">
        <v>959.94500000000005</v>
      </c>
      <c r="H329">
        <v>3670.5990000000002</v>
      </c>
      <c r="I329">
        <v>-4505.9059999999999</v>
      </c>
    </row>
    <row r="330" spans="1:9" x14ac:dyDescent="0.25">
      <c r="A330" t="s">
        <v>126</v>
      </c>
      <c r="B330" t="s">
        <v>172</v>
      </c>
      <c r="C330" t="s">
        <v>143</v>
      </c>
      <c r="D330">
        <v>584.79</v>
      </c>
      <c r="E330">
        <v>177.77</v>
      </c>
      <c r="F330">
        <v>0</v>
      </c>
      <c r="G330">
        <v>-1173.2660000000001</v>
      </c>
      <c r="H330">
        <v>3508.76</v>
      </c>
      <c r="I330">
        <v>-3209.694</v>
      </c>
    </row>
    <row r="331" spans="1:9" x14ac:dyDescent="0.25">
      <c r="A331" t="s">
        <v>126</v>
      </c>
      <c r="B331" t="s">
        <v>172</v>
      </c>
      <c r="C331" t="s">
        <v>3</v>
      </c>
      <c r="D331">
        <v>611.77</v>
      </c>
      <c r="E331">
        <v>177.77</v>
      </c>
      <c r="F331">
        <v>0</v>
      </c>
      <c r="G331">
        <v>-1173.2660000000001</v>
      </c>
      <c r="H331">
        <v>3670.5990000000002</v>
      </c>
      <c r="I331">
        <v>-2835.2910000000002</v>
      </c>
    </row>
    <row r="332" spans="1:9" x14ac:dyDescent="0.25">
      <c r="A332" t="s">
        <v>126</v>
      </c>
      <c r="B332" t="s">
        <v>173</v>
      </c>
      <c r="C332" t="s">
        <v>143</v>
      </c>
      <c r="D332">
        <v>584.79</v>
      </c>
      <c r="E332">
        <v>177.77</v>
      </c>
      <c r="F332">
        <v>0</v>
      </c>
      <c r="G332">
        <v>-959.94500000000005</v>
      </c>
      <c r="H332">
        <v>3508.76</v>
      </c>
      <c r="I332">
        <v>-3209.694</v>
      </c>
    </row>
    <row r="333" spans="1:9" x14ac:dyDescent="0.25">
      <c r="A333" t="s">
        <v>126</v>
      </c>
      <c r="B333" t="s">
        <v>173</v>
      </c>
      <c r="C333" t="s">
        <v>3</v>
      </c>
      <c r="D333">
        <v>611.77</v>
      </c>
      <c r="E333">
        <v>177.77</v>
      </c>
      <c r="F333">
        <v>0</v>
      </c>
      <c r="G333">
        <v>-959.94500000000005</v>
      </c>
      <c r="H333">
        <v>3670.5990000000002</v>
      </c>
      <c r="I333">
        <v>-2835.2910000000002</v>
      </c>
    </row>
    <row r="334" spans="1:9" x14ac:dyDescent="0.25">
      <c r="A334" t="s">
        <v>126</v>
      </c>
      <c r="B334" t="s">
        <v>174</v>
      </c>
      <c r="C334" t="s">
        <v>143</v>
      </c>
      <c r="D334">
        <v>584.79</v>
      </c>
      <c r="E334">
        <v>0</v>
      </c>
      <c r="F334">
        <v>-177.77</v>
      </c>
      <c r="G334">
        <v>-1173.2660000000001</v>
      </c>
      <c r="H334">
        <v>3807.8270000000002</v>
      </c>
      <c r="I334">
        <v>-3508.76</v>
      </c>
    </row>
    <row r="335" spans="1:9" x14ac:dyDescent="0.25">
      <c r="A335" t="s">
        <v>126</v>
      </c>
      <c r="B335" t="s">
        <v>174</v>
      </c>
      <c r="C335" t="s">
        <v>3</v>
      </c>
      <c r="D335">
        <v>611.77</v>
      </c>
      <c r="E335">
        <v>0</v>
      </c>
      <c r="F335">
        <v>-177.77</v>
      </c>
      <c r="G335">
        <v>-1173.2660000000001</v>
      </c>
      <c r="H335">
        <v>4505.9059999999999</v>
      </c>
      <c r="I335">
        <v>-3670.5990000000002</v>
      </c>
    </row>
    <row r="336" spans="1:9" x14ac:dyDescent="0.25">
      <c r="A336" t="s">
        <v>126</v>
      </c>
      <c r="B336" t="s">
        <v>175</v>
      </c>
      <c r="C336" t="s">
        <v>143</v>
      </c>
      <c r="D336">
        <v>584.79</v>
      </c>
      <c r="E336">
        <v>0</v>
      </c>
      <c r="F336">
        <v>-177.77</v>
      </c>
      <c r="G336">
        <v>-959.94500000000005</v>
      </c>
      <c r="H336">
        <v>3807.8270000000002</v>
      </c>
      <c r="I336">
        <v>-3508.76</v>
      </c>
    </row>
    <row r="337" spans="1:9" x14ac:dyDescent="0.25">
      <c r="A337" t="s">
        <v>126</v>
      </c>
      <c r="B337" t="s">
        <v>175</v>
      </c>
      <c r="C337" t="s">
        <v>3</v>
      </c>
      <c r="D337">
        <v>611.77</v>
      </c>
      <c r="E337">
        <v>0</v>
      </c>
      <c r="F337">
        <v>-177.77</v>
      </c>
      <c r="G337">
        <v>-959.94500000000005</v>
      </c>
      <c r="H337">
        <v>4505.9059999999999</v>
      </c>
      <c r="I337">
        <v>-3670.5990000000002</v>
      </c>
    </row>
    <row r="338" spans="1:9" x14ac:dyDescent="0.25">
      <c r="A338" t="s">
        <v>126</v>
      </c>
      <c r="B338" t="s">
        <v>176</v>
      </c>
      <c r="C338" t="s">
        <v>143</v>
      </c>
      <c r="D338">
        <v>584.79</v>
      </c>
      <c r="E338">
        <v>0</v>
      </c>
      <c r="F338">
        <v>177.77</v>
      </c>
      <c r="G338">
        <v>1173.2660000000001</v>
      </c>
      <c r="H338">
        <v>3209.694</v>
      </c>
      <c r="I338">
        <v>-3508.76</v>
      </c>
    </row>
    <row r="339" spans="1:9" x14ac:dyDescent="0.25">
      <c r="A339" t="s">
        <v>126</v>
      </c>
      <c r="B339" t="s">
        <v>176</v>
      </c>
      <c r="C339" t="s">
        <v>3</v>
      </c>
      <c r="D339">
        <v>611.77</v>
      </c>
      <c r="E339">
        <v>0</v>
      </c>
      <c r="F339">
        <v>177.77</v>
      </c>
      <c r="G339">
        <v>1173.2660000000001</v>
      </c>
      <c r="H339">
        <v>2835.2910000000002</v>
      </c>
      <c r="I339">
        <v>-3670.5990000000002</v>
      </c>
    </row>
    <row r="340" spans="1:9" x14ac:dyDescent="0.25">
      <c r="A340" t="s">
        <v>126</v>
      </c>
      <c r="B340" t="s">
        <v>177</v>
      </c>
      <c r="C340" t="s">
        <v>143</v>
      </c>
      <c r="D340">
        <v>584.79</v>
      </c>
      <c r="E340">
        <v>0</v>
      </c>
      <c r="F340">
        <v>177.77</v>
      </c>
      <c r="G340">
        <v>959.94500000000005</v>
      </c>
      <c r="H340">
        <v>3209.694</v>
      </c>
      <c r="I340">
        <v>-3508.76</v>
      </c>
    </row>
    <row r="341" spans="1:9" x14ac:dyDescent="0.25">
      <c r="A341" t="s">
        <v>126</v>
      </c>
      <c r="B341" t="s">
        <v>177</v>
      </c>
      <c r="C341" t="s">
        <v>3</v>
      </c>
      <c r="D341">
        <v>611.77</v>
      </c>
      <c r="E341">
        <v>0</v>
      </c>
      <c r="F341">
        <v>177.77</v>
      </c>
      <c r="G341">
        <v>959.94500000000005</v>
      </c>
      <c r="H341">
        <v>2835.2910000000002</v>
      </c>
      <c r="I341">
        <v>-3670.5990000000002</v>
      </c>
    </row>
    <row r="342" spans="1:9" x14ac:dyDescent="0.25">
      <c r="A342" t="s">
        <v>126</v>
      </c>
      <c r="B342" t="s">
        <v>178</v>
      </c>
      <c r="C342" t="s">
        <v>143</v>
      </c>
      <c r="D342">
        <v>676.23</v>
      </c>
      <c r="E342">
        <v>-53.33</v>
      </c>
      <c r="F342">
        <v>0</v>
      </c>
      <c r="G342">
        <v>351.98</v>
      </c>
      <c r="H342">
        <v>4057.3870000000002</v>
      </c>
      <c r="I342">
        <v>-4147.107</v>
      </c>
    </row>
    <row r="343" spans="1:9" x14ac:dyDescent="0.25">
      <c r="A343" t="s">
        <v>126</v>
      </c>
      <c r="B343" t="s">
        <v>178</v>
      </c>
      <c r="C343" t="s">
        <v>3</v>
      </c>
      <c r="D343">
        <v>707.76</v>
      </c>
      <c r="E343">
        <v>-53.33</v>
      </c>
      <c r="F343">
        <v>0</v>
      </c>
      <c r="G343">
        <v>351.98</v>
      </c>
      <c r="H343">
        <v>4246.549</v>
      </c>
      <c r="I343">
        <v>-4497.1409999999996</v>
      </c>
    </row>
    <row r="344" spans="1:9" x14ac:dyDescent="0.25">
      <c r="A344" t="s">
        <v>126</v>
      </c>
      <c r="B344" t="s">
        <v>179</v>
      </c>
      <c r="C344" t="s">
        <v>143</v>
      </c>
      <c r="D344">
        <v>676.23</v>
      </c>
      <c r="E344">
        <v>-53.33</v>
      </c>
      <c r="F344">
        <v>0</v>
      </c>
      <c r="G344">
        <v>287.98399999999998</v>
      </c>
      <c r="H344">
        <v>4057.3870000000002</v>
      </c>
      <c r="I344">
        <v>-4147.107</v>
      </c>
    </row>
    <row r="345" spans="1:9" x14ac:dyDescent="0.25">
      <c r="A345" t="s">
        <v>126</v>
      </c>
      <c r="B345" t="s">
        <v>179</v>
      </c>
      <c r="C345" t="s">
        <v>3</v>
      </c>
      <c r="D345">
        <v>707.76</v>
      </c>
      <c r="E345">
        <v>-53.33</v>
      </c>
      <c r="F345">
        <v>0</v>
      </c>
      <c r="G345">
        <v>287.98399999999998</v>
      </c>
      <c r="H345">
        <v>4246.549</v>
      </c>
      <c r="I345">
        <v>-4497.1409999999996</v>
      </c>
    </row>
    <row r="346" spans="1:9" x14ac:dyDescent="0.25">
      <c r="A346" t="s">
        <v>126</v>
      </c>
      <c r="B346" t="s">
        <v>180</v>
      </c>
      <c r="C346" t="s">
        <v>143</v>
      </c>
      <c r="D346">
        <v>676.23</v>
      </c>
      <c r="E346">
        <v>53.33</v>
      </c>
      <c r="F346">
        <v>0</v>
      </c>
      <c r="G346">
        <v>-351.98</v>
      </c>
      <c r="H346">
        <v>4057.3870000000002</v>
      </c>
      <c r="I346">
        <v>-3967.6669999999999</v>
      </c>
    </row>
    <row r="347" spans="1:9" x14ac:dyDescent="0.25">
      <c r="A347" t="s">
        <v>126</v>
      </c>
      <c r="B347" t="s">
        <v>180</v>
      </c>
      <c r="C347" t="s">
        <v>3</v>
      </c>
      <c r="D347">
        <v>707.76</v>
      </c>
      <c r="E347">
        <v>53.33</v>
      </c>
      <c r="F347">
        <v>0</v>
      </c>
      <c r="G347">
        <v>-351.98</v>
      </c>
      <c r="H347">
        <v>4246.549</v>
      </c>
      <c r="I347">
        <v>-3995.9569999999999</v>
      </c>
    </row>
    <row r="348" spans="1:9" x14ac:dyDescent="0.25">
      <c r="A348" t="s">
        <v>126</v>
      </c>
      <c r="B348" t="s">
        <v>181</v>
      </c>
      <c r="C348" t="s">
        <v>143</v>
      </c>
      <c r="D348">
        <v>676.23</v>
      </c>
      <c r="E348">
        <v>53.33</v>
      </c>
      <c r="F348">
        <v>0</v>
      </c>
      <c r="G348">
        <v>-287.98399999999998</v>
      </c>
      <c r="H348">
        <v>4057.3870000000002</v>
      </c>
      <c r="I348">
        <v>-3967.6669999999999</v>
      </c>
    </row>
    <row r="349" spans="1:9" x14ac:dyDescent="0.25">
      <c r="A349" t="s">
        <v>126</v>
      </c>
      <c r="B349" t="s">
        <v>181</v>
      </c>
      <c r="C349" t="s">
        <v>3</v>
      </c>
      <c r="D349">
        <v>707.76</v>
      </c>
      <c r="E349">
        <v>53.33</v>
      </c>
      <c r="F349">
        <v>0</v>
      </c>
      <c r="G349">
        <v>-287.98399999999998</v>
      </c>
      <c r="H349">
        <v>4246.549</v>
      </c>
      <c r="I349">
        <v>-3995.9569999999999</v>
      </c>
    </row>
    <row r="350" spans="1:9" x14ac:dyDescent="0.25">
      <c r="A350" t="s">
        <v>126</v>
      </c>
      <c r="B350" t="s">
        <v>182</v>
      </c>
      <c r="C350" t="s">
        <v>143</v>
      </c>
      <c r="D350">
        <v>676.23</v>
      </c>
      <c r="E350">
        <v>0</v>
      </c>
      <c r="F350">
        <v>-53.33</v>
      </c>
      <c r="G350">
        <v>-351.98</v>
      </c>
      <c r="H350">
        <v>4147.107</v>
      </c>
      <c r="I350">
        <v>-4057.3870000000002</v>
      </c>
    </row>
    <row r="351" spans="1:9" x14ac:dyDescent="0.25">
      <c r="A351" t="s">
        <v>126</v>
      </c>
      <c r="B351" t="s">
        <v>182</v>
      </c>
      <c r="C351" t="s">
        <v>3</v>
      </c>
      <c r="D351">
        <v>707.76</v>
      </c>
      <c r="E351">
        <v>0</v>
      </c>
      <c r="F351">
        <v>-53.33</v>
      </c>
      <c r="G351">
        <v>-351.98</v>
      </c>
      <c r="H351">
        <v>4497.1409999999996</v>
      </c>
      <c r="I351">
        <v>-4246.549</v>
      </c>
    </row>
    <row r="352" spans="1:9" x14ac:dyDescent="0.25">
      <c r="A352" t="s">
        <v>126</v>
      </c>
      <c r="B352" t="s">
        <v>183</v>
      </c>
      <c r="C352" t="s">
        <v>143</v>
      </c>
      <c r="D352">
        <v>676.23</v>
      </c>
      <c r="E352">
        <v>0</v>
      </c>
      <c r="F352">
        <v>-53.33</v>
      </c>
      <c r="G352">
        <v>-287.98399999999998</v>
      </c>
      <c r="H352">
        <v>4147.107</v>
      </c>
      <c r="I352">
        <v>-4057.3870000000002</v>
      </c>
    </row>
    <row r="353" spans="1:9" x14ac:dyDescent="0.25">
      <c r="A353" t="s">
        <v>126</v>
      </c>
      <c r="B353" t="s">
        <v>183</v>
      </c>
      <c r="C353" t="s">
        <v>3</v>
      </c>
      <c r="D353">
        <v>707.76</v>
      </c>
      <c r="E353">
        <v>0</v>
      </c>
      <c r="F353">
        <v>-53.33</v>
      </c>
      <c r="G353">
        <v>-287.98399999999998</v>
      </c>
      <c r="H353">
        <v>4497.1409999999996</v>
      </c>
      <c r="I353">
        <v>-4246.549</v>
      </c>
    </row>
    <row r="354" spans="1:9" x14ac:dyDescent="0.25">
      <c r="A354" t="s">
        <v>126</v>
      </c>
      <c r="B354" t="s">
        <v>184</v>
      </c>
      <c r="C354" t="s">
        <v>143</v>
      </c>
      <c r="D354">
        <v>676.23</v>
      </c>
      <c r="E354">
        <v>0</v>
      </c>
      <c r="F354">
        <v>53.33</v>
      </c>
      <c r="G354">
        <v>351.98</v>
      </c>
      <c r="H354">
        <v>3967.6669999999999</v>
      </c>
      <c r="I354">
        <v>-4057.3870000000002</v>
      </c>
    </row>
    <row r="355" spans="1:9" x14ac:dyDescent="0.25">
      <c r="A355" t="s">
        <v>126</v>
      </c>
      <c r="B355" t="s">
        <v>184</v>
      </c>
      <c r="C355" t="s">
        <v>3</v>
      </c>
      <c r="D355">
        <v>707.76</v>
      </c>
      <c r="E355">
        <v>0</v>
      </c>
      <c r="F355">
        <v>53.33</v>
      </c>
      <c r="G355">
        <v>351.98</v>
      </c>
      <c r="H355">
        <v>3995.9569999999999</v>
      </c>
      <c r="I355">
        <v>-4246.549</v>
      </c>
    </row>
    <row r="356" spans="1:9" x14ac:dyDescent="0.25">
      <c r="A356" t="s">
        <v>126</v>
      </c>
      <c r="B356" t="s">
        <v>185</v>
      </c>
      <c r="C356" t="s">
        <v>143</v>
      </c>
      <c r="D356">
        <v>676.23</v>
      </c>
      <c r="E356">
        <v>0</v>
      </c>
      <c r="F356">
        <v>53.33</v>
      </c>
      <c r="G356">
        <v>287.98399999999998</v>
      </c>
      <c r="H356">
        <v>3967.6669999999999</v>
      </c>
      <c r="I356">
        <v>-4057.3870000000002</v>
      </c>
    </row>
    <row r="357" spans="1:9" x14ac:dyDescent="0.25">
      <c r="A357" t="s">
        <v>126</v>
      </c>
      <c r="B357" t="s">
        <v>185</v>
      </c>
      <c r="C357" t="s">
        <v>3</v>
      </c>
      <c r="D357">
        <v>707.76</v>
      </c>
      <c r="E357">
        <v>0</v>
      </c>
      <c r="F357">
        <v>53.33</v>
      </c>
      <c r="G357">
        <v>287.98399999999998</v>
      </c>
      <c r="H357">
        <v>3995.9569999999999</v>
      </c>
      <c r="I357">
        <v>-4246.549</v>
      </c>
    </row>
    <row r="358" spans="1:9" x14ac:dyDescent="0.25">
      <c r="A358" t="s">
        <v>126</v>
      </c>
      <c r="B358" t="s">
        <v>186</v>
      </c>
      <c r="C358" t="s">
        <v>143</v>
      </c>
      <c r="D358">
        <v>535.55999999999995</v>
      </c>
      <c r="E358">
        <v>-53.33</v>
      </c>
      <c r="F358">
        <v>0</v>
      </c>
      <c r="G358">
        <v>351.98</v>
      </c>
      <c r="H358">
        <v>3213.346</v>
      </c>
      <c r="I358">
        <v>-3303.0659999999998</v>
      </c>
    </row>
    <row r="359" spans="1:9" x14ac:dyDescent="0.25">
      <c r="A359" t="s">
        <v>126</v>
      </c>
      <c r="B359" t="s">
        <v>186</v>
      </c>
      <c r="C359" t="s">
        <v>3</v>
      </c>
      <c r="D359">
        <v>560.08000000000004</v>
      </c>
      <c r="E359">
        <v>-53.33</v>
      </c>
      <c r="F359">
        <v>0</v>
      </c>
      <c r="G359">
        <v>351.98</v>
      </c>
      <c r="H359">
        <v>3360.471</v>
      </c>
      <c r="I359">
        <v>-3611.0639999999999</v>
      </c>
    </row>
    <row r="360" spans="1:9" x14ac:dyDescent="0.25">
      <c r="A360" t="s">
        <v>126</v>
      </c>
      <c r="B360" t="s">
        <v>187</v>
      </c>
      <c r="C360" t="s">
        <v>143</v>
      </c>
      <c r="D360">
        <v>535.55999999999995</v>
      </c>
      <c r="E360">
        <v>-53.33</v>
      </c>
      <c r="F360">
        <v>0</v>
      </c>
      <c r="G360">
        <v>287.98399999999998</v>
      </c>
      <c r="H360">
        <v>3213.346</v>
      </c>
      <c r="I360">
        <v>-3303.0659999999998</v>
      </c>
    </row>
    <row r="361" spans="1:9" x14ac:dyDescent="0.25">
      <c r="A361" t="s">
        <v>126</v>
      </c>
      <c r="B361" t="s">
        <v>187</v>
      </c>
      <c r="C361" t="s">
        <v>3</v>
      </c>
      <c r="D361">
        <v>560.08000000000004</v>
      </c>
      <c r="E361">
        <v>-53.33</v>
      </c>
      <c r="F361">
        <v>0</v>
      </c>
      <c r="G361">
        <v>287.98399999999998</v>
      </c>
      <c r="H361">
        <v>3360.471</v>
      </c>
      <c r="I361">
        <v>-3611.0639999999999</v>
      </c>
    </row>
    <row r="362" spans="1:9" x14ac:dyDescent="0.25">
      <c r="A362" t="s">
        <v>126</v>
      </c>
      <c r="B362" t="s">
        <v>188</v>
      </c>
      <c r="C362" t="s">
        <v>143</v>
      </c>
      <c r="D362">
        <v>535.55999999999995</v>
      </c>
      <c r="E362">
        <v>53.33</v>
      </c>
      <c r="F362">
        <v>0</v>
      </c>
      <c r="G362">
        <v>-351.98</v>
      </c>
      <c r="H362">
        <v>3213.346</v>
      </c>
      <c r="I362">
        <v>-3123.6260000000002</v>
      </c>
    </row>
    <row r="363" spans="1:9" x14ac:dyDescent="0.25">
      <c r="A363" t="s">
        <v>126</v>
      </c>
      <c r="B363" t="s">
        <v>188</v>
      </c>
      <c r="C363" t="s">
        <v>3</v>
      </c>
      <c r="D363">
        <v>560.08000000000004</v>
      </c>
      <c r="E363">
        <v>53.33</v>
      </c>
      <c r="F363">
        <v>0</v>
      </c>
      <c r="G363">
        <v>-351.98</v>
      </c>
      <c r="H363">
        <v>3360.471</v>
      </c>
      <c r="I363">
        <v>-3109.8789999999999</v>
      </c>
    </row>
    <row r="364" spans="1:9" x14ac:dyDescent="0.25">
      <c r="A364" t="s">
        <v>126</v>
      </c>
      <c r="B364" t="s">
        <v>189</v>
      </c>
      <c r="C364" t="s">
        <v>143</v>
      </c>
      <c r="D364">
        <v>535.55999999999995</v>
      </c>
      <c r="E364">
        <v>53.33</v>
      </c>
      <c r="F364">
        <v>0</v>
      </c>
      <c r="G364">
        <v>-287.98399999999998</v>
      </c>
      <c r="H364">
        <v>3213.346</v>
      </c>
      <c r="I364">
        <v>-3123.6260000000002</v>
      </c>
    </row>
    <row r="365" spans="1:9" x14ac:dyDescent="0.25">
      <c r="A365" t="s">
        <v>126</v>
      </c>
      <c r="B365" t="s">
        <v>189</v>
      </c>
      <c r="C365" t="s">
        <v>3</v>
      </c>
      <c r="D365">
        <v>560.08000000000004</v>
      </c>
      <c r="E365">
        <v>53.33</v>
      </c>
      <c r="F365">
        <v>0</v>
      </c>
      <c r="G365">
        <v>-287.98399999999998</v>
      </c>
      <c r="H365">
        <v>3360.471</v>
      </c>
      <c r="I365">
        <v>-3109.8789999999999</v>
      </c>
    </row>
    <row r="366" spans="1:9" x14ac:dyDescent="0.25">
      <c r="A366" t="s">
        <v>126</v>
      </c>
      <c r="B366" t="s">
        <v>190</v>
      </c>
      <c r="C366" t="s">
        <v>143</v>
      </c>
      <c r="D366">
        <v>535.55999999999995</v>
      </c>
      <c r="E366">
        <v>0</v>
      </c>
      <c r="F366">
        <v>-53.33</v>
      </c>
      <c r="G366">
        <v>-351.98</v>
      </c>
      <c r="H366">
        <v>3303.0659999999998</v>
      </c>
      <c r="I366">
        <v>-3213.346</v>
      </c>
    </row>
    <row r="367" spans="1:9" x14ac:dyDescent="0.25">
      <c r="A367" t="s">
        <v>126</v>
      </c>
      <c r="B367" t="s">
        <v>190</v>
      </c>
      <c r="C367" t="s">
        <v>3</v>
      </c>
      <c r="D367">
        <v>560.08000000000004</v>
      </c>
      <c r="E367">
        <v>0</v>
      </c>
      <c r="F367">
        <v>-53.33</v>
      </c>
      <c r="G367">
        <v>-351.98</v>
      </c>
      <c r="H367">
        <v>3611.0639999999999</v>
      </c>
      <c r="I367">
        <v>-3360.471</v>
      </c>
    </row>
    <row r="368" spans="1:9" x14ac:dyDescent="0.25">
      <c r="A368" t="s">
        <v>126</v>
      </c>
      <c r="B368" t="s">
        <v>191</v>
      </c>
      <c r="C368" t="s">
        <v>143</v>
      </c>
      <c r="D368">
        <v>535.55999999999995</v>
      </c>
      <c r="E368">
        <v>0</v>
      </c>
      <c r="F368">
        <v>-53.33</v>
      </c>
      <c r="G368">
        <v>-287.98399999999998</v>
      </c>
      <c r="H368">
        <v>3303.0659999999998</v>
      </c>
      <c r="I368">
        <v>-3213.346</v>
      </c>
    </row>
    <row r="369" spans="1:9" x14ac:dyDescent="0.25">
      <c r="A369" t="s">
        <v>126</v>
      </c>
      <c r="B369" t="s">
        <v>191</v>
      </c>
      <c r="C369" t="s">
        <v>3</v>
      </c>
      <c r="D369">
        <v>560.08000000000004</v>
      </c>
      <c r="E369">
        <v>0</v>
      </c>
      <c r="F369">
        <v>-53.33</v>
      </c>
      <c r="G369">
        <v>-287.98399999999998</v>
      </c>
      <c r="H369">
        <v>3611.0639999999999</v>
      </c>
      <c r="I369">
        <v>-3360.471</v>
      </c>
    </row>
    <row r="370" spans="1:9" x14ac:dyDescent="0.25">
      <c r="A370" t="s">
        <v>126</v>
      </c>
      <c r="B370" t="s">
        <v>192</v>
      </c>
      <c r="C370" t="s">
        <v>143</v>
      </c>
      <c r="D370">
        <v>535.55999999999995</v>
      </c>
      <c r="E370">
        <v>0</v>
      </c>
      <c r="F370">
        <v>53.33</v>
      </c>
      <c r="G370">
        <v>351.98</v>
      </c>
      <c r="H370">
        <v>3123.6260000000002</v>
      </c>
      <c r="I370">
        <v>-3213.346</v>
      </c>
    </row>
    <row r="371" spans="1:9" x14ac:dyDescent="0.25">
      <c r="A371" t="s">
        <v>126</v>
      </c>
      <c r="B371" t="s">
        <v>192</v>
      </c>
      <c r="C371" t="s">
        <v>3</v>
      </c>
      <c r="D371">
        <v>560.08000000000004</v>
      </c>
      <c r="E371">
        <v>0</v>
      </c>
      <c r="F371">
        <v>53.33</v>
      </c>
      <c r="G371">
        <v>351.98</v>
      </c>
      <c r="H371">
        <v>3109.8789999999999</v>
      </c>
      <c r="I371">
        <v>-3360.471</v>
      </c>
    </row>
    <row r="372" spans="1:9" x14ac:dyDescent="0.25">
      <c r="A372" t="s">
        <v>126</v>
      </c>
      <c r="B372" t="s">
        <v>193</v>
      </c>
      <c r="C372" t="s">
        <v>143</v>
      </c>
      <c r="D372">
        <v>535.55999999999995</v>
      </c>
      <c r="E372">
        <v>0</v>
      </c>
      <c r="F372">
        <v>53.33</v>
      </c>
      <c r="G372">
        <v>287.98399999999998</v>
      </c>
      <c r="H372">
        <v>3123.6260000000002</v>
      </c>
      <c r="I372">
        <v>-3213.346</v>
      </c>
    </row>
    <row r="373" spans="1:9" x14ac:dyDescent="0.25">
      <c r="A373" t="s">
        <v>126</v>
      </c>
      <c r="B373" t="s">
        <v>193</v>
      </c>
      <c r="C373" t="s">
        <v>3</v>
      </c>
      <c r="D373">
        <v>560.08000000000004</v>
      </c>
      <c r="E373">
        <v>0</v>
      </c>
      <c r="F373">
        <v>53.33</v>
      </c>
      <c r="G373">
        <v>287.98399999999998</v>
      </c>
      <c r="H373">
        <v>3109.8789999999999</v>
      </c>
      <c r="I373">
        <v>-3360.471</v>
      </c>
    </row>
    <row r="374" spans="1:9" x14ac:dyDescent="0.25">
      <c r="A374" t="s">
        <v>126</v>
      </c>
      <c r="B374" t="s">
        <v>194</v>
      </c>
      <c r="C374" t="s">
        <v>143</v>
      </c>
      <c r="D374">
        <v>443.12</v>
      </c>
      <c r="E374">
        <v>-177.77</v>
      </c>
      <c r="F374">
        <v>0</v>
      </c>
      <c r="G374">
        <v>1173.2660000000001</v>
      </c>
      <c r="H374">
        <v>2658.7310000000002</v>
      </c>
      <c r="I374">
        <v>-2957.7979999999998</v>
      </c>
    </row>
    <row r="375" spans="1:9" x14ac:dyDescent="0.25">
      <c r="A375" t="s">
        <v>126</v>
      </c>
      <c r="B375" t="s">
        <v>194</v>
      </c>
      <c r="C375" t="s">
        <v>3</v>
      </c>
      <c r="D375">
        <v>465.19</v>
      </c>
      <c r="E375">
        <v>-177.77</v>
      </c>
      <c r="F375">
        <v>0</v>
      </c>
      <c r="G375">
        <v>1173.2660000000001</v>
      </c>
      <c r="H375">
        <v>2791.1439999999998</v>
      </c>
      <c r="I375">
        <v>-3626.4520000000002</v>
      </c>
    </row>
    <row r="376" spans="1:9" x14ac:dyDescent="0.25">
      <c r="A376" t="s">
        <v>126</v>
      </c>
      <c r="B376" t="s">
        <v>195</v>
      </c>
      <c r="C376" t="s">
        <v>143</v>
      </c>
      <c r="D376">
        <v>443.12</v>
      </c>
      <c r="E376">
        <v>-177.77</v>
      </c>
      <c r="F376">
        <v>0</v>
      </c>
      <c r="G376">
        <v>959.94500000000005</v>
      </c>
      <c r="H376">
        <v>2658.7310000000002</v>
      </c>
      <c r="I376">
        <v>-2957.7979999999998</v>
      </c>
    </row>
    <row r="377" spans="1:9" x14ac:dyDescent="0.25">
      <c r="A377" t="s">
        <v>126</v>
      </c>
      <c r="B377" t="s">
        <v>195</v>
      </c>
      <c r="C377" t="s">
        <v>3</v>
      </c>
      <c r="D377">
        <v>465.19</v>
      </c>
      <c r="E377">
        <v>-177.77</v>
      </c>
      <c r="F377">
        <v>0</v>
      </c>
      <c r="G377">
        <v>959.94500000000005</v>
      </c>
      <c r="H377">
        <v>2791.1439999999998</v>
      </c>
      <c r="I377">
        <v>-3626.4520000000002</v>
      </c>
    </row>
    <row r="378" spans="1:9" x14ac:dyDescent="0.25">
      <c r="A378" t="s">
        <v>126</v>
      </c>
      <c r="B378" t="s">
        <v>196</v>
      </c>
      <c r="C378" t="s">
        <v>143</v>
      </c>
      <c r="D378">
        <v>443.12</v>
      </c>
      <c r="E378">
        <v>177.77</v>
      </c>
      <c r="F378">
        <v>0</v>
      </c>
      <c r="G378">
        <v>-1173.2660000000001</v>
      </c>
      <c r="H378">
        <v>2658.7310000000002</v>
      </c>
      <c r="I378">
        <v>-2359.665</v>
      </c>
    </row>
    <row r="379" spans="1:9" x14ac:dyDescent="0.25">
      <c r="A379" t="s">
        <v>126</v>
      </c>
      <c r="B379" t="s">
        <v>196</v>
      </c>
      <c r="C379" t="s">
        <v>3</v>
      </c>
      <c r="D379">
        <v>465.19</v>
      </c>
      <c r="E379">
        <v>177.77</v>
      </c>
      <c r="F379">
        <v>0</v>
      </c>
      <c r="G379">
        <v>-1173.2660000000001</v>
      </c>
      <c r="H379">
        <v>2791.1439999999998</v>
      </c>
      <c r="I379">
        <v>-1955.837</v>
      </c>
    </row>
    <row r="380" spans="1:9" x14ac:dyDescent="0.25">
      <c r="A380" t="s">
        <v>126</v>
      </c>
      <c r="B380" t="s">
        <v>197</v>
      </c>
      <c r="C380" t="s">
        <v>143</v>
      </c>
      <c r="D380">
        <v>443.12</v>
      </c>
      <c r="E380">
        <v>177.77</v>
      </c>
      <c r="F380">
        <v>0</v>
      </c>
      <c r="G380">
        <v>-959.94500000000005</v>
      </c>
      <c r="H380">
        <v>2658.7310000000002</v>
      </c>
      <c r="I380">
        <v>-2359.665</v>
      </c>
    </row>
    <row r="381" spans="1:9" x14ac:dyDescent="0.25">
      <c r="A381" t="s">
        <v>126</v>
      </c>
      <c r="B381" t="s">
        <v>197</v>
      </c>
      <c r="C381" t="s">
        <v>3</v>
      </c>
      <c r="D381">
        <v>465.19</v>
      </c>
      <c r="E381">
        <v>177.77</v>
      </c>
      <c r="F381">
        <v>0</v>
      </c>
      <c r="G381">
        <v>-959.94500000000005</v>
      </c>
      <c r="H381">
        <v>2791.1439999999998</v>
      </c>
      <c r="I381">
        <v>-1955.837</v>
      </c>
    </row>
    <row r="382" spans="1:9" x14ac:dyDescent="0.25">
      <c r="A382" t="s">
        <v>126</v>
      </c>
      <c r="B382" t="s">
        <v>198</v>
      </c>
      <c r="C382" t="s">
        <v>143</v>
      </c>
      <c r="D382">
        <v>443.12</v>
      </c>
      <c r="E382">
        <v>0</v>
      </c>
      <c r="F382">
        <v>-177.77</v>
      </c>
      <c r="G382">
        <v>-1173.2660000000001</v>
      </c>
      <c r="H382">
        <v>2957.7979999999998</v>
      </c>
      <c r="I382">
        <v>-2658.7310000000002</v>
      </c>
    </row>
    <row r="383" spans="1:9" x14ac:dyDescent="0.25">
      <c r="A383" t="s">
        <v>126</v>
      </c>
      <c r="B383" t="s">
        <v>198</v>
      </c>
      <c r="C383" t="s">
        <v>3</v>
      </c>
      <c r="D383">
        <v>465.19</v>
      </c>
      <c r="E383">
        <v>0</v>
      </c>
      <c r="F383">
        <v>-177.77</v>
      </c>
      <c r="G383">
        <v>-1173.2660000000001</v>
      </c>
      <c r="H383">
        <v>3626.4520000000002</v>
      </c>
      <c r="I383">
        <v>-2791.1439999999998</v>
      </c>
    </row>
    <row r="384" spans="1:9" x14ac:dyDescent="0.25">
      <c r="A384" t="s">
        <v>126</v>
      </c>
      <c r="B384" t="s">
        <v>199</v>
      </c>
      <c r="C384" t="s">
        <v>143</v>
      </c>
      <c r="D384">
        <v>443.12</v>
      </c>
      <c r="E384">
        <v>0</v>
      </c>
      <c r="F384">
        <v>-177.77</v>
      </c>
      <c r="G384">
        <v>-959.94500000000005</v>
      </c>
      <c r="H384">
        <v>2957.7979999999998</v>
      </c>
      <c r="I384">
        <v>-2658.7310000000002</v>
      </c>
    </row>
    <row r="385" spans="1:9" x14ac:dyDescent="0.25">
      <c r="A385" t="s">
        <v>126</v>
      </c>
      <c r="B385" t="s">
        <v>199</v>
      </c>
      <c r="C385" t="s">
        <v>3</v>
      </c>
      <c r="D385">
        <v>465.19</v>
      </c>
      <c r="E385">
        <v>0</v>
      </c>
      <c r="F385">
        <v>-177.77</v>
      </c>
      <c r="G385">
        <v>-959.94500000000005</v>
      </c>
      <c r="H385">
        <v>3626.4520000000002</v>
      </c>
      <c r="I385">
        <v>-2791.1439999999998</v>
      </c>
    </row>
    <row r="386" spans="1:9" x14ac:dyDescent="0.25">
      <c r="A386" t="s">
        <v>126</v>
      </c>
      <c r="B386" t="s">
        <v>200</v>
      </c>
      <c r="C386" t="s">
        <v>143</v>
      </c>
      <c r="D386">
        <v>443.12</v>
      </c>
      <c r="E386">
        <v>0</v>
      </c>
      <c r="F386">
        <v>177.77</v>
      </c>
      <c r="G386">
        <v>1173.2660000000001</v>
      </c>
      <c r="H386">
        <v>2359.665</v>
      </c>
      <c r="I386">
        <v>-2658.7310000000002</v>
      </c>
    </row>
    <row r="387" spans="1:9" x14ac:dyDescent="0.25">
      <c r="A387" t="s">
        <v>126</v>
      </c>
      <c r="B387" t="s">
        <v>200</v>
      </c>
      <c r="C387" t="s">
        <v>3</v>
      </c>
      <c r="D387">
        <v>465.19</v>
      </c>
      <c r="E387">
        <v>0</v>
      </c>
      <c r="F387">
        <v>177.77</v>
      </c>
      <c r="G387">
        <v>1173.2660000000001</v>
      </c>
      <c r="H387">
        <v>1955.837</v>
      </c>
      <c r="I387">
        <v>-2791.1439999999998</v>
      </c>
    </row>
    <row r="388" spans="1:9" x14ac:dyDescent="0.25">
      <c r="A388" t="s">
        <v>126</v>
      </c>
      <c r="B388" t="s">
        <v>201</v>
      </c>
      <c r="C388" t="s">
        <v>143</v>
      </c>
      <c r="D388">
        <v>443.12</v>
      </c>
      <c r="E388">
        <v>0</v>
      </c>
      <c r="F388">
        <v>177.77</v>
      </c>
      <c r="G388">
        <v>959.94500000000005</v>
      </c>
      <c r="H388">
        <v>2359.665</v>
      </c>
      <c r="I388">
        <v>-2658.7310000000002</v>
      </c>
    </row>
    <row r="389" spans="1:9" x14ac:dyDescent="0.25">
      <c r="A389" t="s">
        <v>126</v>
      </c>
      <c r="B389" t="s">
        <v>201</v>
      </c>
      <c r="C389" t="s">
        <v>3</v>
      </c>
      <c r="D389">
        <v>465.19</v>
      </c>
      <c r="E389">
        <v>0</v>
      </c>
      <c r="F389">
        <v>177.77</v>
      </c>
      <c r="G389">
        <v>959.94500000000005</v>
      </c>
      <c r="H389">
        <v>1955.837</v>
      </c>
      <c r="I389">
        <v>-2791.1439999999998</v>
      </c>
    </row>
    <row r="390" spans="1:9" x14ac:dyDescent="0.25">
      <c r="A390" t="s">
        <v>126</v>
      </c>
      <c r="B390" t="s">
        <v>202</v>
      </c>
      <c r="C390" t="s">
        <v>143</v>
      </c>
      <c r="D390">
        <v>400.92</v>
      </c>
      <c r="E390">
        <v>-177.77</v>
      </c>
      <c r="F390">
        <v>0</v>
      </c>
      <c r="G390">
        <v>1173.2660000000001</v>
      </c>
      <c r="H390">
        <v>2405.5189999999998</v>
      </c>
      <c r="I390">
        <v>-2704.585</v>
      </c>
    </row>
    <row r="391" spans="1:9" x14ac:dyDescent="0.25">
      <c r="A391" t="s">
        <v>126</v>
      </c>
      <c r="B391" t="s">
        <v>202</v>
      </c>
      <c r="C391" t="s">
        <v>3</v>
      </c>
      <c r="D391">
        <v>420.89</v>
      </c>
      <c r="E391">
        <v>-177.77</v>
      </c>
      <c r="F391">
        <v>0</v>
      </c>
      <c r="G391">
        <v>1173.2660000000001</v>
      </c>
      <c r="H391">
        <v>2525.3209999999999</v>
      </c>
      <c r="I391">
        <v>-3360.6280000000002</v>
      </c>
    </row>
    <row r="392" spans="1:9" x14ac:dyDescent="0.25">
      <c r="A392" t="s">
        <v>126</v>
      </c>
      <c r="B392" t="s">
        <v>203</v>
      </c>
      <c r="C392" t="s">
        <v>143</v>
      </c>
      <c r="D392">
        <v>400.92</v>
      </c>
      <c r="E392">
        <v>-177.77</v>
      </c>
      <c r="F392">
        <v>0</v>
      </c>
      <c r="G392">
        <v>959.94500000000005</v>
      </c>
      <c r="H392">
        <v>2405.5189999999998</v>
      </c>
      <c r="I392">
        <v>-2704.585</v>
      </c>
    </row>
    <row r="393" spans="1:9" x14ac:dyDescent="0.25">
      <c r="A393" t="s">
        <v>126</v>
      </c>
      <c r="B393" t="s">
        <v>203</v>
      </c>
      <c r="C393" t="s">
        <v>3</v>
      </c>
      <c r="D393">
        <v>420.89</v>
      </c>
      <c r="E393">
        <v>-177.77</v>
      </c>
      <c r="F393">
        <v>0</v>
      </c>
      <c r="G393">
        <v>959.94500000000005</v>
      </c>
      <c r="H393">
        <v>2525.3209999999999</v>
      </c>
      <c r="I393">
        <v>-3360.6280000000002</v>
      </c>
    </row>
    <row r="394" spans="1:9" x14ac:dyDescent="0.25">
      <c r="A394" t="s">
        <v>126</v>
      </c>
      <c r="B394" t="s">
        <v>204</v>
      </c>
      <c r="C394" t="s">
        <v>143</v>
      </c>
      <c r="D394">
        <v>400.92</v>
      </c>
      <c r="E394">
        <v>177.77</v>
      </c>
      <c r="F394">
        <v>0</v>
      </c>
      <c r="G394">
        <v>-1173.2660000000001</v>
      </c>
      <c r="H394">
        <v>2405.5189999999998</v>
      </c>
      <c r="I394">
        <v>-2106.4520000000002</v>
      </c>
    </row>
    <row r="395" spans="1:9" x14ac:dyDescent="0.25">
      <c r="A395" t="s">
        <v>126</v>
      </c>
      <c r="B395" t="s">
        <v>204</v>
      </c>
      <c r="C395" t="s">
        <v>3</v>
      </c>
      <c r="D395">
        <v>420.89</v>
      </c>
      <c r="E395">
        <v>177.77</v>
      </c>
      <c r="F395">
        <v>0</v>
      </c>
      <c r="G395">
        <v>-1173.2660000000001</v>
      </c>
      <c r="H395">
        <v>2525.3209999999999</v>
      </c>
      <c r="I395">
        <v>-1690.0129999999999</v>
      </c>
    </row>
    <row r="396" spans="1:9" x14ac:dyDescent="0.25">
      <c r="A396" t="s">
        <v>126</v>
      </c>
      <c r="B396" t="s">
        <v>205</v>
      </c>
      <c r="C396" t="s">
        <v>143</v>
      </c>
      <c r="D396">
        <v>400.92</v>
      </c>
      <c r="E396">
        <v>177.77</v>
      </c>
      <c r="F396">
        <v>0</v>
      </c>
      <c r="G396">
        <v>-959.94500000000005</v>
      </c>
      <c r="H396">
        <v>2405.5189999999998</v>
      </c>
      <c r="I396">
        <v>-2106.4520000000002</v>
      </c>
    </row>
    <row r="397" spans="1:9" x14ac:dyDescent="0.25">
      <c r="A397" t="s">
        <v>126</v>
      </c>
      <c r="B397" t="s">
        <v>205</v>
      </c>
      <c r="C397" t="s">
        <v>3</v>
      </c>
      <c r="D397">
        <v>420.89</v>
      </c>
      <c r="E397">
        <v>177.77</v>
      </c>
      <c r="F397">
        <v>0</v>
      </c>
      <c r="G397">
        <v>-959.94500000000005</v>
      </c>
      <c r="H397">
        <v>2525.3209999999999</v>
      </c>
      <c r="I397">
        <v>-1690.0129999999999</v>
      </c>
    </row>
    <row r="398" spans="1:9" x14ac:dyDescent="0.25">
      <c r="A398" t="s">
        <v>126</v>
      </c>
      <c r="B398" t="s">
        <v>206</v>
      </c>
      <c r="C398" t="s">
        <v>143</v>
      </c>
      <c r="D398">
        <v>400.92</v>
      </c>
      <c r="E398">
        <v>0</v>
      </c>
      <c r="F398">
        <v>-177.77</v>
      </c>
      <c r="G398">
        <v>-1173.2660000000001</v>
      </c>
      <c r="H398">
        <v>2704.585</v>
      </c>
      <c r="I398">
        <v>-2405.5189999999998</v>
      </c>
    </row>
    <row r="399" spans="1:9" x14ac:dyDescent="0.25">
      <c r="A399" t="s">
        <v>126</v>
      </c>
      <c r="B399" t="s">
        <v>206</v>
      </c>
      <c r="C399" t="s">
        <v>3</v>
      </c>
      <c r="D399">
        <v>420.89</v>
      </c>
      <c r="E399">
        <v>0</v>
      </c>
      <c r="F399">
        <v>-177.77</v>
      </c>
      <c r="G399">
        <v>-1173.2660000000001</v>
      </c>
      <c r="H399">
        <v>3360.6280000000002</v>
      </c>
      <c r="I399">
        <v>-2525.3209999999999</v>
      </c>
    </row>
    <row r="400" spans="1:9" x14ac:dyDescent="0.25">
      <c r="A400" t="s">
        <v>126</v>
      </c>
      <c r="B400" t="s">
        <v>207</v>
      </c>
      <c r="C400" t="s">
        <v>143</v>
      </c>
      <c r="D400">
        <v>400.92</v>
      </c>
      <c r="E400">
        <v>0</v>
      </c>
      <c r="F400">
        <v>-177.77</v>
      </c>
      <c r="G400">
        <v>-959.94500000000005</v>
      </c>
      <c r="H400">
        <v>2704.585</v>
      </c>
      <c r="I400">
        <v>-2405.5189999999998</v>
      </c>
    </row>
    <row r="401" spans="1:9" x14ac:dyDescent="0.25">
      <c r="A401" t="s">
        <v>126</v>
      </c>
      <c r="B401" t="s">
        <v>207</v>
      </c>
      <c r="C401" t="s">
        <v>3</v>
      </c>
      <c r="D401">
        <v>420.89</v>
      </c>
      <c r="E401">
        <v>0</v>
      </c>
      <c r="F401">
        <v>-177.77</v>
      </c>
      <c r="G401">
        <v>-959.94500000000005</v>
      </c>
      <c r="H401">
        <v>3360.6280000000002</v>
      </c>
      <c r="I401">
        <v>-2525.3209999999999</v>
      </c>
    </row>
    <row r="402" spans="1:9" x14ac:dyDescent="0.25">
      <c r="A402" t="s">
        <v>126</v>
      </c>
      <c r="B402" t="s">
        <v>208</v>
      </c>
      <c r="C402" t="s">
        <v>143</v>
      </c>
      <c r="D402">
        <v>400.92</v>
      </c>
      <c r="E402">
        <v>0</v>
      </c>
      <c r="F402">
        <v>177.77</v>
      </c>
      <c r="G402">
        <v>1173.2660000000001</v>
      </c>
      <c r="H402">
        <v>2106.4520000000002</v>
      </c>
      <c r="I402">
        <v>-2405.5189999999998</v>
      </c>
    </row>
    <row r="403" spans="1:9" x14ac:dyDescent="0.25">
      <c r="A403" t="s">
        <v>126</v>
      </c>
      <c r="B403" t="s">
        <v>208</v>
      </c>
      <c r="C403" t="s">
        <v>3</v>
      </c>
      <c r="D403">
        <v>420.89</v>
      </c>
      <c r="E403">
        <v>0</v>
      </c>
      <c r="F403">
        <v>177.77</v>
      </c>
      <c r="G403">
        <v>1173.2660000000001</v>
      </c>
      <c r="H403">
        <v>1690.0129999999999</v>
      </c>
      <c r="I403">
        <v>-2525.3209999999999</v>
      </c>
    </row>
    <row r="404" spans="1:9" x14ac:dyDescent="0.25">
      <c r="A404" t="s">
        <v>126</v>
      </c>
      <c r="B404" t="s">
        <v>209</v>
      </c>
      <c r="C404" t="s">
        <v>143</v>
      </c>
      <c r="D404">
        <v>400.92</v>
      </c>
      <c r="E404">
        <v>0</v>
      </c>
      <c r="F404">
        <v>177.77</v>
      </c>
      <c r="G404">
        <v>959.94500000000005</v>
      </c>
      <c r="H404">
        <v>2106.4520000000002</v>
      </c>
      <c r="I404">
        <v>-2405.5189999999998</v>
      </c>
    </row>
    <row r="405" spans="1:9" x14ac:dyDescent="0.25">
      <c r="A405" t="s">
        <v>126</v>
      </c>
      <c r="B405" t="s">
        <v>209</v>
      </c>
      <c r="C405" t="s">
        <v>3</v>
      </c>
      <c r="D405">
        <v>420.89</v>
      </c>
      <c r="E405">
        <v>0</v>
      </c>
      <c r="F405">
        <v>177.77</v>
      </c>
      <c r="G405">
        <v>959.94500000000005</v>
      </c>
      <c r="H405">
        <v>1690.0129999999999</v>
      </c>
      <c r="I405">
        <v>-2525.3209999999999</v>
      </c>
    </row>
    <row r="406" spans="1:9" x14ac:dyDescent="0.25">
      <c r="A406" t="s">
        <v>126</v>
      </c>
      <c r="B406" t="s">
        <v>210</v>
      </c>
      <c r="C406" t="s">
        <v>143</v>
      </c>
      <c r="D406">
        <v>492.36</v>
      </c>
      <c r="E406">
        <v>-53.33</v>
      </c>
      <c r="F406">
        <v>0</v>
      </c>
      <c r="G406">
        <v>351.98</v>
      </c>
      <c r="H406">
        <v>2954.1460000000002</v>
      </c>
      <c r="I406">
        <v>-3043.866</v>
      </c>
    </row>
    <row r="407" spans="1:9" x14ac:dyDescent="0.25">
      <c r="A407" t="s">
        <v>126</v>
      </c>
      <c r="B407" t="s">
        <v>210</v>
      </c>
      <c r="C407" t="s">
        <v>3</v>
      </c>
      <c r="D407">
        <v>516.88</v>
      </c>
      <c r="E407">
        <v>-53.33</v>
      </c>
      <c r="F407">
        <v>0</v>
      </c>
      <c r="G407">
        <v>351.98</v>
      </c>
      <c r="H407">
        <v>3101.2710000000002</v>
      </c>
      <c r="I407">
        <v>-3351.864</v>
      </c>
    </row>
    <row r="408" spans="1:9" x14ac:dyDescent="0.25">
      <c r="A408" t="s">
        <v>126</v>
      </c>
      <c r="B408" t="s">
        <v>211</v>
      </c>
      <c r="C408" t="s">
        <v>143</v>
      </c>
      <c r="D408">
        <v>492.36</v>
      </c>
      <c r="E408">
        <v>-53.33</v>
      </c>
      <c r="F408">
        <v>0</v>
      </c>
      <c r="G408">
        <v>287.98399999999998</v>
      </c>
      <c r="H408">
        <v>2954.1460000000002</v>
      </c>
      <c r="I408">
        <v>-3043.866</v>
      </c>
    </row>
    <row r="409" spans="1:9" x14ac:dyDescent="0.25">
      <c r="A409" t="s">
        <v>126</v>
      </c>
      <c r="B409" t="s">
        <v>211</v>
      </c>
      <c r="C409" t="s">
        <v>3</v>
      </c>
      <c r="D409">
        <v>516.88</v>
      </c>
      <c r="E409">
        <v>-53.33</v>
      </c>
      <c r="F409">
        <v>0</v>
      </c>
      <c r="G409">
        <v>287.98399999999998</v>
      </c>
      <c r="H409">
        <v>3101.2710000000002</v>
      </c>
      <c r="I409">
        <v>-3351.864</v>
      </c>
    </row>
    <row r="410" spans="1:9" x14ac:dyDescent="0.25">
      <c r="A410" t="s">
        <v>126</v>
      </c>
      <c r="B410" t="s">
        <v>212</v>
      </c>
      <c r="C410" t="s">
        <v>143</v>
      </c>
      <c r="D410">
        <v>492.36</v>
      </c>
      <c r="E410">
        <v>53.33</v>
      </c>
      <c r="F410">
        <v>0</v>
      </c>
      <c r="G410">
        <v>-351.98</v>
      </c>
      <c r="H410">
        <v>2954.1460000000002</v>
      </c>
      <c r="I410">
        <v>-2864.4259999999999</v>
      </c>
    </row>
    <row r="411" spans="1:9" x14ac:dyDescent="0.25">
      <c r="A411" t="s">
        <v>126</v>
      </c>
      <c r="B411" t="s">
        <v>212</v>
      </c>
      <c r="C411" t="s">
        <v>3</v>
      </c>
      <c r="D411">
        <v>516.88</v>
      </c>
      <c r="E411">
        <v>53.33</v>
      </c>
      <c r="F411">
        <v>0</v>
      </c>
      <c r="G411">
        <v>-351.98</v>
      </c>
      <c r="H411">
        <v>3101.2710000000002</v>
      </c>
      <c r="I411">
        <v>-2850.6790000000001</v>
      </c>
    </row>
    <row r="412" spans="1:9" x14ac:dyDescent="0.25">
      <c r="A412" t="s">
        <v>126</v>
      </c>
      <c r="B412" t="s">
        <v>213</v>
      </c>
      <c r="C412" t="s">
        <v>143</v>
      </c>
      <c r="D412">
        <v>492.36</v>
      </c>
      <c r="E412">
        <v>53.33</v>
      </c>
      <c r="F412">
        <v>0</v>
      </c>
      <c r="G412">
        <v>-287.98399999999998</v>
      </c>
      <c r="H412">
        <v>2954.1460000000002</v>
      </c>
      <c r="I412">
        <v>-2864.4259999999999</v>
      </c>
    </row>
    <row r="413" spans="1:9" x14ac:dyDescent="0.25">
      <c r="A413" t="s">
        <v>126</v>
      </c>
      <c r="B413" t="s">
        <v>213</v>
      </c>
      <c r="C413" t="s">
        <v>3</v>
      </c>
      <c r="D413">
        <v>516.88</v>
      </c>
      <c r="E413">
        <v>53.33</v>
      </c>
      <c r="F413">
        <v>0</v>
      </c>
      <c r="G413">
        <v>-287.98399999999998</v>
      </c>
      <c r="H413">
        <v>3101.2710000000002</v>
      </c>
      <c r="I413">
        <v>-2850.6790000000001</v>
      </c>
    </row>
    <row r="414" spans="1:9" x14ac:dyDescent="0.25">
      <c r="A414" t="s">
        <v>126</v>
      </c>
      <c r="B414" t="s">
        <v>214</v>
      </c>
      <c r="C414" t="s">
        <v>143</v>
      </c>
      <c r="D414">
        <v>492.36</v>
      </c>
      <c r="E414">
        <v>0</v>
      </c>
      <c r="F414">
        <v>-53.33</v>
      </c>
      <c r="G414">
        <v>-351.98</v>
      </c>
      <c r="H414">
        <v>3043.866</v>
      </c>
      <c r="I414">
        <v>-2954.1460000000002</v>
      </c>
    </row>
    <row r="415" spans="1:9" x14ac:dyDescent="0.25">
      <c r="A415" t="s">
        <v>126</v>
      </c>
      <c r="B415" t="s">
        <v>214</v>
      </c>
      <c r="C415" t="s">
        <v>3</v>
      </c>
      <c r="D415">
        <v>516.88</v>
      </c>
      <c r="E415">
        <v>0</v>
      </c>
      <c r="F415">
        <v>-53.33</v>
      </c>
      <c r="G415">
        <v>-351.98</v>
      </c>
      <c r="H415">
        <v>3351.864</v>
      </c>
      <c r="I415">
        <v>-3101.2710000000002</v>
      </c>
    </row>
    <row r="416" spans="1:9" x14ac:dyDescent="0.25">
      <c r="A416" t="s">
        <v>126</v>
      </c>
      <c r="B416" t="s">
        <v>215</v>
      </c>
      <c r="C416" t="s">
        <v>143</v>
      </c>
      <c r="D416">
        <v>492.36</v>
      </c>
      <c r="E416">
        <v>0</v>
      </c>
      <c r="F416">
        <v>-53.33</v>
      </c>
      <c r="G416">
        <v>-287.98399999999998</v>
      </c>
      <c r="H416">
        <v>3043.866</v>
      </c>
      <c r="I416">
        <v>-2954.1460000000002</v>
      </c>
    </row>
    <row r="417" spans="1:9" x14ac:dyDescent="0.25">
      <c r="A417" t="s">
        <v>126</v>
      </c>
      <c r="B417" t="s">
        <v>215</v>
      </c>
      <c r="C417" t="s">
        <v>3</v>
      </c>
      <c r="D417">
        <v>516.88</v>
      </c>
      <c r="E417">
        <v>0</v>
      </c>
      <c r="F417">
        <v>-53.33</v>
      </c>
      <c r="G417">
        <v>-287.98399999999998</v>
      </c>
      <c r="H417">
        <v>3351.864</v>
      </c>
      <c r="I417">
        <v>-3101.2710000000002</v>
      </c>
    </row>
    <row r="418" spans="1:9" x14ac:dyDescent="0.25">
      <c r="A418" t="s">
        <v>126</v>
      </c>
      <c r="B418" t="s">
        <v>216</v>
      </c>
      <c r="C418" t="s">
        <v>143</v>
      </c>
      <c r="D418">
        <v>492.36</v>
      </c>
      <c r="E418">
        <v>0</v>
      </c>
      <c r="F418">
        <v>53.33</v>
      </c>
      <c r="G418">
        <v>351.98</v>
      </c>
      <c r="H418">
        <v>2864.4259999999999</v>
      </c>
      <c r="I418">
        <v>-2954.1460000000002</v>
      </c>
    </row>
    <row r="419" spans="1:9" x14ac:dyDescent="0.25">
      <c r="A419" t="s">
        <v>126</v>
      </c>
      <c r="B419" t="s">
        <v>216</v>
      </c>
      <c r="C419" t="s">
        <v>3</v>
      </c>
      <c r="D419">
        <v>516.88</v>
      </c>
      <c r="E419">
        <v>0</v>
      </c>
      <c r="F419">
        <v>53.33</v>
      </c>
      <c r="G419">
        <v>351.98</v>
      </c>
      <c r="H419">
        <v>2850.6790000000001</v>
      </c>
      <c r="I419">
        <v>-3101.2710000000002</v>
      </c>
    </row>
    <row r="420" spans="1:9" x14ac:dyDescent="0.25">
      <c r="A420" t="s">
        <v>126</v>
      </c>
      <c r="B420" t="s">
        <v>217</v>
      </c>
      <c r="C420" t="s">
        <v>143</v>
      </c>
      <c r="D420">
        <v>492.36</v>
      </c>
      <c r="E420">
        <v>0</v>
      </c>
      <c r="F420">
        <v>53.33</v>
      </c>
      <c r="G420">
        <v>287.98399999999998</v>
      </c>
      <c r="H420">
        <v>2864.4259999999999</v>
      </c>
      <c r="I420">
        <v>-2954.1460000000002</v>
      </c>
    </row>
    <row r="421" spans="1:9" x14ac:dyDescent="0.25">
      <c r="A421" t="s">
        <v>126</v>
      </c>
      <c r="B421" t="s">
        <v>217</v>
      </c>
      <c r="C421" t="s">
        <v>3</v>
      </c>
      <c r="D421">
        <v>516.88</v>
      </c>
      <c r="E421">
        <v>0</v>
      </c>
      <c r="F421">
        <v>53.33</v>
      </c>
      <c r="G421">
        <v>287.98399999999998</v>
      </c>
      <c r="H421">
        <v>2850.6790000000001</v>
      </c>
      <c r="I421">
        <v>-3101.2710000000002</v>
      </c>
    </row>
    <row r="422" spans="1:9" x14ac:dyDescent="0.25">
      <c r="A422" t="s">
        <v>126</v>
      </c>
      <c r="B422" t="s">
        <v>218</v>
      </c>
      <c r="C422" t="s">
        <v>143</v>
      </c>
      <c r="D422">
        <v>351.68</v>
      </c>
      <c r="E422">
        <v>-53.33</v>
      </c>
      <c r="F422">
        <v>0</v>
      </c>
      <c r="G422">
        <v>351.98</v>
      </c>
      <c r="H422">
        <v>2110.1039999999998</v>
      </c>
      <c r="I422">
        <v>-2199.8240000000001</v>
      </c>
    </row>
    <row r="423" spans="1:9" x14ac:dyDescent="0.25">
      <c r="A423" t="s">
        <v>126</v>
      </c>
      <c r="B423" t="s">
        <v>218</v>
      </c>
      <c r="C423" t="s">
        <v>3</v>
      </c>
      <c r="D423">
        <v>369.2</v>
      </c>
      <c r="E423">
        <v>-53.33</v>
      </c>
      <c r="F423">
        <v>0</v>
      </c>
      <c r="G423">
        <v>351.98</v>
      </c>
      <c r="H423">
        <v>2215.194</v>
      </c>
      <c r="I423">
        <v>-2465.7860000000001</v>
      </c>
    </row>
    <row r="424" spans="1:9" x14ac:dyDescent="0.25">
      <c r="A424" t="s">
        <v>126</v>
      </c>
      <c r="B424" t="s">
        <v>219</v>
      </c>
      <c r="C424" t="s">
        <v>143</v>
      </c>
      <c r="D424">
        <v>351.68</v>
      </c>
      <c r="E424">
        <v>-53.33</v>
      </c>
      <c r="F424">
        <v>0</v>
      </c>
      <c r="G424">
        <v>287.98399999999998</v>
      </c>
      <c r="H424">
        <v>2110.1039999999998</v>
      </c>
      <c r="I424">
        <v>-2199.8240000000001</v>
      </c>
    </row>
    <row r="425" spans="1:9" x14ac:dyDescent="0.25">
      <c r="A425" t="s">
        <v>126</v>
      </c>
      <c r="B425" t="s">
        <v>219</v>
      </c>
      <c r="C425" t="s">
        <v>3</v>
      </c>
      <c r="D425">
        <v>369.2</v>
      </c>
      <c r="E425">
        <v>-53.33</v>
      </c>
      <c r="F425">
        <v>0</v>
      </c>
      <c r="G425">
        <v>287.98399999999998</v>
      </c>
      <c r="H425">
        <v>2215.194</v>
      </c>
      <c r="I425">
        <v>-2465.7860000000001</v>
      </c>
    </row>
    <row r="426" spans="1:9" x14ac:dyDescent="0.25">
      <c r="A426" t="s">
        <v>126</v>
      </c>
      <c r="B426" t="s">
        <v>220</v>
      </c>
      <c r="C426" t="s">
        <v>143</v>
      </c>
      <c r="D426">
        <v>351.68</v>
      </c>
      <c r="E426">
        <v>53.33</v>
      </c>
      <c r="F426">
        <v>0</v>
      </c>
      <c r="G426">
        <v>-351.98</v>
      </c>
      <c r="H426">
        <v>2110.1039999999998</v>
      </c>
      <c r="I426">
        <v>-2020.384</v>
      </c>
    </row>
    <row r="427" spans="1:9" x14ac:dyDescent="0.25">
      <c r="A427" t="s">
        <v>126</v>
      </c>
      <c r="B427" t="s">
        <v>220</v>
      </c>
      <c r="C427" t="s">
        <v>3</v>
      </c>
      <c r="D427">
        <v>369.2</v>
      </c>
      <c r="E427">
        <v>53.33</v>
      </c>
      <c r="F427">
        <v>0</v>
      </c>
      <c r="G427">
        <v>-351.98</v>
      </c>
      <c r="H427">
        <v>2215.194</v>
      </c>
      <c r="I427">
        <v>-1964.6020000000001</v>
      </c>
    </row>
    <row r="428" spans="1:9" x14ac:dyDescent="0.25">
      <c r="A428" t="s">
        <v>126</v>
      </c>
      <c r="B428" t="s">
        <v>221</v>
      </c>
      <c r="C428" t="s">
        <v>143</v>
      </c>
      <c r="D428">
        <v>351.68</v>
      </c>
      <c r="E428">
        <v>53.33</v>
      </c>
      <c r="F428">
        <v>0</v>
      </c>
      <c r="G428">
        <v>-287.98399999999998</v>
      </c>
      <c r="H428">
        <v>2110.1039999999998</v>
      </c>
      <c r="I428">
        <v>-2020.384</v>
      </c>
    </row>
    <row r="429" spans="1:9" x14ac:dyDescent="0.25">
      <c r="A429" t="s">
        <v>126</v>
      </c>
      <c r="B429" t="s">
        <v>221</v>
      </c>
      <c r="C429" t="s">
        <v>3</v>
      </c>
      <c r="D429">
        <v>369.2</v>
      </c>
      <c r="E429">
        <v>53.33</v>
      </c>
      <c r="F429">
        <v>0</v>
      </c>
      <c r="G429">
        <v>-287.98399999999998</v>
      </c>
      <c r="H429">
        <v>2215.194</v>
      </c>
      <c r="I429">
        <v>-1964.6020000000001</v>
      </c>
    </row>
    <row r="430" spans="1:9" x14ac:dyDescent="0.25">
      <c r="A430" t="s">
        <v>126</v>
      </c>
      <c r="B430" t="s">
        <v>222</v>
      </c>
      <c r="C430" t="s">
        <v>143</v>
      </c>
      <c r="D430">
        <v>351.68</v>
      </c>
      <c r="E430">
        <v>0</v>
      </c>
      <c r="F430">
        <v>-53.33</v>
      </c>
      <c r="G430">
        <v>-351.98</v>
      </c>
      <c r="H430">
        <v>2199.8240000000001</v>
      </c>
      <c r="I430">
        <v>-2110.1039999999998</v>
      </c>
    </row>
    <row r="431" spans="1:9" x14ac:dyDescent="0.25">
      <c r="A431" t="s">
        <v>126</v>
      </c>
      <c r="B431" t="s">
        <v>222</v>
      </c>
      <c r="C431" t="s">
        <v>3</v>
      </c>
      <c r="D431">
        <v>369.2</v>
      </c>
      <c r="E431">
        <v>0</v>
      </c>
      <c r="F431">
        <v>-53.33</v>
      </c>
      <c r="G431">
        <v>-351.98</v>
      </c>
      <c r="H431">
        <v>2465.7860000000001</v>
      </c>
      <c r="I431">
        <v>-2215.194</v>
      </c>
    </row>
    <row r="432" spans="1:9" x14ac:dyDescent="0.25">
      <c r="A432" t="s">
        <v>126</v>
      </c>
      <c r="B432" t="s">
        <v>223</v>
      </c>
      <c r="C432" t="s">
        <v>143</v>
      </c>
      <c r="D432">
        <v>351.68</v>
      </c>
      <c r="E432">
        <v>0</v>
      </c>
      <c r="F432">
        <v>-53.33</v>
      </c>
      <c r="G432">
        <v>-287.98399999999998</v>
      </c>
      <c r="H432">
        <v>2199.8240000000001</v>
      </c>
      <c r="I432">
        <v>-2110.1039999999998</v>
      </c>
    </row>
    <row r="433" spans="1:9" x14ac:dyDescent="0.25">
      <c r="A433" t="s">
        <v>126</v>
      </c>
      <c r="B433" t="s">
        <v>223</v>
      </c>
      <c r="C433" t="s">
        <v>3</v>
      </c>
      <c r="D433">
        <v>369.2</v>
      </c>
      <c r="E433">
        <v>0</v>
      </c>
      <c r="F433">
        <v>-53.33</v>
      </c>
      <c r="G433">
        <v>-287.98399999999998</v>
      </c>
      <c r="H433">
        <v>2465.7860000000001</v>
      </c>
      <c r="I433">
        <v>-2215.194</v>
      </c>
    </row>
    <row r="434" spans="1:9" x14ac:dyDescent="0.25">
      <c r="A434" t="s">
        <v>126</v>
      </c>
      <c r="B434" t="s">
        <v>224</v>
      </c>
      <c r="C434" t="s">
        <v>143</v>
      </c>
      <c r="D434">
        <v>351.68</v>
      </c>
      <c r="E434">
        <v>0</v>
      </c>
      <c r="F434">
        <v>53.33</v>
      </c>
      <c r="G434">
        <v>351.98</v>
      </c>
      <c r="H434">
        <v>2020.384</v>
      </c>
      <c r="I434">
        <v>-2110.1039999999998</v>
      </c>
    </row>
    <row r="435" spans="1:9" x14ac:dyDescent="0.25">
      <c r="A435" t="s">
        <v>126</v>
      </c>
      <c r="B435" t="s">
        <v>224</v>
      </c>
      <c r="C435" t="s">
        <v>3</v>
      </c>
      <c r="D435">
        <v>369.2</v>
      </c>
      <c r="E435">
        <v>0</v>
      </c>
      <c r="F435">
        <v>53.33</v>
      </c>
      <c r="G435">
        <v>351.98</v>
      </c>
      <c r="H435">
        <v>1964.6020000000001</v>
      </c>
      <c r="I435">
        <v>-2215.194</v>
      </c>
    </row>
    <row r="436" spans="1:9" x14ac:dyDescent="0.25">
      <c r="A436" t="s">
        <v>126</v>
      </c>
      <c r="B436" t="s">
        <v>225</v>
      </c>
      <c r="C436" t="s">
        <v>143</v>
      </c>
      <c r="D436">
        <v>351.68</v>
      </c>
      <c r="E436">
        <v>0</v>
      </c>
      <c r="F436">
        <v>53.33</v>
      </c>
      <c r="G436">
        <v>287.98399999999998</v>
      </c>
      <c r="H436">
        <v>2020.384</v>
      </c>
      <c r="I436">
        <v>-2110.1039999999998</v>
      </c>
    </row>
    <row r="437" spans="1:9" x14ac:dyDescent="0.25">
      <c r="A437" t="s">
        <v>126</v>
      </c>
      <c r="B437" t="s">
        <v>225</v>
      </c>
      <c r="C437" t="s">
        <v>3</v>
      </c>
      <c r="D437">
        <v>369.2</v>
      </c>
      <c r="E437">
        <v>0</v>
      </c>
      <c r="F437">
        <v>53.33</v>
      </c>
      <c r="G437">
        <v>287.98399999999998</v>
      </c>
      <c r="H437">
        <v>1964.6020000000001</v>
      </c>
      <c r="I437">
        <v>-2215.194</v>
      </c>
    </row>
    <row r="438" spans="1:9" x14ac:dyDescent="0.25">
      <c r="A438" t="s">
        <v>126</v>
      </c>
      <c r="B438" t="s">
        <v>226</v>
      </c>
      <c r="C438" t="s">
        <v>143</v>
      </c>
      <c r="D438">
        <v>627</v>
      </c>
      <c r="E438">
        <v>174.68</v>
      </c>
      <c r="F438">
        <v>0</v>
      </c>
      <c r="G438">
        <v>1153.7639999999999</v>
      </c>
      <c r="H438">
        <v>3761.973</v>
      </c>
      <c r="I438">
        <v>-3488.3629999999998</v>
      </c>
    </row>
    <row r="439" spans="1:9" x14ac:dyDescent="0.25">
      <c r="A439" t="s">
        <v>126</v>
      </c>
      <c r="B439" t="s">
        <v>226</v>
      </c>
      <c r="C439" t="s">
        <v>3</v>
      </c>
      <c r="D439">
        <v>656.07</v>
      </c>
      <c r="E439">
        <v>174.68</v>
      </c>
      <c r="F439">
        <v>0</v>
      </c>
      <c r="G439">
        <v>1153.7639999999999</v>
      </c>
      <c r="H439">
        <v>3936.422</v>
      </c>
      <c r="I439">
        <v>-3137.1680000000001</v>
      </c>
    </row>
    <row r="440" spans="1:9" x14ac:dyDescent="0.25">
      <c r="A440" t="s">
        <v>126</v>
      </c>
      <c r="B440" t="s">
        <v>227</v>
      </c>
      <c r="C440" t="s">
        <v>143</v>
      </c>
      <c r="D440">
        <v>627</v>
      </c>
      <c r="E440">
        <v>-174.68</v>
      </c>
      <c r="F440">
        <v>0</v>
      </c>
      <c r="G440">
        <v>-1153.7639999999999</v>
      </c>
      <c r="H440">
        <v>3761.973</v>
      </c>
      <c r="I440">
        <v>-4035.5819999999999</v>
      </c>
    </row>
    <row r="441" spans="1:9" x14ac:dyDescent="0.25">
      <c r="A441" t="s">
        <v>126</v>
      </c>
      <c r="B441" t="s">
        <v>227</v>
      </c>
      <c r="C441" t="s">
        <v>3</v>
      </c>
      <c r="D441">
        <v>656.07</v>
      </c>
      <c r="E441">
        <v>-174.68</v>
      </c>
      <c r="F441">
        <v>0</v>
      </c>
      <c r="G441">
        <v>-1153.7639999999999</v>
      </c>
      <c r="H441">
        <v>3936.422</v>
      </c>
      <c r="I441">
        <v>-4735.6760000000004</v>
      </c>
    </row>
    <row r="442" spans="1:9" x14ac:dyDescent="0.25">
      <c r="A442" t="s">
        <v>126</v>
      </c>
      <c r="B442" t="s">
        <v>228</v>
      </c>
      <c r="C442" t="s">
        <v>143</v>
      </c>
      <c r="D442">
        <v>584.79</v>
      </c>
      <c r="E442">
        <v>174.68</v>
      </c>
      <c r="F442">
        <v>0</v>
      </c>
      <c r="G442">
        <v>1153.7639999999999</v>
      </c>
      <c r="H442">
        <v>3508.76</v>
      </c>
      <c r="I442">
        <v>-3235.1509999999998</v>
      </c>
    </row>
    <row r="443" spans="1:9" x14ac:dyDescent="0.25">
      <c r="A443" t="s">
        <v>126</v>
      </c>
      <c r="B443" t="s">
        <v>228</v>
      </c>
      <c r="C443" t="s">
        <v>3</v>
      </c>
      <c r="D443">
        <v>611.77</v>
      </c>
      <c r="E443">
        <v>174.68</v>
      </c>
      <c r="F443">
        <v>0</v>
      </c>
      <c r="G443">
        <v>1153.7639999999999</v>
      </c>
      <c r="H443">
        <v>3670.5990000000002</v>
      </c>
      <c r="I443">
        <v>-2871.3440000000001</v>
      </c>
    </row>
    <row r="444" spans="1:9" x14ac:dyDescent="0.25">
      <c r="A444" t="s">
        <v>126</v>
      </c>
      <c r="B444" t="s">
        <v>229</v>
      </c>
      <c r="C444" t="s">
        <v>143</v>
      </c>
      <c r="D444">
        <v>584.79</v>
      </c>
      <c r="E444">
        <v>-174.68</v>
      </c>
      <c r="F444">
        <v>0</v>
      </c>
      <c r="G444">
        <v>-1153.7639999999999</v>
      </c>
      <c r="H444">
        <v>3508.76</v>
      </c>
      <c r="I444">
        <v>-3782.37</v>
      </c>
    </row>
    <row r="445" spans="1:9" x14ac:dyDescent="0.25">
      <c r="A445" t="s">
        <v>126</v>
      </c>
      <c r="B445" t="s">
        <v>229</v>
      </c>
      <c r="C445" t="s">
        <v>3</v>
      </c>
      <c r="D445">
        <v>611.77</v>
      </c>
      <c r="E445">
        <v>-174.68</v>
      </c>
      <c r="F445">
        <v>0</v>
      </c>
      <c r="G445">
        <v>-1153.7639999999999</v>
      </c>
      <c r="H445">
        <v>3670.598</v>
      </c>
      <c r="I445">
        <v>-4469.8530000000001</v>
      </c>
    </row>
    <row r="446" spans="1:9" x14ac:dyDescent="0.25">
      <c r="A446" t="s">
        <v>126</v>
      </c>
      <c r="B446" t="s">
        <v>230</v>
      </c>
      <c r="C446" t="s">
        <v>143</v>
      </c>
      <c r="D446">
        <v>627</v>
      </c>
      <c r="E446">
        <v>0</v>
      </c>
      <c r="F446">
        <v>160.13</v>
      </c>
      <c r="G446">
        <v>1057.617</v>
      </c>
      <c r="H446">
        <v>4012.7820000000002</v>
      </c>
      <c r="I446">
        <v>-3761.973</v>
      </c>
    </row>
    <row r="447" spans="1:9" x14ac:dyDescent="0.25">
      <c r="A447" t="s">
        <v>126</v>
      </c>
      <c r="B447" t="s">
        <v>230</v>
      </c>
      <c r="C447" t="s">
        <v>3</v>
      </c>
      <c r="D447">
        <v>656.07</v>
      </c>
      <c r="E447">
        <v>0</v>
      </c>
      <c r="F447">
        <v>160.13</v>
      </c>
      <c r="G447">
        <v>1057.617</v>
      </c>
      <c r="H447">
        <v>4669.0709999999999</v>
      </c>
      <c r="I447">
        <v>-3936.422</v>
      </c>
    </row>
    <row r="448" spans="1:9" x14ac:dyDescent="0.25">
      <c r="A448" t="s">
        <v>126</v>
      </c>
      <c r="B448" t="s">
        <v>231</v>
      </c>
      <c r="C448" t="s">
        <v>143</v>
      </c>
      <c r="D448">
        <v>627</v>
      </c>
      <c r="E448">
        <v>0</v>
      </c>
      <c r="F448">
        <v>-160.13</v>
      </c>
      <c r="G448">
        <v>-1057.617</v>
      </c>
      <c r="H448">
        <v>3511.1640000000002</v>
      </c>
      <c r="I448">
        <v>-3761.973</v>
      </c>
    </row>
    <row r="449" spans="1:9" x14ac:dyDescent="0.25">
      <c r="A449" t="s">
        <v>126</v>
      </c>
      <c r="B449" t="s">
        <v>231</v>
      </c>
      <c r="C449" t="s">
        <v>3</v>
      </c>
      <c r="D449">
        <v>656.07</v>
      </c>
      <c r="E449">
        <v>0</v>
      </c>
      <c r="F449">
        <v>-160.13</v>
      </c>
      <c r="G449">
        <v>-1057.617</v>
      </c>
      <c r="H449">
        <v>3203.7719999999999</v>
      </c>
      <c r="I449">
        <v>-3936.422</v>
      </c>
    </row>
    <row r="450" spans="1:9" x14ac:dyDescent="0.25">
      <c r="A450" t="s">
        <v>126</v>
      </c>
      <c r="B450" t="s">
        <v>232</v>
      </c>
      <c r="C450" t="s">
        <v>143</v>
      </c>
      <c r="D450">
        <v>584.79</v>
      </c>
      <c r="E450">
        <v>0</v>
      </c>
      <c r="F450">
        <v>160.13</v>
      </c>
      <c r="G450">
        <v>1057.617</v>
      </c>
      <c r="H450">
        <v>3759.569</v>
      </c>
      <c r="I450">
        <v>-3508.76</v>
      </c>
    </row>
    <row r="451" spans="1:9" x14ac:dyDescent="0.25">
      <c r="A451" t="s">
        <v>126</v>
      </c>
      <c r="B451" t="s">
        <v>232</v>
      </c>
      <c r="C451" t="s">
        <v>3</v>
      </c>
      <c r="D451">
        <v>611.77</v>
      </c>
      <c r="E451">
        <v>0</v>
      </c>
      <c r="F451">
        <v>160.13</v>
      </c>
      <c r="G451">
        <v>1057.617</v>
      </c>
      <c r="H451">
        <v>4403.2479999999996</v>
      </c>
      <c r="I451">
        <v>-3670.598</v>
      </c>
    </row>
    <row r="452" spans="1:9" x14ac:dyDescent="0.25">
      <c r="A452" t="s">
        <v>126</v>
      </c>
      <c r="B452" t="s">
        <v>233</v>
      </c>
      <c r="C452" t="s">
        <v>143</v>
      </c>
      <c r="D452">
        <v>584.79</v>
      </c>
      <c r="E452">
        <v>0</v>
      </c>
      <c r="F452">
        <v>-160.13</v>
      </c>
      <c r="G452">
        <v>-1057.617</v>
      </c>
      <c r="H452">
        <v>3257.951</v>
      </c>
      <c r="I452">
        <v>-3508.76</v>
      </c>
    </row>
    <row r="453" spans="1:9" x14ac:dyDescent="0.25">
      <c r="A453" t="s">
        <v>126</v>
      </c>
      <c r="B453" t="s">
        <v>233</v>
      </c>
      <c r="C453" t="s">
        <v>3</v>
      </c>
      <c r="D453">
        <v>611.77</v>
      </c>
      <c r="E453">
        <v>0</v>
      </c>
      <c r="F453">
        <v>-160.13</v>
      </c>
      <c r="G453">
        <v>-1057.617</v>
      </c>
      <c r="H453">
        <v>2937.9490000000001</v>
      </c>
      <c r="I453">
        <v>-3670.5990000000002</v>
      </c>
    </row>
    <row r="454" spans="1:9" x14ac:dyDescent="0.25">
      <c r="A454" t="s">
        <v>126</v>
      </c>
      <c r="B454" t="s">
        <v>234</v>
      </c>
      <c r="C454" t="s">
        <v>143</v>
      </c>
      <c r="D454">
        <v>676.23</v>
      </c>
      <c r="E454">
        <v>52.41</v>
      </c>
      <c r="F454">
        <v>0</v>
      </c>
      <c r="G454">
        <v>346.12900000000002</v>
      </c>
      <c r="H454">
        <v>4057.3870000000002</v>
      </c>
      <c r="I454">
        <v>-3975.3040000000001</v>
      </c>
    </row>
    <row r="455" spans="1:9" x14ac:dyDescent="0.25">
      <c r="A455" t="s">
        <v>126</v>
      </c>
      <c r="B455" t="s">
        <v>234</v>
      </c>
      <c r="C455" t="s">
        <v>3</v>
      </c>
      <c r="D455">
        <v>707.76</v>
      </c>
      <c r="E455">
        <v>52.41</v>
      </c>
      <c r="F455">
        <v>0</v>
      </c>
      <c r="G455">
        <v>346.12900000000002</v>
      </c>
      <c r="H455">
        <v>4246.549</v>
      </c>
      <c r="I455">
        <v>-4006.7730000000001</v>
      </c>
    </row>
    <row r="456" spans="1:9" x14ac:dyDescent="0.25">
      <c r="A456" t="s">
        <v>126</v>
      </c>
      <c r="B456" t="s">
        <v>235</v>
      </c>
      <c r="C456" t="s">
        <v>143</v>
      </c>
      <c r="D456">
        <v>676.23</v>
      </c>
      <c r="E456">
        <v>-52.41</v>
      </c>
      <c r="F456">
        <v>0</v>
      </c>
      <c r="G456">
        <v>-346.12900000000002</v>
      </c>
      <c r="H456">
        <v>4057.3870000000002</v>
      </c>
      <c r="I456">
        <v>-4139.47</v>
      </c>
    </row>
    <row r="457" spans="1:9" x14ac:dyDescent="0.25">
      <c r="A457" t="s">
        <v>126</v>
      </c>
      <c r="B457" t="s">
        <v>235</v>
      </c>
      <c r="C457" t="s">
        <v>3</v>
      </c>
      <c r="D457">
        <v>707.76</v>
      </c>
      <c r="E457">
        <v>-52.41</v>
      </c>
      <c r="F457">
        <v>0</v>
      </c>
      <c r="G457">
        <v>-346.12900000000002</v>
      </c>
      <c r="H457">
        <v>4246.549</v>
      </c>
      <c r="I457">
        <v>-4486.3249999999998</v>
      </c>
    </row>
    <row r="458" spans="1:9" x14ac:dyDescent="0.25">
      <c r="A458" t="s">
        <v>126</v>
      </c>
      <c r="B458" t="s">
        <v>236</v>
      </c>
      <c r="C458" t="s">
        <v>143</v>
      </c>
      <c r="D458">
        <v>535.55999999999995</v>
      </c>
      <c r="E458">
        <v>52.41</v>
      </c>
      <c r="F458">
        <v>0</v>
      </c>
      <c r="G458">
        <v>346.12900000000002</v>
      </c>
      <c r="H458">
        <v>3213.346</v>
      </c>
      <c r="I458">
        <v>-3131.2629999999999</v>
      </c>
    </row>
    <row r="459" spans="1:9" x14ac:dyDescent="0.25">
      <c r="A459" t="s">
        <v>126</v>
      </c>
      <c r="B459" t="s">
        <v>236</v>
      </c>
      <c r="C459" t="s">
        <v>3</v>
      </c>
      <c r="D459">
        <v>560.08000000000004</v>
      </c>
      <c r="E459">
        <v>52.41</v>
      </c>
      <c r="F459">
        <v>0</v>
      </c>
      <c r="G459">
        <v>346.12900000000002</v>
      </c>
      <c r="H459">
        <v>3360.471</v>
      </c>
      <c r="I459">
        <v>-3120.6950000000002</v>
      </c>
    </row>
    <row r="460" spans="1:9" x14ac:dyDescent="0.25">
      <c r="A460" t="s">
        <v>126</v>
      </c>
      <c r="B460" t="s">
        <v>237</v>
      </c>
      <c r="C460" t="s">
        <v>143</v>
      </c>
      <c r="D460">
        <v>535.55999999999995</v>
      </c>
      <c r="E460">
        <v>-52.41</v>
      </c>
      <c r="F460">
        <v>0</v>
      </c>
      <c r="G460">
        <v>-346.12900000000002</v>
      </c>
      <c r="H460">
        <v>3213.346</v>
      </c>
      <c r="I460">
        <v>-3295.4290000000001</v>
      </c>
    </row>
    <row r="461" spans="1:9" x14ac:dyDescent="0.25">
      <c r="A461" t="s">
        <v>126</v>
      </c>
      <c r="B461" t="s">
        <v>237</v>
      </c>
      <c r="C461" t="s">
        <v>3</v>
      </c>
      <c r="D461">
        <v>560.08000000000004</v>
      </c>
      <c r="E461">
        <v>-52.41</v>
      </c>
      <c r="F461">
        <v>0</v>
      </c>
      <c r="G461">
        <v>-346.12900000000002</v>
      </c>
      <c r="H461">
        <v>3360.471</v>
      </c>
      <c r="I461">
        <v>-3600.248</v>
      </c>
    </row>
    <row r="462" spans="1:9" x14ac:dyDescent="0.25">
      <c r="A462" t="s">
        <v>126</v>
      </c>
      <c r="B462" t="s">
        <v>238</v>
      </c>
      <c r="C462" t="s">
        <v>143</v>
      </c>
      <c r="D462">
        <v>676.23</v>
      </c>
      <c r="E462">
        <v>0</v>
      </c>
      <c r="F462">
        <v>48.04</v>
      </c>
      <c r="G462">
        <v>317.28500000000003</v>
      </c>
      <c r="H462">
        <v>4132.63</v>
      </c>
      <c r="I462">
        <v>-4057.3870000000002</v>
      </c>
    </row>
    <row r="463" spans="1:9" x14ac:dyDescent="0.25">
      <c r="A463" t="s">
        <v>126</v>
      </c>
      <c r="B463" t="s">
        <v>238</v>
      </c>
      <c r="C463" t="s">
        <v>3</v>
      </c>
      <c r="D463">
        <v>707.76</v>
      </c>
      <c r="E463">
        <v>0</v>
      </c>
      <c r="F463">
        <v>48.04</v>
      </c>
      <c r="G463">
        <v>317.28500000000003</v>
      </c>
      <c r="H463">
        <v>4466.3440000000001</v>
      </c>
      <c r="I463">
        <v>-4246.549</v>
      </c>
    </row>
    <row r="464" spans="1:9" x14ac:dyDescent="0.25">
      <c r="A464" t="s">
        <v>126</v>
      </c>
      <c r="B464" t="s">
        <v>239</v>
      </c>
      <c r="C464" t="s">
        <v>143</v>
      </c>
      <c r="D464">
        <v>676.23</v>
      </c>
      <c r="E464">
        <v>0</v>
      </c>
      <c r="F464">
        <v>-48.04</v>
      </c>
      <c r="G464">
        <v>-317.28500000000003</v>
      </c>
      <c r="H464">
        <v>3982.145</v>
      </c>
      <c r="I464">
        <v>-4057.3870000000002</v>
      </c>
    </row>
    <row r="465" spans="1:9" x14ac:dyDescent="0.25">
      <c r="A465" t="s">
        <v>126</v>
      </c>
      <c r="B465" t="s">
        <v>239</v>
      </c>
      <c r="C465" t="s">
        <v>3</v>
      </c>
      <c r="D465">
        <v>707.76</v>
      </c>
      <c r="E465">
        <v>0</v>
      </c>
      <c r="F465">
        <v>-48.04</v>
      </c>
      <c r="G465">
        <v>-317.28500000000003</v>
      </c>
      <c r="H465">
        <v>4026.7539999999999</v>
      </c>
      <c r="I465">
        <v>-4246.549</v>
      </c>
    </row>
    <row r="466" spans="1:9" x14ac:dyDescent="0.25">
      <c r="A466" t="s">
        <v>126</v>
      </c>
      <c r="B466" t="s">
        <v>240</v>
      </c>
      <c r="C466" t="s">
        <v>143</v>
      </c>
      <c r="D466">
        <v>535.55999999999995</v>
      </c>
      <c r="E466">
        <v>0</v>
      </c>
      <c r="F466">
        <v>48.04</v>
      </c>
      <c r="G466">
        <v>317.28500000000003</v>
      </c>
      <c r="H466">
        <v>3288.5880000000002</v>
      </c>
      <c r="I466">
        <v>-3213.346</v>
      </c>
    </row>
    <row r="467" spans="1:9" x14ac:dyDescent="0.25">
      <c r="A467" t="s">
        <v>126</v>
      </c>
      <c r="B467" t="s">
        <v>240</v>
      </c>
      <c r="C467" t="s">
        <v>3</v>
      </c>
      <c r="D467">
        <v>560.08000000000004</v>
      </c>
      <c r="E467">
        <v>0</v>
      </c>
      <c r="F467">
        <v>48.04</v>
      </c>
      <c r="G467">
        <v>317.28500000000003</v>
      </c>
      <c r="H467">
        <v>3580.2660000000001</v>
      </c>
      <c r="I467">
        <v>-3360.471</v>
      </c>
    </row>
    <row r="468" spans="1:9" x14ac:dyDescent="0.25">
      <c r="A468" t="s">
        <v>126</v>
      </c>
      <c r="B468" t="s">
        <v>241</v>
      </c>
      <c r="C468" t="s">
        <v>143</v>
      </c>
      <c r="D468">
        <v>535.55999999999995</v>
      </c>
      <c r="E468">
        <v>0</v>
      </c>
      <c r="F468">
        <v>-48.04</v>
      </c>
      <c r="G468">
        <v>-317.28500000000003</v>
      </c>
      <c r="H468">
        <v>3138.1030000000001</v>
      </c>
      <c r="I468">
        <v>-3213.346</v>
      </c>
    </row>
    <row r="469" spans="1:9" x14ac:dyDescent="0.25">
      <c r="A469" t="s">
        <v>126</v>
      </c>
      <c r="B469" t="s">
        <v>241</v>
      </c>
      <c r="C469" t="s">
        <v>3</v>
      </c>
      <c r="D469">
        <v>560.08000000000004</v>
      </c>
      <c r="E469">
        <v>0</v>
      </c>
      <c r="F469">
        <v>-48.04</v>
      </c>
      <c r="G469">
        <v>-317.28500000000003</v>
      </c>
      <c r="H469">
        <v>3140.6770000000001</v>
      </c>
      <c r="I469">
        <v>-3360.471</v>
      </c>
    </row>
    <row r="470" spans="1:9" x14ac:dyDescent="0.25">
      <c r="A470" t="s">
        <v>126</v>
      </c>
      <c r="B470" t="s">
        <v>242</v>
      </c>
      <c r="C470" t="s">
        <v>143</v>
      </c>
      <c r="D470">
        <v>443.12</v>
      </c>
      <c r="E470">
        <v>174.68</v>
      </c>
      <c r="F470">
        <v>0</v>
      </c>
      <c r="G470">
        <v>1153.7639999999999</v>
      </c>
      <c r="H470">
        <v>2658.7310000000002</v>
      </c>
      <c r="I470">
        <v>-2385.1219999999998</v>
      </c>
    </row>
    <row r="471" spans="1:9" x14ac:dyDescent="0.25">
      <c r="A471" t="s">
        <v>126</v>
      </c>
      <c r="B471" t="s">
        <v>242</v>
      </c>
      <c r="C471" t="s">
        <v>3</v>
      </c>
      <c r="D471">
        <v>465.19</v>
      </c>
      <c r="E471">
        <v>174.68</v>
      </c>
      <c r="F471">
        <v>0</v>
      </c>
      <c r="G471">
        <v>1153.7639999999999</v>
      </c>
      <c r="H471">
        <v>2791.1439999999998</v>
      </c>
      <c r="I471">
        <v>-1991.89</v>
      </c>
    </row>
    <row r="472" spans="1:9" x14ac:dyDescent="0.25">
      <c r="A472" t="s">
        <v>126</v>
      </c>
      <c r="B472" t="s">
        <v>243</v>
      </c>
      <c r="C472" t="s">
        <v>143</v>
      </c>
      <c r="D472">
        <v>443.12</v>
      </c>
      <c r="E472">
        <v>-174.68</v>
      </c>
      <c r="F472">
        <v>0</v>
      </c>
      <c r="G472">
        <v>-1153.7639999999999</v>
      </c>
      <c r="H472">
        <v>2658.7310000000002</v>
      </c>
      <c r="I472">
        <v>-2932.3409999999999</v>
      </c>
    </row>
    <row r="473" spans="1:9" x14ac:dyDescent="0.25">
      <c r="A473" t="s">
        <v>126</v>
      </c>
      <c r="B473" t="s">
        <v>243</v>
      </c>
      <c r="C473" t="s">
        <v>3</v>
      </c>
      <c r="D473">
        <v>465.19</v>
      </c>
      <c r="E473">
        <v>-174.68</v>
      </c>
      <c r="F473">
        <v>0</v>
      </c>
      <c r="G473">
        <v>-1153.7639999999999</v>
      </c>
      <c r="H473">
        <v>2791.1439999999998</v>
      </c>
      <c r="I473">
        <v>-3590.3980000000001</v>
      </c>
    </row>
    <row r="474" spans="1:9" x14ac:dyDescent="0.25">
      <c r="A474" t="s">
        <v>126</v>
      </c>
      <c r="B474" t="s">
        <v>244</v>
      </c>
      <c r="C474" t="s">
        <v>143</v>
      </c>
      <c r="D474">
        <v>400.92</v>
      </c>
      <c r="E474">
        <v>174.68</v>
      </c>
      <c r="F474">
        <v>0</v>
      </c>
      <c r="G474">
        <v>1153.7639999999999</v>
      </c>
      <c r="H474">
        <v>2405.5189999999998</v>
      </c>
      <c r="I474">
        <v>-2131.9090000000001</v>
      </c>
    </row>
    <row r="475" spans="1:9" x14ac:dyDescent="0.25">
      <c r="A475" t="s">
        <v>126</v>
      </c>
      <c r="B475" t="s">
        <v>244</v>
      </c>
      <c r="C475" t="s">
        <v>3</v>
      </c>
      <c r="D475">
        <v>420.89</v>
      </c>
      <c r="E475">
        <v>174.68</v>
      </c>
      <c r="F475">
        <v>0</v>
      </c>
      <c r="G475">
        <v>1153.7639999999999</v>
      </c>
      <c r="H475">
        <v>2525.3209999999999</v>
      </c>
      <c r="I475">
        <v>-1726.067</v>
      </c>
    </row>
    <row r="476" spans="1:9" x14ac:dyDescent="0.25">
      <c r="A476" t="s">
        <v>126</v>
      </c>
      <c r="B476" t="s">
        <v>245</v>
      </c>
      <c r="C476" t="s">
        <v>143</v>
      </c>
      <c r="D476">
        <v>400.92</v>
      </c>
      <c r="E476">
        <v>-174.68</v>
      </c>
      <c r="F476">
        <v>0</v>
      </c>
      <c r="G476">
        <v>-1153.7639999999999</v>
      </c>
      <c r="H476">
        <v>2405.5189999999998</v>
      </c>
      <c r="I476">
        <v>-2679.1280000000002</v>
      </c>
    </row>
    <row r="477" spans="1:9" x14ac:dyDescent="0.25">
      <c r="A477" t="s">
        <v>126</v>
      </c>
      <c r="B477" t="s">
        <v>245</v>
      </c>
      <c r="C477" t="s">
        <v>3</v>
      </c>
      <c r="D477">
        <v>420.89</v>
      </c>
      <c r="E477">
        <v>-174.68</v>
      </c>
      <c r="F477">
        <v>0</v>
      </c>
      <c r="G477">
        <v>-1153.7639999999999</v>
      </c>
      <c r="H477">
        <v>2525.3209999999999</v>
      </c>
      <c r="I477">
        <v>-3324.5749999999998</v>
      </c>
    </row>
    <row r="478" spans="1:9" x14ac:dyDescent="0.25">
      <c r="A478" t="s">
        <v>126</v>
      </c>
      <c r="B478" t="s">
        <v>246</v>
      </c>
      <c r="C478" t="s">
        <v>143</v>
      </c>
      <c r="D478">
        <v>443.12</v>
      </c>
      <c r="E478">
        <v>0</v>
      </c>
      <c r="F478">
        <v>160.13</v>
      </c>
      <c r="G478">
        <v>1057.617</v>
      </c>
      <c r="H478">
        <v>2909.54</v>
      </c>
      <c r="I478">
        <v>-2658.7310000000002</v>
      </c>
    </row>
    <row r="479" spans="1:9" x14ac:dyDescent="0.25">
      <c r="A479" t="s">
        <v>126</v>
      </c>
      <c r="B479" t="s">
        <v>246</v>
      </c>
      <c r="C479" t="s">
        <v>3</v>
      </c>
      <c r="D479">
        <v>465.19</v>
      </c>
      <c r="E479">
        <v>0</v>
      </c>
      <c r="F479">
        <v>160.13</v>
      </c>
      <c r="G479">
        <v>1057.617</v>
      </c>
      <c r="H479">
        <v>3523.7939999999999</v>
      </c>
      <c r="I479">
        <v>-2791.1439999999998</v>
      </c>
    </row>
    <row r="480" spans="1:9" x14ac:dyDescent="0.25">
      <c r="A480" t="s">
        <v>126</v>
      </c>
      <c r="B480" t="s">
        <v>247</v>
      </c>
      <c r="C480" t="s">
        <v>143</v>
      </c>
      <c r="D480">
        <v>443.12</v>
      </c>
      <c r="E480">
        <v>0</v>
      </c>
      <c r="F480">
        <v>-160.13</v>
      </c>
      <c r="G480">
        <v>-1057.617</v>
      </c>
      <c r="H480">
        <v>2407.922</v>
      </c>
      <c r="I480">
        <v>-2658.7310000000002</v>
      </c>
    </row>
    <row r="481" spans="1:9" x14ac:dyDescent="0.25">
      <c r="A481" t="s">
        <v>126</v>
      </c>
      <c r="B481" t="s">
        <v>247</v>
      </c>
      <c r="C481" t="s">
        <v>3</v>
      </c>
      <c r="D481">
        <v>465.19</v>
      </c>
      <c r="E481">
        <v>0</v>
      </c>
      <c r="F481">
        <v>-160.13</v>
      </c>
      <c r="G481">
        <v>-1057.617</v>
      </c>
      <c r="H481">
        <v>2058.4949999999999</v>
      </c>
      <c r="I481">
        <v>-2791.1439999999998</v>
      </c>
    </row>
    <row r="482" spans="1:9" x14ac:dyDescent="0.25">
      <c r="A482" t="s">
        <v>126</v>
      </c>
      <c r="B482" t="s">
        <v>248</v>
      </c>
      <c r="C482" t="s">
        <v>143</v>
      </c>
      <c r="D482">
        <v>400.92</v>
      </c>
      <c r="E482">
        <v>0</v>
      </c>
      <c r="F482">
        <v>160.13</v>
      </c>
      <c r="G482">
        <v>1057.617</v>
      </c>
      <c r="H482">
        <v>2656.328</v>
      </c>
      <c r="I482">
        <v>-2405.5189999999998</v>
      </c>
    </row>
    <row r="483" spans="1:9" x14ac:dyDescent="0.25">
      <c r="A483" t="s">
        <v>126</v>
      </c>
      <c r="B483" t="s">
        <v>248</v>
      </c>
      <c r="C483" t="s">
        <v>3</v>
      </c>
      <c r="D483">
        <v>420.89</v>
      </c>
      <c r="E483">
        <v>0</v>
      </c>
      <c r="F483">
        <v>160.13</v>
      </c>
      <c r="G483">
        <v>1057.617</v>
      </c>
      <c r="H483">
        <v>3257.97</v>
      </c>
      <c r="I483">
        <v>-2525.3209999999999</v>
      </c>
    </row>
    <row r="484" spans="1:9" x14ac:dyDescent="0.25">
      <c r="A484" t="s">
        <v>126</v>
      </c>
      <c r="B484" t="s">
        <v>249</v>
      </c>
      <c r="C484" t="s">
        <v>143</v>
      </c>
      <c r="D484">
        <v>400.92</v>
      </c>
      <c r="E484">
        <v>0</v>
      </c>
      <c r="F484">
        <v>-160.13</v>
      </c>
      <c r="G484">
        <v>-1057.617</v>
      </c>
      <c r="H484">
        <v>2154.71</v>
      </c>
      <c r="I484">
        <v>-2405.5189999999998</v>
      </c>
    </row>
    <row r="485" spans="1:9" x14ac:dyDescent="0.25">
      <c r="A485" t="s">
        <v>126</v>
      </c>
      <c r="B485" t="s">
        <v>249</v>
      </c>
      <c r="C485" t="s">
        <v>3</v>
      </c>
      <c r="D485">
        <v>420.89</v>
      </c>
      <c r="E485">
        <v>0</v>
      </c>
      <c r="F485">
        <v>-160.13</v>
      </c>
      <c r="G485">
        <v>-1057.617</v>
      </c>
      <c r="H485">
        <v>1792.671</v>
      </c>
      <c r="I485">
        <v>-2525.3209999999999</v>
      </c>
    </row>
    <row r="486" spans="1:9" x14ac:dyDescent="0.25">
      <c r="A486" t="s">
        <v>126</v>
      </c>
      <c r="B486" t="s">
        <v>250</v>
      </c>
      <c r="C486" t="s">
        <v>143</v>
      </c>
      <c r="D486">
        <v>492.36</v>
      </c>
      <c r="E486">
        <v>52.41</v>
      </c>
      <c r="F486">
        <v>0</v>
      </c>
      <c r="G486">
        <v>346.12900000000002</v>
      </c>
      <c r="H486">
        <v>2954.1460000000002</v>
      </c>
      <c r="I486">
        <v>-2872.0630000000001</v>
      </c>
    </row>
    <row r="487" spans="1:9" x14ac:dyDescent="0.25">
      <c r="A487" t="s">
        <v>126</v>
      </c>
      <c r="B487" t="s">
        <v>250</v>
      </c>
      <c r="C487" t="s">
        <v>3</v>
      </c>
      <c r="D487">
        <v>516.88</v>
      </c>
      <c r="E487">
        <v>52.41</v>
      </c>
      <c r="F487">
        <v>0</v>
      </c>
      <c r="G487">
        <v>346.12900000000002</v>
      </c>
      <c r="H487">
        <v>3101.2710000000002</v>
      </c>
      <c r="I487">
        <v>-2861.4949999999999</v>
      </c>
    </row>
    <row r="488" spans="1:9" x14ac:dyDescent="0.25">
      <c r="A488" t="s">
        <v>126</v>
      </c>
      <c r="B488" t="s">
        <v>251</v>
      </c>
      <c r="C488" t="s">
        <v>143</v>
      </c>
      <c r="D488">
        <v>492.36</v>
      </c>
      <c r="E488">
        <v>-52.41</v>
      </c>
      <c r="F488">
        <v>0</v>
      </c>
      <c r="G488">
        <v>-346.12900000000002</v>
      </c>
      <c r="H488">
        <v>2954.1460000000002</v>
      </c>
      <c r="I488">
        <v>-3036.2289999999998</v>
      </c>
    </row>
    <row r="489" spans="1:9" x14ac:dyDescent="0.25">
      <c r="A489" t="s">
        <v>126</v>
      </c>
      <c r="B489" t="s">
        <v>251</v>
      </c>
      <c r="C489" t="s">
        <v>3</v>
      </c>
      <c r="D489">
        <v>516.88</v>
      </c>
      <c r="E489">
        <v>-52.41</v>
      </c>
      <c r="F489">
        <v>0</v>
      </c>
      <c r="G489">
        <v>-346.12900000000002</v>
      </c>
      <c r="H489">
        <v>3101.2710000000002</v>
      </c>
      <c r="I489">
        <v>-3341.0479999999998</v>
      </c>
    </row>
    <row r="490" spans="1:9" x14ac:dyDescent="0.25">
      <c r="A490" t="s">
        <v>126</v>
      </c>
      <c r="B490" t="s">
        <v>252</v>
      </c>
      <c r="C490" t="s">
        <v>143</v>
      </c>
      <c r="D490">
        <v>351.68</v>
      </c>
      <c r="E490">
        <v>52.41</v>
      </c>
      <c r="F490">
        <v>0</v>
      </c>
      <c r="G490">
        <v>346.12900000000002</v>
      </c>
      <c r="H490">
        <v>2110.1039999999998</v>
      </c>
      <c r="I490">
        <v>-2028.021</v>
      </c>
    </row>
    <row r="491" spans="1:9" x14ac:dyDescent="0.25">
      <c r="A491" t="s">
        <v>126</v>
      </c>
      <c r="B491" t="s">
        <v>252</v>
      </c>
      <c r="C491" t="s">
        <v>3</v>
      </c>
      <c r="D491">
        <v>369.2</v>
      </c>
      <c r="E491">
        <v>52.41</v>
      </c>
      <c r="F491">
        <v>0</v>
      </c>
      <c r="G491">
        <v>346.12900000000002</v>
      </c>
      <c r="H491">
        <v>2215.194</v>
      </c>
      <c r="I491">
        <v>-1975.4179999999999</v>
      </c>
    </row>
    <row r="492" spans="1:9" x14ac:dyDescent="0.25">
      <c r="A492" t="s">
        <v>126</v>
      </c>
      <c r="B492" t="s">
        <v>253</v>
      </c>
      <c r="C492" t="s">
        <v>143</v>
      </c>
      <c r="D492">
        <v>351.68</v>
      </c>
      <c r="E492">
        <v>-52.41</v>
      </c>
      <c r="F492">
        <v>0</v>
      </c>
      <c r="G492">
        <v>-346.12900000000002</v>
      </c>
      <c r="H492">
        <v>2110.1039999999998</v>
      </c>
      <c r="I492">
        <v>-2192.1869999999999</v>
      </c>
    </row>
    <row r="493" spans="1:9" x14ac:dyDescent="0.25">
      <c r="A493" t="s">
        <v>126</v>
      </c>
      <c r="B493" t="s">
        <v>253</v>
      </c>
      <c r="C493" t="s">
        <v>3</v>
      </c>
      <c r="D493">
        <v>369.2</v>
      </c>
      <c r="E493">
        <v>-52.41</v>
      </c>
      <c r="F493">
        <v>0</v>
      </c>
      <c r="G493">
        <v>-346.12900000000002</v>
      </c>
      <c r="H493">
        <v>2215.194</v>
      </c>
      <c r="I493">
        <v>-2454.9699999999998</v>
      </c>
    </row>
    <row r="494" spans="1:9" x14ac:dyDescent="0.25">
      <c r="A494" t="s">
        <v>126</v>
      </c>
      <c r="B494" t="s">
        <v>254</v>
      </c>
      <c r="C494" t="s">
        <v>143</v>
      </c>
      <c r="D494">
        <v>492.36</v>
      </c>
      <c r="E494">
        <v>0</v>
      </c>
      <c r="F494">
        <v>48.04</v>
      </c>
      <c r="G494">
        <v>317.28500000000003</v>
      </c>
      <c r="H494">
        <v>3029.3879999999999</v>
      </c>
      <c r="I494">
        <v>-2954.1460000000002</v>
      </c>
    </row>
    <row r="495" spans="1:9" x14ac:dyDescent="0.25">
      <c r="A495" t="s">
        <v>126</v>
      </c>
      <c r="B495" t="s">
        <v>254</v>
      </c>
      <c r="C495" t="s">
        <v>3</v>
      </c>
      <c r="D495">
        <v>516.88</v>
      </c>
      <c r="E495">
        <v>0</v>
      </c>
      <c r="F495">
        <v>48.04</v>
      </c>
      <c r="G495">
        <v>317.28500000000003</v>
      </c>
      <c r="H495">
        <v>3321.0659999999998</v>
      </c>
      <c r="I495">
        <v>-3101.2710000000002</v>
      </c>
    </row>
    <row r="496" spans="1:9" x14ac:dyDescent="0.25">
      <c r="A496" t="s">
        <v>126</v>
      </c>
      <c r="B496" t="s">
        <v>255</v>
      </c>
      <c r="C496" t="s">
        <v>143</v>
      </c>
      <c r="D496">
        <v>492.36</v>
      </c>
      <c r="E496">
        <v>0</v>
      </c>
      <c r="F496">
        <v>-48.04</v>
      </c>
      <c r="G496">
        <v>-317.28500000000003</v>
      </c>
      <c r="H496">
        <v>2878.9029999999998</v>
      </c>
      <c r="I496">
        <v>-2954.1460000000002</v>
      </c>
    </row>
    <row r="497" spans="1:9" x14ac:dyDescent="0.25">
      <c r="A497" t="s">
        <v>126</v>
      </c>
      <c r="B497" t="s">
        <v>255</v>
      </c>
      <c r="C497" t="s">
        <v>3</v>
      </c>
      <c r="D497">
        <v>516.88</v>
      </c>
      <c r="E497">
        <v>0</v>
      </c>
      <c r="F497">
        <v>-48.04</v>
      </c>
      <c r="G497">
        <v>-317.28500000000003</v>
      </c>
      <c r="H497">
        <v>2881.4769999999999</v>
      </c>
      <c r="I497">
        <v>-3101.2710000000002</v>
      </c>
    </row>
    <row r="498" spans="1:9" x14ac:dyDescent="0.25">
      <c r="A498" t="s">
        <v>126</v>
      </c>
      <c r="B498" t="s">
        <v>256</v>
      </c>
      <c r="C498" t="s">
        <v>143</v>
      </c>
      <c r="D498">
        <v>351.68</v>
      </c>
      <c r="E498">
        <v>0</v>
      </c>
      <c r="F498">
        <v>48.04</v>
      </c>
      <c r="G498">
        <v>317.28500000000003</v>
      </c>
      <c r="H498">
        <v>2185.3470000000002</v>
      </c>
      <c r="I498">
        <v>-2110.1039999999998</v>
      </c>
    </row>
    <row r="499" spans="1:9" x14ac:dyDescent="0.25">
      <c r="A499" t="s">
        <v>126</v>
      </c>
      <c r="B499" t="s">
        <v>256</v>
      </c>
      <c r="C499" t="s">
        <v>3</v>
      </c>
      <c r="D499">
        <v>369.2</v>
      </c>
      <c r="E499">
        <v>0</v>
      </c>
      <c r="F499">
        <v>48.04</v>
      </c>
      <c r="G499">
        <v>317.28500000000003</v>
      </c>
      <c r="H499">
        <v>2434.989</v>
      </c>
      <c r="I499">
        <v>-2215.194</v>
      </c>
    </row>
    <row r="500" spans="1:9" x14ac:dyDescent="0.25">
      <c r="A500" t="s">
        <v>126</v>
      </c>
      <c r="B500" t="s">
        <v>257</v>
      </c>
      <c r="C500" t="s">
        <v>143</v>
      </c>
      <c r="D500">
        <v>351.68</v>
      </c>
      <c r="E500">
        <v>0</v>
      </c>
      <c r="F500">
        <v>-48.04</v>
      </c>
      <c r="G500">
        <v>-317.28500000000003</v>
      </c>
      <c r="H500">
        <v>2034.8610000000001</v>
      </c>
      <c r="I500">
        <v>-2110.1039999999998</v>
      </c>
    </row>
    <row r="501" spans="1:9" x14ac:dyDescent="0.25">
      <c r="A501" t="s">
        <v>126</v>
      </c>
      <c r="B501" t="s">
        <v>257</v>
      </c>
      <c r="C501" t="s">
        <v>3</v>
      </c>
      <c r="D501">
        <v>369.2</v>
      </c>
      <c r="E501">
        <v>0</v>
      </c>
      <c r="F501">
        <v>-48.04</v>
      </c>
      <c r="G501">
        <v>-317.28500000000003</v>
      </c>
      <c r="H501">
        <v>1995.3989999999999</v>
      </c>
      <c r="I501">
        <v>-2215.194</v>
      </c>
    </row>
    <row r="502" spans="1:9" x14ac:dyDescent="0.25">
      <c r="A502" t="s">
        <v>127</v>
      </c>
      <c r="B502" t="s">
        <v>2</v>
      </c>
      <c r="C502" t="s">
        <v>143</v>
      </c>
      <c r="D502">
        <v>715.04</v>
      </c>
      <c r="E502">
        <v>0</v>
      </c>
      <c r="F502">
        <v>0</v>
      </c>
      <c r="G502">
        <v>0</v>
      </c>
      <c r="H502">
        <v>4290.268</v>
      </c>
      <c r="I502">
        <v>-4290.268</v>
      </c>
    </row>
    <row r="503" spans="1:9" x14ac:dyDescent="0.25">
      <c r="A503" t="s">
        <v>127</v>
      </c>
      <c r="B503" t="s">
        <v>2</v>
      </c>
      <c r="C503" t="s">
        <v>3</v>
      </c>
      <c r="D503">
        <v>738.4</v>
      </c>
      <c r="E503">
        <v>0</v>
      </c>
      <c r="F503">
        <v>0</v>
      </c>
      <c r="G503">
        <v>0</v>
      </c>
      <c r="H503">
        <v>4430.3879999999999</v>
      </c>
      <c r="I503">
        <v>-4430.3879999999999</v>
      </c>
    </row>
    <row r="504" spans="1:9" x14ac:dyDescent="0.25">
      <c r="A504" t="s">
        <v>127</v>
      </c>
      <c r="B504" t="s">
        <v>144</v>
      </c>
      <c r="C504" t="s">
        <v>143</v>
      </c>
      <c r="D504">
        <v>129.6</v>
      </c>
      <c r="E504">
        <v>0</v>
      </c>
      <c r="F504">
        <v>0</v>
      </c>
      <c r="G504">
        <v>0</v>
      </c>
      <c r="H504">
        <v>777.6</v>
      </c>
      <c r="I504">
        <v>-777.6</v>
      </c>
    </row>
    <row r="505" spans="1:9" x14ac:dyDescent="0.25">
      <c r="A505" t="s">
        <v>127</v>
      </c>
      <c r="B505" t="s">
        <v>144</v>
      </c>
      <c r="C505" t="s">
        <v>3</v>
      </c>
      <c r="D505">
        <v>129.6</v>
      </c>
      <c r="E505">
        <v>0</v>
      </c>
      <c r="F505">
        <v>0</v>
      </c>
      <c r="G505">
        <v>0</v>
      </c>
      <c r="H505">
        <v>777.6</v>
      </c>
      <c r="I505">
        <v>-777.6</v>
      </c>
    </row>
    <row r="506" spans="1:9" x14ac:dyDescent="0.25">
      <c r="A506" t="s">
        <v>127</v>
      </c>
      <c r="B506" t="s">
        <v>12</v>
      </c>
      <c r="C506" t="s">
        <v>143</v>
      </c>
      <c r="D506">
        <v>0</v>
      </c>
      <c r="E506">
        <v>-230.01</v>
      </c>
      <c r="F506">
        <v>0</v>
      </c>
      <c r="G506">
        <v>1518.068</v>
      </c>
      <c r="H506">
        <v>0</v>
      </c>
      <c r="I506">
        <v>-835.30700000000002</v>
      </c>
    </row>
    <row r="507" spans="1:9" x14ac:dyDescent="0.25">
      <c r="A507" t="s">
        <v>127</v>
      </c>
      <c r="B507" t="s">
        <v>12</v>
      </c>
      <c r="C507" t="s">
        <v>3</v>
      </c>
      <c r="D507">
        <v>0</v>
      </c>
      <c r="E507">
        <v>-230.01</v>
      </c>
      <c r="F507">
        <v>0</v>
      </c>
      <c r="G507">
        <v>1518.068</v>
      </c>
      <c r="H507">
        <v>0</v>
      </c>
      <c r="I507">
        <v>-1531.7909999999999</v>
      </c>
    </row>
    <row r="508" spans="1:9" x14ac:dyDescent="0.25">
      <c r="A508" t="s">
        <v>127</v>
      </c>
      <c r="B508" t="s">
        <v>13</v>
      </c>
      <c r="C508" t="s">
        <v>143</v>
      </c>
      <c r="D508">
        <v>0</v>
      </c>
      <c r="E508">
        <v>-230.01</v>
      </c>
      <c r="F508">
        <v>0</v>
      </c>
      <c r="G508">
        <v>1242.056</v>
      </c>
      <c r="H508">
        <v>0</v>
      </c>
      <c r="I508">
        <v>-835.30700000000002</v>
      </c>
    </row>
    <row r="509" spans="1:9" x14ac:dyDescent="0.25">
      <c r="A509" t="s">
        <v>127</v>
      </c>
      <c r="B509" t="s">
        <v>13</v>
      </c>
      <c r="C509" t="s">
        <v>3</v>
      </c>
      <c r="D509">
        <v>0</v>
      </c>
      <c r="E509">
        <v>-230.01</v>
      </c>
      <c r="F509">
        <v>0</v>
      </c>
      <c r="G509">
        <v>1242.056</v>
      </c>
      <c r="H509">
        <v>0</v>
      </c>
      <c r="I509">
        <v>-1531.7909999999999</v>
      </c>
    </row>
    <row r="510" spans="1:9" x14ac:dyDescent="0.25">
      <c r="A510" t="s">
        <v>127</v>
      </c>
      <c r="B510" t="s">
        <v>14</v>
      </c>
      <c r="C510" t="s">
        <v>143</v>
      </c>
      <c r="D510">
        <v>0</v>
      </c>
      <c r="E510">
        <v>0</v>
      </c>
      <c r="F510">
        <v>-230.01</v>
      </c>
      <c r="G510">
        <v>-1518.068</v>
      </c>
      <c r="H510">
        <v>835.30700000000002</v>
      </c>
      <c r="I510">
        <v>0</v>
      </c>
    </row>
    <row r="511" spans="1:9" x14ac:dyDescent="0.25">
      <c r="A511" t="s">
        <v>127</v>
      </c>
      <c r="B511" t="s">
        <v>14</v>
      </c>
      <c r="C511" t="s">
        <v>3</v>
      </c>
      <c r="D511">
        <v>0</v>
      </c>
      <c r="E511">
        <v>0</v>
      </c>
      <c r="F511">
        <v>-230.01</v>
      </c>
      <c r="G511">
        <v>-1518.068</v>
      </c>
      <c r="H511">
        <v>1531.7909999999999</v>
      </c>
      <c r="I511">
        <v>0</v>
      </c>
    </row>
    <row r="512" spans="1:9" x14ac:dyDescent="0.25">
      <c r="A512" t="s">
        <v>127</v>
      </c>
      <c r="B512" t="s">
        <v>15</v>
      </c>
      <c r="C512" t="s">
        <v>143</v>
      </c>
      <c r="D512">
        <v>0</v>
      </c>
      <c r="E512">
        <v>0</v>
      </c>
      <c r="F512">
        <v>-230.01</v>
      </c>
      <c r="G512">
        <v>-1242.056</v>
      </c>
      <c r="H512">
        <v>835.30700000000002</v>
      </c>
      <c r="I512">
        <v>0</v>
      </c>
    </row>
    <row r="513" spans="1:9" x14ac:dyDescent="0.25">
      <c r="A513" t="s">
        <v>127</v>
      </c>
      <c r="B513" t="s">
        <v>15</v>
      </c>
      <c r="C513" t="s">
        <v>3</v>
      </c>
      <c r="D513">
        <v>0</v>
      </c>
      <c r="E513">
        <v>0</v>
      </c>
      <c r="F513">
        <v>-230.01</v>
      </c>
      <c r="G513">
        <v>-1242.056</v>
      </c>
      <c r="H513">
        <v>1531.7909999999999</v>
      </c>
      <c r="I513">
        <v>0</v>
      </c>
    </row>
    <row r="514" spans="1:9" x14ac:dyDescent="0.25">
      <c r="A514" t="s">
        <v>127</v>
      </c>
      <c r="B514" t="s">
        <v>145</v>
      </c>
      <c r="C514" t="s">
        <v>143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</row>
    <row r="515" spans="1:9" x14ac:dyDescent="0.25">
      <c r="A515" t="s">
        <v>127</v>
      </c>
      <c r="B515" t="s">
        <v>145</v>
      </c>
      <c r="C515" t="s">
        <v>3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</row>
    <row r="516" spans="1:9" x14ac:dyDescent="0.25">
      <c r="A516" t="s">
        <v>127</v>
      </c>
      <c r="B516" t="s">
        <v>146</v>
      </c>
      <c r="C516" t="s">
        <v>143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x14ac:dyDescent="0.25">
      <c r="A517" t="s">
        <v>127</v>
      </c>
      <c r="B517" t="s">
        <v>146</v>
      </c>
      <c r="C517" t="s">
        <v>3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</row>
    <row r="518" spans="1:9" x14ac:dyDescent="0.25">
      <c r="A518" t="s">
        <v>127</v>
      </c>
      <c r="B518" t="s">
        <v>147</v>
      </c>
      <c r="C518" t="s">
        <v>143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</row>
    <row r="519" spans="1:9" x14ac:dyDescent="0.25">
      <c r="A519" t="s">
        <v>127</v>
      </c>
      <c r="B519" t="s">
        <v>147</v>
      </c>
      <c r="C519" t="s">
        <v>3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</row>
    <row r="520" spans="1:9" x14ac:dyDescent="0.25">
      <c r="A520" t="s">
        <v>127</v>
      </c>
      <c r="B520" t="s">
        <v>148</v>
      </c>
      <c r="C520" t="s">
        <v>143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</row>
    <row r="521" spans="1:9" x14ac:dyDescent="0.25">
      <c r="A521" t="s">
        <v>127</v>
      </c>
      <c r="B521" t="s">
        <v>148</v>
      </c>
      <c r="C521" t="s">
        <v>3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</row>
    <row r="522" spans="1:9" x14ac:dyDescent="0.25">
      <c r="A522" t="s">
        <v>127</v>
      </c>
      <c r="B522" t="s">
        <v>149</v>
      </c>
      <c r="C522" t="s">
        <v>143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</row>
    <row r="523" spans="1:9" x14ac:dyDescent="0.25">
      <c r="A523" t="s">
        <v>127</v>
      </c>
      <c r="B523" t="s">
        <v>149</v>
      </c>
      <c r="C523" t="s">
        <v>3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</row>
    <row r="524" spans="1:9" x14ac:dyDescent="0.25">
      <c r="A524" t="s">
        <v>127</v>
      </c>
      <c r="B524" t="s">
        <v>150</v>
      </c>
      <c r="C524" t="s">
        <v>143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</row>
    <row r="525" spans="1:9" x14ac:dyDescent="0.25">
      <c r="A525" t="s">
        <v>127</v>
      </c>
      <c r="B525" t="s">
        <v>150</v>
      </c>
      <c r="C525" t="s">
        <v>3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</row>
    <row r="526" spans="1:9" x14ac:dyDescent="0.25">
      <c r="A526" t="s">
        <v>127</v>
      </c>
      <c r="B526" t="s">
        <v>16</v>
      </c>
      <c r="C526" t="s">
        <v>143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</row>
    <row r="527" spans="1:9" x14ac:dyDescent="0.25">
      <c r="A527" t="s">
        <v>127</v>
      </c>
      <c r="B527" t="s">
        <v>16</v>
      </c>
      <c r="C527" t="s">
        <v>3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</row>
    <row r="528" spans="1:9" x14ac:dyDescent="0.25">
      <c r="A528" t="s">
        <v>127</v>
      </c>
      <c r="B528" t="s">
        <v>151</v>
      </c>
      <c r="C528" t="s">
        <v>143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</row>
    <row r="529" spans="1:9" x14ac:dyDescent="0.25">
      <c r="A529" t="s">
        <v>127</v>
      </c>
      <c r="B529" t="s">
        <v>151</v>
      </c>
      <c r="C529" t="s">
        <v>3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</row>
    <row r="530" spans="1:9" x14ac:dyDescent="0.25">
      <c r="A530" t="s">
        <v>127</v>
      </c>
      <c r="B530" t="s">
        <v>152</v>
      </c>
      <c r="C530" t="s">
        <v>143</v>
      </c>
      <c r="D530">
        <v>0</v>
      </c>
      <c r="E530">
        <v>-56.62</v>
      </c>
      <c r="F530">
        <v>0</v>
      </c>
      <c r="G530">
        <v>339.72300000000001</v>
      </c>
      <c r="H530">
        <v>0</v>
      </c>
      <c r="I530">
        <v>-97.68</v>
      </c>
    </row>
    <row r="531" spans="1:9" x14ac:dyDescent="0.25">
      <c r="A531" t="s">
        <v>127</v>
      </c>
      <c r="B531" t="s">
        <v>152</v>
      </c>
      <c r="C531" t="s">
        <v>3</v>
      </c>
      <c r="D531">
        <v>0</v>
      </c>
      <c r="E531">
        <v>-56.62</v>
      </c>
      <c r="F531">
        <v>0</v>
      </c>
      <c r="G531">
        <v>339.72300000000001</v>
      </c>
      <c r="H531">
        <v>0</v>
      </c>
      <c r="I531">
        <v>-269.13600000000002</v>
      </c>
    </row>
    <row r="532" spans="1:9" x14ac:dyDescent="0.25">
      <c r="A532" t="s">
        <v>127</v>
      </c>
      <c r="B532" t="s">
        <v>153</v>
      </c>
      <c r="C532" t="s">
        <v>143</v>
      </c>
      <c r="D532">
        <v>0</v>
      </c>
      <c r="E532">
        <v>0</v>
      </c>
      <c r="F532">
        <v>-56.62</v>
      </c>
      <c r="G532">
        <v>-339.72300000000001</v>
      </c>
      <c r="H532">
        <v>97.68</v>
      </c>
      <c r="I532">
        <v>0</v>
      </c>
    </row>
    <row r="533" spans="1:9" x14ac:dyDescent="0.25">
      <c r="A533" t="s">
        <v>127</v>
      </c>
      <c r="B533" t="s">
        <v>153</v>
      </c>
      <c r="C533" t="s">
        <v>3</v>
      </c>
      <c r="D533">
        <v>0</v>
      </c>
      <c r="E533">
        <v>0</v>
      </c>
      <c r="F533">
        <v>-56.62</v>
      </c>
      <c r="G533">
        <v>-339.72300000000001</v>
      </c>
      <c r="H533">
        <v>269.13600000000002</v>
      </c>
      <c r="I533">
        <v>0</v>
      </c>
    </row>
    <row r="534" spans="1:9" x14ac:dyDescent="0.25">
      <c r="A534" t="s">
        <v>127</v>
      </c>
      <c r="B534" t="s">
        <v>154</v>
      </c>
      <c r="C534" t="s">
        <v>143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</row>
    <row r="535" spans="1:9" x14ac:dyDescent="0.25">
      <c r="A535" t="s">
        <v>127</v>
      </c>
      <c r="B535" t="s">
        <v>154</v>
      </c>
      <c r="C535" t="s">
        <v>3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</row>
    <row r="536" spans="1:9" x14ac:dyDescent="0.25">
      <c r="A536" t="s">
        <v>127</v>
      </c>
      <c r="B536" t="s">
        <v>155</v>
      </c>
      <c r="C536" t="s">
        <v>143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</row>
    <row r="537" spans="1:9" x14ac:dyDescent="0.25">
      <c r="A537" t="s">
        <v>127</v>
      </c>
      <c r="B537" t="s">
        <v>155</v>
      </c>
      <c r="C537" t="s">
        <v>3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</row>
    <row r="538" spans="1:9" x14ac:dyDescent="0.25">
      <c r="A538" t="s">
        <v>127</v>
      </c>
      <c r="B538" t="s">
        <v>156</v>
      </c>
      <c r="C538" t="s">
        <v>143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</row>
    <row r="539" spans="1:9" x14ac:dyDescent="0.25">
      <c r="A539" t="s">
        <v>127</v>
      </c>
      <c r="B539" t="s">
        <v>156</v>
      </c>
      <c r="C539" t="s">
        <v>3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</row>
    <row r="540" spans="1:9" x14ac:dyDescent="0.25">
      <c r="A540" t="s">
        <v>127</v>
      </c>
      <c r="B540" t="s">
        <v>4</v>
      </c>
      <c r="C540" t="s">
        <v>143</v>
      </c>
      <c r="D540">
        <v>0</v>
      </c>
      <c r="E540">
        <v>202.54</v>
      </c>
      <c r="F540">
        <v>0</v>
      </c>
      <c r="G540">
        <v>1339.1880000000001</v>
      </c>
      <c r="H540">
        <v>0</v>
      </c>
      <c r="I540">
        <v>666.04499999999996</v>
      </c>
    </row>
    <row r="541" spans="1:9" x14ac:dyDescent="0.25">
      <c r="A541" t="s">
        <v>127</v>
      </c>
      <c r="B541" t="s">
        <v>4</v>
      </c>
      <c r="C541" t="s">
        <v>3</v>
      </c>
      <c r="D541">
        <v>0</v>
      </c>
      <c r="E541">
        <v>202.54</v>
      </c>
      <c r="F541">
        <v>0</v>
      </c>
      <c r="G541">
        <v>1339.1880000000001</v>
      </c>
      <c r="H541">
        <v>0</v>
      </c>
      <c r="I541">
        <v>1276.2429999999999</v>
      </c>
    </row>
    <row r="542" spans="1:9" x14ac:dyDescent="0.25">
      <c r="A542" t="s">
        <v>127</v>
      </c>
      <c r="B542" t="s">
        <v>5</v>
      </c>
      <c r="C542" t="s">
        <v>143</v>
      </c>
      <c r="D542">
        <v>0</v>
      </c>
      <c r="E542">
        <v>0</v>
      </c>
      <c r="F542">
        <v>202.54</v>
      </c>
      <c r="G542">
        <v>1339.1880000000001</v>
      </c>
      <c r="H542">
        <v>666.04499999999996</v>
      </c>
      <c r="I542">
        <v>0</v>
      </c>
    </row>
    <row r="543" spans="1:9" x14ac:dyDescent="0.25">
      <c r="A543" t="s">
        <v>127</v>
      </c>
      <c r="B543" t="s">
        <v>5</v>
      </c>
      <c r="C543" t="s">
        <v>3</v>
      </c>
      <c r="D543">
        <v>0</v>
      </c>
      <c r="E543">
        <v>0</v>
      </c>
      <c r="F543">
        <v>202.54</v>
      </c>
      <c r="G543">
        <v>1339.1880000000001</v>
      </c>
      <c r="H543">
        <v>1276.2429999999999</v>
      </c>
      <c r="I543">
        <v>0</v>
      </c>
    </row>
    <row r="544" spans="1:9" x14ac:dyDescent="0.25">
      <c r="A544" t="s">
        <v>127</v>
      </c>
      <c r="B544" t="s">
        <v>6</v>
      </c>
      <c r="C544" t="s">
        <v>143</v>
      </c>
      <c r="D544">
        <v>107.26</v>
      </c>
      <c r="E544">
        <v>0</v>
      </c>
      <c r="F544">
        <v>0</v>
      </c>
      <c r="G544">
        <v>0</v>
      </c>
      <c r="H544">
        <v>643.54</v>
      </c>
      <c r="I544">
        <v>-643.54</v>
      </c>
    </row>
    <row r="545" spans="1:9" x14ac:dyDescent="0.25">
      <c r="A545" t="s">
        <v>127</v>
      </c>
      <c r="B545" t="s">
        <v>6</v>
      </c>
      <c r="C545" t="s">
        <v>3</v>
      </c>
      <c r="D545">
        <v>110.76</v>
      </c>
      <c r="E545">
        <v>0</v>
      </c>
      <c r="F545">
        <v>0</v>
      </c>
      <c r="G545">
        <v>0</v>
      </c>
      <c r="H545">
        <v>664.55799999999999</v>
      </c>
      <c r="I545">
        <v>-664.55799999999999</v>
      </c>
    </row>
    <row r="546" spans="1:9" x14ac:dyDescent="0.25">
      <c r="A546" t="s">
        <v>127</v>
      </c>
      <c r="B546" t="s">
        <v>7</v>
      </c>
      <c r="C546" t="s">
        <v>143</v>
      </c>
      <c r="D546">
        <v>0</v>
      </c>
      <c r="E546">
        <v>243.05</v>
      </c>
      <c r="F546">
        <v>0</v>
      </c>
      <c r="G546">
        <v>1607.0250000000001</v>
      </c>
      <c r="H546">
        <v>0</v>
      </c>
      <c r="I546">
        <v>799.25400000000002</v>
      </c>
    </row>
    <row r="547" spans="1:9" x14ac:dyDescent="0.25">
      <c r="A547" t="s">
        <v>127</v>
      </c>
      <c r="B547" t="s">
        <v>7</v>
      </c>
      <c r="C547" t="s">
        <v>3</v>
      </c>
      <c r="D547">
        <v>0</v>
      </c>
      <c r="E547">
        <v>243.05</v>
      </c>
      <c r="F547">
        <v>0</v>
      </c>
      <c r="G547">
        <v>1607.0250000000001</v>
      </c>
      <c r="H547">
        <v>0</v>
      </c>
      <c r="I547">
        <v>1531.492</v>
      </c>
    </row>
    <row r="548" spans="1:9" x14ac:dyDescent="0.25">
      <c r="A548" t="s">
        <v>127</v>
      </c>
      <c r="B548" t="s">
        <v>157</v>
      </c>
      <c r="C548" t="s">
        <v>143</v>
      </c>
      <c r="D548">
        <v>0</v>
      </c>
      <c r="E548">
        <v>-243.05</v>
      </c>
      <c r="F548">
        <v>0</v>
      </c>
      <c r="G548">
        <v>-1607.0250000000001</v>
      </c>
      <c r="H548">
        <v>0</v>
      </c>
      <c r="I548">
        <v>-799.25400000000002</v>
      </c>
    </row>
    <row r="549" spans="1:9" x14ac:dyDescent="0.25">
      <c r="A549" t="s">
        <v>127</v>
      </c>
      <c r="B549" t="s">
        <v>157</v>
      </c>
      <c r="C549" t="s">
        <v>3</v>
      </c>
      <c r="D549">
        <v>0</v>
      </c>
      <c r="E549">
        <v>-243.05</v>
      </c>
      <c r="F549">
        <v>0</v>
      </c>
      <c r="G549">
        <v>-1607.0250000000001</v>
      </c>
      <c r="H549">
        <v>0</v>
      </c>
      <c r="I549">
        <v>-1531.492</v>
      </c>
    </row>
    <row r="550" spans="1:9" x14ac:dyDescent="0.25">
      <c r="A550" t="s">
        <v>127</v>
      </c>
      <c r="B550" t="s">
        <v>8</v>
      </c>
      <c r="C550" t="s">
        <v>143</v>
      </c>
      <c r="D550">
        <v>0</v>
      </c>
      <c r="E550">
        <v>0</v>
      </c>
      <c r="F550">
        <v>222.8</v>
      </c>
      <c r="G550">
        <v>1473.106</v>
      </c>
      <c r="H550">
        <v>732.65</v>
      </c>
      <c r="I550">
        <v>0</v>
      </c>
    </row>
    <row r="551" spans="1:9" x14ac:dyDescent="0.25">
      <c r="A551" t="s">
        <v>127</v>
      </c>
      <c r="B551" t="s">
        <v>8</v>
      </c>
      <c r="C551" t="s">
        <v>3</v>
      </c>
      <c r="D551">
        <v>0</v>
      </c>
      <c r="E551">
        <v>0</v>
      </c>
      <c r="F551">
        <v>222.8</v>
      </c>
      <c r="G551">
        <v>1473.106</v>
      </c>
      <c r="H551">
        <v>1403.867</v>
      </c>
      <c r="I551">
        <v>0</v>
      </c>
    </row>
    <row r="552" spans="1:9" x14ac:dyDescent="0.25">
      <c r="A552" t="s">
        <v>127</v>
      </c>
      <c r="B552" t="s">
        <v>158</v>
      </c>
      <c r="C552" t="s">
        <v>143</v>
      </c>
      <c r="D552">
        <v>0</v>
      </c>
      <c r="E552">
        <v>0</v>
      </c>
      <c r="F552">
        <v>-222.8</v>
      </c>
      <c r="G552">
        <v>-1473.106</v>
      </c>
      <c r="H552">
        <v>-732.65</v>
      </c>
      <c r="I552">
        <v>0</v>
      </c>
    </row>
    <row r="553" spans="1:9" x14ac:dyDescent="0.25">
      <c r="A553" t="s">
        <v>127</v>
      </c>
      <c r="B553" t="s">
        <v>158</v>
      </c>
      <c r="C553" t="s">
        <v>3</v>
      </c>
      <c r="D553">
        <v>0</v>
      </c>
      <c r="E553">
        <v>0</v>
      </c>
      <c r="F553">
        <v>-222.8</v>
      </c>
      <c r="G553">
        <v>-1473.106</v>
      </c>
      <c r="H553">
        <v>-1403.867</v>
      </c>
      <c r="I553">
        <v>0</v>
      </c>
    </row>
    <row r="554" spans="1:9" x14ac:dyDescent="0.25">
      <c r="A554" t="s">
        <v>127</v>
      </c>
      <c r="B554" t="s">
        <v>159</v>
      </c>
      <c r="C554" t="s">
        <v>143</v>
      </c>
      <c r="D554">
        <v>1001.06</v>
      </c>
      <c r="E554">
        <v>0</v>
      </c>
      <c r="F554">
        <v>0</v>
      </c>
      <c r="G554">
        <v>0</v>
      </c>
      <c r="H554">
        <v>6006.375</v>
      </c>
      <c r="I554">
        <v>-6006.375</v>
      </c>
    </row>
    <row r="555" spans="1:9" x14ac:dyDescent="0.25">
      <c r="A555" t="s">
        <v>127</v>
      </c>
      <c r="B555" t="s">
        <v>159</v>
      </c>
      <c r="C555" t="s">
        <v>3</v>
      </c>
      <c r="D555">
        <v>1033.76</v>
      </c>
      <c r="E555">
        <v>0</v>
      </c>
      <c r="F555">
        <v>0</v>
      </c>
      <c r="G555">
        <v>0</v>
      </c>
      <c r="H555">
        <v>6202.5429999999997</v>
      </c>
      <c r="I555">
        <v>-6202.5429999999997</v>
      </c>
    </row>
    <row r="556" spans="1:9" x14ac:dyDescent="0.25">
      <c r="A556" t="s">
        <v>127</v>
      </c>
      <c r="B556" t="s">
        <v>160</v>
      </c>
      <c r="C556" t="s">
        <v>143</v>
      </c>
      <c r="D556">
        <v>1065.4100000000001</v>
      </c>
      <c r="E556">
        <v>0</v>
      </c>
      <c r="F556">
        <v>0</v>
      </c>
      <c r="G556">
        <v>0</v>
      </c>
      <c r="H556">
        <v>6392.482</v>
      </c>
      <c r="I556">
        <v>-6392.482</v>
      </c>
    </row>
    <row r="557" spans="1:9" x14ac:dyDescent="0.25">
      <c r="A557" t="s">
        <v>127</v>
      </c>
      <c r="B557" t="s">
        <v>160</v>
      </c>
      <c r="C557" t="s">
        <v>3</v>
      </c>
      <c r="D557">
        <v>1093.44</v>
      </c>
      <c r="E557">
        <v>0</v>
      </c>
      <c r="F557">
        <v>0</v>
      </c>
      <c r="G557">
        <v>0</v>
      </c>
      <c r="H557">
        <v>6560.625</v>
      </c>
      <c r="I557">
        <v>-6560.625</v>
      </c>
    </row>
    <row r="558" spans="1:9" x14ac:dyDescent="0.25">
      <c r="A558" t="s">
        <v>127</v>
      </c>
      <c r="B558" t="s">
        <v>161</v>
      </c>
      <c r="C558" t="s">
        <v>143</v>
      </c>
      <c r="D558">
        <v>922.85</v>
      </c>
      <c r="E558">
        <v>0</v>
      </c>
      <c r="F558">
        <v>0</v>
      </c>
      <c r="G558">
        <v>0</v>
      </c>
      <c r="H558">
        <v>5537.1220000000003</v>
      </c>
      <c r="I558">
        <v>-5537.1220000000003</v>
      </c>
    </row>
    <row r="559" spans="1:9" x14ac:dyDescent="0.25">
      <c r="A559" t="s">
        <v>127</v>
      </c>
      <c r="B559" t="s">
        <v>161</v>
      </c>
      <c r="C559" t="s">
        <v>3</v>
      </c>
      <c r="D559">
        <v>950.88</v>
      </c>
      <c r="E559">
        <v>0</v>
      </c>
      <c r="F559">
        <v>0</v>
      </c>
      <c r="G559">
        <v>0</v>
      </c>
      <c r="H559">
        <v>5705.2650000000003</v>
      </c>
      <c r="I559">
        <v>-5705.2650000000003</v>
      </c>
    </row>
    <row r="560" spans="1:9" x14ac:dyDescent="0.25">
      <c r="A560" t="s">
        <v>127</v>
      </c>
      <c r="B560" t="s">
        <v>162</v>
      </c>
      <c r="C560" t="s">
        <v>143</v>
      </c>
      <c r="D560">
        <v>955.03</v>
      </c>
      <c r="E560">
        <v>-230.01</v>
      </c>
      <c r="F560">
        <v>0</v>
      </c>
      <c r="G560">
        <v>1518.068</v>
      </c>
      <c r="H560">
        <v>5730.1840000000002</v>
      </c>
      <c r="I560">
        <v>-6565.491</v>
      </c>
    </row>
    <row r="561" spans="1:9" x14ac:dyDescent="0.25">
      <c r="A561" t="s">
        <v>127</v>
      </c>
      <c r="B561" t="s">
        <v>162</v>
      </c>
      <c r="C561" t="s">
        <v>3</v>
      </c>
      <c r="D561">
        <v>984.11</v>
      </c>
      <c r="E561">
        <v>-230.01</v>
      </c>
      <c r="F561">
        <v>0</v>
      </c>
      <c r="G561">
        <v>1518.068</v>
      </c>
      <c r="H561">
        <v>5904.6329999999998</v>
      </c>
      <c r="I561">
        <v>-7436.4229999999998</v>
      </c>
    </row>
    <row r="562" spans="1:9" x14ac:dyDescent="0.25">
      <c r="A562" t="s">
        <v>127</v>
      </c>
      <c r="B562" t="s">
        <v>163</v>
      </c>
      <c r="C562" t="s">
        <v>143</v>
      </c>
      <c r="D562">
        <v>955.03</v>
      </c>
      <c r="E562">
        <v>-230.01</v>
      </c>
      <c r="F562">
        <v>0</v>
      </c>
      <c r="G562">
        <v>1242.056</v>
      </c>
      <c r="H562">
        <v>5730.1840000000002</v>
      </c>
      <c r="I562">
        <v>-6565.491</v>
      </c>
    </row>
    <row r="563" spans="1:9" x14ac:dyDescent="0.25">
      <c r="A563" t="s">
        <v>127</v>
      </c>
      <c r="B563" t="s">
        <v>163</v>
      </c>
      <c r="C563" t="s">
        <v>3</v>
      </c>
      <c r="D563">
        <v>984.11</v>
      </c>
      <c r="E563">
        <v>-230.01</v>
      </c>
      <c r="F563">
        <v>0</v>
      </c>
      <c r="G563">
        <v>1242.056</v>
      </c>
      <c r="H563">
        <v>5904.6329999999998</v>
      </c>
      <c r="I563">
        <v>-7436.4229999999998</v>
      </c>
    </row>
    <row r="564" spans="1:9" x14ac:dyDescent="0.25">
      <c r="A564" t="s">
        <v>127</v>
      </c>
      <c r="B564" t="s">
        <v>164</v>
      </c>
      <c r="C564" t="s">
        <v>143</v>
      </c>
      <c r="D564">
        <v>955.03</v>
      </c>
      <c r="E564">
        <v>230.01</v>
      </c>
      <c r="F564">
        <v>0</v>
      </c>
      <c r="G564">
        <v>-1518.068</v>
      </c>
      <c r="H564">
        <v>5730.1840000000002</v>
      </c>
      <c r="I564">
        <v>-4894.8760000000002</v>
      </c>
    </row>
    <row r="565" spans="1:9" x14ac:dyDescent="0.25">
      <c r="A565" t="s">
        <v>127</v>
      </c>
      <c r="B565" t="s">
        <v>164</v>
      </c>
      <c r="C565" t="s">
        <v>3</v>
      </c>
      <c r="D565">
        <v>984.11</v>
      </c>
      <c r="E565">
        <v>230.01</v>
      </c>
      <c r="F565">
        <v>0</v>
      </c>
      <c r="G565">
        <v>-1518.068</v>
      </c>
      <c r="H565">
        <v>5904.6329999999998</v>
      </c>
      <c r="I565">
        <v>-4372.8419999999996</v>
      </c>
    </row>
    <row r="566" spans="1:9" x14ac:dyDescent="0.25">
      <c r="A566" t="s">
        <v>127</v>
      </c>
      <c r="B566" t="s">
        <v>165</v>
      </c>
      <c r="C566" t="s">
        <v>143</v>
      </c>
      <c r="D566">
        <v>955.03</v>
      </c>
      <c r="E566">
        <v>230.01</v>
      </c>
      <c r="F566">
        <v>0</v>
      </c>
      <c r="G566">
        <v>-1242.056</v>
      </c>
      <c r="H566">
        <v>5730.1840000000002</v>
      </c>
      <c r="I566">
        <v>-4894.8760000000002</v>
      </c>
    </row>
    <row r="567" spans="1:9" x14ac:dyDescent="0.25">
      <c r="A567" t="s">
        <v>127</v>
      </c>
      <c r="B567" t="s">
        <v>165</v>
      </c>
      <c r="C567" t="s">
        <v>3</v>
      </c>
      <c r="D567">
        <v>984.11</v>
      </c>
      <c r="E567">
        <v>230.01</v>
      </c>
      <c r="F567">
        <v>0</v>
      </c>
      <c r="G567">
        <v>-1242.056</v>
      </c>
      <c r="H567">
        <v>5904.6329999999998</v>
      </c>
      <c r="I567">
        <v>-4372.8419999999996</v>
      </c>
    </row>
    <row r="568" spans="1:9" x14ac:dyDescent="0.25">
      <c r="A568" t="s">
        <v>127</v>
      </c>
      <c r="B568" t="s">
        <v>166</v>
      </c>
      <c r="C568" t="s">
        <v>143</v>
      </c>
      <c r="D568">
        <v>955.03</v>
      </c>
      <c r="E568">
        <v>0</v>
      </c>
      <c r="F568">
        <v>-230.01</v>
      </c>
      <c r="G568">
        <v>-1518.068</v>
      </c>
      <c r="H568">
        <v>6565.491</v>
      </c>
      <c r="I568">
        <v>-5730.1840000000002</v>
      </c>
    </row>
    <row r="569" spans="1:9" x14ac:dyDescent="0.25">
      <c r="A569" t="s">
        <v>127</v>
      </c>
      <c r="B569" t="s">
        <v>166</v>
      </c>
      <c r="C569" t="s">
        <v>3</v>
      </c>
      <c r="D569">
        <v>984.11</v>
      </c>
      <c r="E569">
        <v>0</v>
      </c>
      <c r="F569">
        <v>-230.01</v>
      </c>
      <c r="G569">
        <v>-1518.068</v>
      </c>
      <c r="H569">
        <v>7436.4229999999998</v>
      </c>
      <c r="I569">
        <v>-5904.6329999999998</v>
      </c>
    </row>
    <row r="570" spans="1:9" x14ac:dyDescent="0.25">
      <c r="A570" t="s">
        <v>127</v>
      </c>
      <c r="B570" t="s">
        <v>167</v>
      </c>
      <c r="C570" t="s">
        <v>143</v>
      </c>
      <c r="D570">
        <v>955.03</v>
      </c>
      <c r="E570">
        <v>0</v>
      </c>
      <c r="F570">
        <v>-230.01</v>
      </c>
      <c r="G570">
        <v>-1242.056</v>
      </c>
      <c r="H570">
        <v>6565.491</v>
      </c>
      <c r="I570">
        <v>-5730.1840000000002</v>
      </c>
    </row>
    <row r="571" spans="1:9" x14ac:dyDescent="0.25">
      <c r="A571" t="s">
        <v>127</v>
      </c>
      <c r="B571" t="s">
        <v>167</v>
      </c>
      <c r="C571" t="s">
        <v>3</v>
      </c>
      <c r="D571">
        <v>984.11</v>
      </c>
      <c r="E571">
        <v>0</v>
      </c>
      <c r="F571">
        <v>-230.01</v>
      </c>
      <c r="G571">
        <v>-1242.056</v>
      </c>
      <c r="H571">
        <v>7436.4229999999998</v>
      </c>
      <c r="I571">
        <v>-5904.6329999999998</v>
      </c>
    </row>
    <row r="572" spans="1:9" x14ac:dyDescent="0.25">
      <c r="A572" t="s">
        <v>127</v>
      </c>
      <c r="B572" t="s">
        <v>168</v>
      </c>
      <c r="C572" t="s">
        <v>143</v>
      </c>
      <c r="D572">
        <v>955.03</v>
      </c>
      <c r="E572">
        <v>0</v>
      </c>
      <c r="F572">
        <v>230.01</v>
      </c>
      <c r="G572">
        <v>1518.068</v>
      </c>
      <c r="H572">
        <v>4894.8760000000002</v>
      </c>
      <c r="I572">
        <v>-5730.1840000000002</v>
      </c>
    </row>
    <row r="573" spans="1:9" x14ac:dyDescent="0.25">
      <c r="A573" t="s">
        <v>127</v>
      </c>
      <c r="B573" t="s">
        <v>168</v>
      </c>
      <c r="C573" t="s">
        <v>3</v>
      </c>
      <c r="D573">
        <v>984.11</v>
      </c>
      <c r="E573">
        <v>0</v>
      </c>
      <c r="F573">
        <v>230.01</v>
      </c>
      <c r="G573">
        <v>1518.068</v>
      </c>
      <c r="H573">
        <v>4372.8419999999996</v>
      </c>
      <c r="I573">
        <v>-5904.6329999999998</v>
      </c>
    </row>
    <row r="574" spans="1:9" x14ac:dyDescent="0.25">
      <c r="A574" t="s">
        <v>127</v>
      </c>
      <c r="B574" t="s">
        <v>169</v>
      </c>
      <c r="C574" t="s">
        <v>143</v>
      </c>
      <c r="D574">
        <v>955.03</v>
      </c>
      <c r="E574">
        <v>0</v>
      </c>
      <c r="F574">
        <v>230.01</v>
      </c>
      <c r="G574">
        <v>1242.056</v>
      </c>
      <c r="H574">
        <v>4894.8760000000002</v>
      </c>
      <c r="I574">
        <v>-5730.1840000000002</v>
      </c>
    </row>
    <row r="575" spans="1:9" x14ac:dyDescent="0.25">
      <c r="A575" t="s">
        <v>127</v>
      </c>
      <c r="B575" t="s">
        <v>169</v>
      </c>
      <c r="C575" t="s">
        <v>3</v>
      </c>
      <c r="D575">
        <v>984.11</v>
      </c>
      <c r="E575">
        <v>0</v>
      </c>
      <c r="F575">
        <v>230.01</v>
      </c>
      <c r="G575">
        <v>1242.056</v>
      </c>
      <c r="H575">
        <v>4372.8419999999996</v>
      </c>
      <c r="I575">
        <v>-5904.6329999999998</v>
      </c>
    </row>
    <row r="576" spans="1:9" x14ac:dyDescent="0.25">
      <c r="A576" t="s">
        <v>127</v>
      </c>
      <c r="B576" t="s">
        <v>170</v>
      </c>
      <c r="C576" t="s">
        <v>143</v>
      </c>
      <c r="D576">
        <v>890.68</v>
      </c>
      <c r="E576">
        <v>-230.01</v>
      </c>
      <c r="F576">
        <v>0</v>
      </c>
      <c r="G576">
        <v>1518.068</v>
      </c>
      <c r="H576">
        <v>5344.06</v>
      </c>
      <c r="I576">
        <v>-6179.3670000000002</v>
      </c>
    </row>
    <row r="577" spans="1:9" x14ac:dyDescent="0.25">
      <c r="A577" t="s">
        <v>127</v>
      </c>
      <c r="B577" t="s">
        <v>170</v>
      </c>
      <c r="C577" t="s">
        <v>3</v>
      </c>
      <c r="D577">
        <v>917.65</v>
      </c>
      <c r="E577">
        <v>-230.01</v>
      </c>
      <c r="F577">
        <v>0</v>
      </c>
      <c r="G577">
        <v>1518.068</v>
      </c>
      <c r="H577">
        <v>5505.8980000000001</v>
      </c>
      <c r="I577">
        <v>-7037.6880000000001</v>
      </c>
    </row>
    <row r="578" spans="1:9" x14ac:dyDescent="0.25">
      <c r="A578" t="s">
        <v>127</v>
      </c>
      <c r="B578" t="s">
        <v>171</v>
      </c>
      <c r="C578" t="s">
        <v>143</v>
      </c>
      <c r="D578">
        <v>890.68</v>
      </c>
      <c r="E578">
        <v>-230.01</v>
      </c>
      <c r="F578">
        <v>0</v>
      </c>
      <c r="G578">
        <v>1242.056</v>
      </c>
      <c r="H578">
        <v>5344.06</v>
      </c>
      <c r="I578">
        <v>-6179.3670000000002</v>
      </c>
    </row>
    <row r="579" spans="1:9" x14ac:dyDescent="0.25">
      <c r="A579" t="s">
        <v>127</v>
      </c>
      <c r="B579" t="s">
        <v>171</v>
      </c>
      <c r="C579" t="s">
        <v>3</v>
      </c>
      <c r="D579">
        <v>917.65</v>
      </c>
      <c r="E579">
        <v>-230.01</v>
      </c>
      <c r="F579">
        <v>0</v>
      </c>
      <c r="G579">
        <v>1242.056</v>
      </c>
      <c r="H579">
        <v>5505.8980000000001</v>
      </c>
      <c r="I579">
        <v>-7037.6880000000001</v>
      </c>
    </row>
    <row r="580" spans="1:9" x14ac:dyDescent="0.25">
      <c r="A580" t="s">
        <v>127</v>
      </c>
      <c r="B580" t="s">
        <v>172</v>
      </c>
      <c r="C580" t="s">
        <v>143</v>
      </c>
      <c r="D580">
        <v>890.68</v>
      </c>
      <c r="E580">
        <v>230.01</v>
      </c>
      <c r="F580">
        <v>0</v>
      </c>
      <c r="G580">
        <v>-1518.068</v>
      </c>
      <c r="H580">
        <v>5344.06</v>
      </c>
      <c r="I580">
        <v>-4508.7520000000004</v>
      </c>
    </row>
    <row r="581" spans="1:9" x14ac:dyDescent="0.25">
      <c r="A581" t="s">
        <v>127</v>
      </c>
      <c r="B581" t="s">
        <v>172</v>
      </c>
      <c r="C581" t="s">
        <v>3</v>
      </c>
      <c r="D581">
        <v>917.65</v>
      </c>
      <c r="E581">
        <v>230.01</v>
      </c>
      <c r="F581">
        <v>0</v>
      </c>
      <c r="G581">
        <v>-1518.068</v>
      </c>
      <c r="H581">
        <v>5505.8980000000001</v>
      </c>
      <c r="I581">
        <v>-3974.107</v>
      </c>
    </row>
    <row r="582" spans="1:9" x14ac:dyDescent="0.25">
      <c r="A582" t="s">
        <v>127</v>
      </c>
      <c r="B582" t="s">
        <v>173</v>
      </c>
      <c r="C582" t="s">
        <v>143</v>
      </c>
      <c r="D582">
        <v>890.68</v>
      </c>
      <c r="E582">
        <v>230.01</v>
      </c>
      <c r="F582">
        <v>0</v>
      </c>
      <c r="G582">
        <v>-1242.056</v>
      </c>
      <c r="H582">
        <v>5344.06</v>
      </c>
      <c r="I582">
        <v>-4508.7520000000004</v>
      </c>
    </row>
    <row r="583" spans="1:9" x14ac:dyDescent="0.25">
      <c r="A583" t="s">
        <v>127</v>
      </c>
      <c r="B583" t="s">
        <v>173</v>
      </c>
      <c r="C583" t="s">
        <v>3</v>
      </c>
      <c r="D583">
        <v>917.65</v>
      </c>
      <c r="E583">
        <v>230.01</v>
      </c>
      <c r="F583">
        <v>0</v>
      </c>
      <c r="G583">
        <v>-1242.056</v>
      </c>
      <c r="H583">
        <v>5505.8980000000001</v>
      </c>
      <c r="I583">
        <v>-3974.107</v>
      </c>
    </row>
    <row r="584" spans="1:9" x14ac:dyDescent="0.25">
      <c r="A584" t="s">
        <v>127</v>
      </c>
      <c r="B584" t="s">
        <v>174</v>
      </c>
      <c r="C584" t="s">
        <v>143</v>
      </c>
      <c r="D584">
        <v>890.68</v>
      </c>
      <c r="E584">
        <v>0</v>
      </c>
      <c r="F584">
        <v>-230.01</v>
      </c>
      <c r="G584">
        <v>-1518.068</v>
      </c>
      <c r="H584">
        <v>6179.3670000000002</v>
      </c>
      <c r="I584">
        <v>-5344.06</v>
      </c>
    </row>
    <row r="585" spans="1:9" x14ac:dyDescent="0.25">
      <c r="A585" t="s">
        <v>127</v>
      </c>
      <c r="B585" t="s">
        <v>174</v>
      </c>
      <c r="C585" t="s">
        <v>3</v>
      </c>
      <c r="D585">
        <v>917.65</v>
      </c>
      <c r="E585">
        <v>0</v>
      </c>
      <c r="F585">
        <v>-230.01</v>
      </c>
      <c r="G585">
        <v>-1518.068</v>
      </c>
      <c r="H585">
        <v>7037.6880000000001</v>
      </c>
      <c r="I585">
        <v>-5505.8980000000001</v>
      </c>
    </row>
    <row r="586" spans="1:9" x14ac:dyDescent="0.25">
      <c r="A586" t="s">
        <v>127</v>
      </c>
      <c r="B586" t="s">
        <v>175</v>
      </c>
      <c r="C586" t="s">
        <v>143</v>
      </c>
      <c r="D586">
        <v>890.68</v>
      </c>
      <c r="E586">
        <v>0</v>
      </c>
      <c r="F586">
        <v>-230.01</v>
      </c>
      <c r="G586">
        <v>-1242.056</v>
      </c>
      <c r="H586">
        <v>6179.3670000000002</v>
      </c>
      <c r="I586">
        <v>-5344.06</v>
      </c>
    </row>
    <row r="587" spans="1:9" x14ac:dyDescent="0.25">
      <c r="A587" t="s">
        <v>127</v>
      </c>
      <c r="B587" t="s">
        <v>175</v>
      </c>
      <c r="C587" t="s">
        <v>3</v>
      </c>
      <c r="D587">
        <v>917.65</v>
      </c>
      <c r="E587">
        <v>0</v>
      </c>
      <c r="F587">
        <v>-230.01</v>
      </c>
      <c r="G587">
        <v>-1242.056</v>
      </c>
      <c r="H587">
        <v>7037.6880000000001</v>
      </c>
      <c r="I587">
        <v>-5505.8980000000001</v>
      </c>
    </row>
    <row r="588" spans="1:9" x14ac:dyDescent="0.25">
      <c r="A588" t="s">
        <v>127</v>
      </c>
      <c r="B588" t="s">
        <v>176</v>
      </c>
      <c r="C588" t="s">
        <v>143</v>
      </c>
      <c r="D588">
        <v>890.68</v>
      </c>
      <c r="E588">
        <v>0</v>
      </c>
      <c r="F588">
        <v>230.01</v>
      </c>
      <c r="G588">
        <v>1518.068</v>
      </c>
      <c r="H588">
        <v>4508.7520000000004</v>
      </c>
      <c r="I588">
        <v>-5344.06</v>
      </c>
    </row>
    <row r="589" spans="1:9" x14ac:dyDescent="0.25">
      <c r="A589" t="s">
        <v>127</v>
      </c>
      <c r="B589" t="s">
        <v>176</v>
      </c>
      <c r="C589" t="s">
        <v>3</v>
      </c>
      <c r="D589">
        <v>917.65</v>
      </c>
      <c r="E589">
        <v>0</v>
      </c>
      <c r="F589">
        <v>230.01</v>
      </c>
      <c r="G589">
        <v>1518.068</v>
      </c>
      <c r="H589">
        <v>3974.107</v>
      </c>
      <c r="I589">
        <v>-5505.8980000000001</v>
      </c>
    </row>
    <row r="590" spans="1:9" x14ac:dyDescent="0.25">
      <c r="A590" t="s">
        <v>127</v>
      </c>
      <c r="B590" t="s">
        <v>177</v>
      </c>
      <c r="C590" t="s">
        <v>143</v>
      </c>
      <c r="D590">
        <v>890.68</v>
      </c>
      <c r="E590">
        <v>0</v>
      </c>
      <c r="F590">
        <v>230.01</v>
      </c>
      <c r="G590">
        <v>1242.056</v>
      </c>
      <c r="H590">
        <v>4508.7520000000004</v>
      </c>
      <c r="I590">
        <v>-5344.06</v>
      </c>
    </row>
    <row r="591" spans="1:9" x14ac:dyDescent="0.25">
      <c r="A591" t="s">
        <v>127</v>
      </c>
      <c r="B591" t="s">
        <v>177</v>
      </c>
      <c r="C591" t="s">
        <v>3</v>
      </c>
      <c r="D591">
        <v>917.65</v>
      </c>
      <c r="E591">
        <v>0</v>
      </c>
      <c r="F591">
        <v>230.01</v>
      </c>
      <c r="G591">
        <v>1242.056</v>
      </c>
      <c r="H591">
        <v>3974.107</v>
      </c>
      <c r="I591">
        <v>-5505.8980000000001</v>
      </c>
    </row>
    <row r="592" spans="1:9" x14ac:dyDescent="0.25">
      <c r="A592" t="s">
        <v>127</v>
      </c>
      <c r="B592" t="s">
        <v>178</v>
      </c>
      <c r="C592" t="s">
        <v>143</v>
      </c>
      <c r="D592">
        <v>1030.1099999999999</v>
      </c>
      <c r="E592">
        <v>-69</v>
      </c>
      <c r="F592">
        <v>0</v>
      </c>
      <c r="G592">
        <v>455.42</v>
      </c>
      <c r="H592">
        <v>6180.6620000000003</v>
      </c>
      <c r="I592">
        <v>-6431.2539999999999</v>
      </c>
    </row>
    <row r="593" spans="1:9" x14ac:dyDescent="0.25">
      <c r="A593" t="s">
        <v>127</v>
      </c>
      <c r="B593" t="s">
        <v>178</v>
      </c>
      <c r="C593" t="s">
        <v>3</v>
      </c>
      <c r="D593">
        <v>1061.6400000000001</v>
      </c>
      <c r="E593">
        <v>-69</v>
      </c>
      <c r="F593">
        <v>0</v>
      </c>
      <c r="G593">
        <v>455.42</v>
      </c>
      <c r="H593">
        <v>6369.8230000000003</v>
      </c>
      <c r="I593">
        <v>-6829.3609999999999</v>
      </c>
    </row>
    <row r="594" spans="1:9" x14ac:dyDescent="0.25">
      <c r="A594" t="s">
        <v>127</v>
      </c>
      <c r="B594" t="s">
        <v>179</v>
      </c>
      <c r="C594" t="s">
        <v>143</v>
      </c>
      <c r="D594">
        <v>1030.1099999999999</v>
      </c>
      <c r="E594">
        <v>-69</v>
      </c>
      <c r="F594">
        <v>0</v>
      </c>
      <c r="G594">
        <v>372.61700000000002</v>
      </c>
      <c r="H594">
        <v>6180.6620000000003</v>
      </c>
      <c r="I594">
        <v>-6431.2539999999999</v>
      </c>
    </row>
    <row r="595" spans="1:9" x14ac:dyDescent="0.25">
      <c r="A595" t="s">
        <v>127</v>
      </c>
      <c r="B595" t="s">
        <v>179</v>
      </c>
      <c r="C595" t="s">
        <v>3</v>
      </c>
      <c r="D595">
        <v>1061.6400000000001</v>
      </c>
      <c r="E595">
        <v>-69</v>
      </c>
      <c r="F595">
        <v>0</v>
      </c>
      <c r="G595">
        <v>372.61700000000002</v>
      </c>
      <c r="H595">
        <v>6369.8230000000003</v>
      </c>
      <c r="I595">
        <v>-6829.3609999999999</v>
      </c>
    </row>
    <row r="596" spans="1:9" x14ac:dyDescent="0.25">
      <c r="A596" t="s">
        <v>127</v>
      </c>
      <c r="B596" t="s">
        <v>180</v>
      </c>
      <c r="C596" t="s">
        <v>143</v>
      </c>
      <c r="D596">
        <v>1030.1099999999999</v>
      </c>
      <c r="E596">
        <v>69</v>
      </c>
      <c r="F596">
        <v>0</v>
      </c>
      <c r="G596">
        <v>-455.42</v>
      </c>
      <c r="H596">
        <v>6180.6620000000003</v>
      </c>
      <c r="I596">
        <v>-5930.07</v>
      </c>
    </row>
    <row r="597" spans="1:9" x14ac:dyDescent="0.25">
      <c r="A597" t="s">
        <v>127</v>
      </c>
      <c r="B597" t="s">
        <v>180</v>
      </c>
      <c r="C597" t="s">
        <v>3</v>
      </c>
      <c r="D597">
        <v>1061.6400000000001</v>
      </c>
      <c r="E597">
        <v>69</v>
      </c>
      <c r="F597">
        <v>0</v>
      </c>
      <c r="G597">
        <v>-455.42</v>
      </c>
      <c r="H597">
        <v>6369.8230000000003</v>
      </c>
      <c r="I597">
        <v>-5910.2860000000001</v>
      </c>
    </row>
    <row r="598" spans="1:9" x14ac:dyDescent="0.25">
      <c r="A598" t="s">
        <v>127</v>
      </c>
      <c r="B598" t="s">
        <v>181</v>
      </c>
      <c r="C598" t="s">
        <v>143</v>
      </c>
      <c r="D598">
        <v>1030.1099999999999</v>
      </c>
      <c r="E598">
        <v>69</v>
      </c>
      <c r="F598">
        <v>0</v>
      </c>
      <c r="G598">
        <v>-372.61700000000002</v>
      </c>
      <c r="H598">
        <v>6180.6620000000003</v>
      </c>
      <c r="I598">
        <v>-5930.07</v>
      </c>
    </row>
    <row r="599" spans="1:9" x14ac:dyDescent="0.25">
      <c r="A599" t="s">
        <v>127</v>
      </c>
      <c r="B599" t="s">
        <v>181</v>
      </c>
      <c r="C599" t="s">
        <v>3</v>
      </c>
      <c r="D599">
        <v>1061.6400000000001</v>
      </c>
      <c r="E599">
        <v>69</v>
      </c>
      <c r="F599">
        <v>0</v>
      </c>
      <c r="G599">
        <v>-372.61700000000002</v>
      </c>
      <c r="H599">
        <v>6369.8230000000003</v>
      </c>
      <c r="I599">
        <v>-5910.2860000000001</v>
      </c>
    </row>
    <row r="600" spans="1:9" x14ac:dyDescent="0.25">
      <c r="A600" t="s">
        <v>127</v>
      </c>
      <c r="B600" t="s">
        <v>182</v>
      </c>
      <c r="C600" t="s">
        <v>143</v>
      </c>
      <c r="D600">
        <v>1030.1099999999999</v>
      </c>
      <c r="E600">
        <v>0</v>
      </c>
      <c r="F600">
        <v>-69</v>
      </c>
      <c r="G600">
        <v>-455.42</v>
      </c>
      <c r="H600">
        <v>6431.2539999999999</v>
      </c>
      <c r="I600">
        <v>-6180.6620000000003</v>
      </c>
    </row>
    <row r="601" spans="1:9" x14ac:dyDescent="0.25">
      <c r="A601" t="s">
        <v>127</v>
      </c>
      <c r="B601" t="s">
        <v>182</v>
      </c>
      <c r="C601" t="s">
        <v>3</v>
      </c>
      <c r="D601">
        <v>1061.6400000000001</v>
      </c>
      <c r="E601">
        <v>0</v>
      </c>
      <c r="F601">
        <v>-69</v>
      </c>
      <c r="G601">
        <v>-455.42</v>
      </c>
      <c r="H601">
        <v>6829.3609999999999</v>
      </c>
      <c r="I601">
        <v>-6369.8230000000003</v>
      </c>
    </row>
    <row r="602" spans="1:9" x14ac:dyDescent="0.25">
      <c r="A602" t="s">
        <v>127</v>
      </c>
      <c r="B602" t="s">
        <v>183</v>
      </c>
      <c r="C602" t="s">
        <v>143</v>
      </c>
      <c r="D602">
        <v>1030.1099999999999</v>
      </c>
      <c r="E602">
        <v>0</v>
      </c>
      <c r="F602">
        <v>-69</v>
      </c>
      <c r="G602">
        <v>-372.61700000000002</v>
      </c>
      <c r="H602">
        <v>6431.2539999999999</v>
      </c>
      <c r="I602">
        <v>-6180.6620000000003</v>
      </c>
    </row>
    <row r="603" spans="1:9" x14ac:dyDescent="0.25">
      <c r="A603" t="s">
        <v>127</v>
      </c>
      <c r="B603" t="s">
        <v>183</v>
      </c>
      <c r="C603" t="s">
        <v>3</v>
      </c>
      <c r="D603">
        <v>1061.6400000000001</v>
      </c>
      <c r="E603">
        <v>0</v>
      </c>
      <c r="F603">
        <v>-69</v>
      </c>
      <c r="G603">
        <v>-372.61700000000002</v>
      </c>
      <c r="H603">
        <v>6829.3609999999999</v>
      </c>
      <c r="I603">
        <v>-6369.8230000000003</v>
      </c>
    </row>
    <row r="604" spans="1:9" x14ac:dyDescent="0.25">
      <c r="A604" t="s">
        <v>127</v>
      </c>
      <c r="B604" t="s">
        <v>184</v>
      </c>
      <c r="C604" t="s">
        <v>143</v>
      </c>
      <c r="D604">
        <v>1030.1099999999999</v>
      </c>
      <c r="E604">
        <v>0</v>
      </c>
      <c r="F604">
        <v>69</v>
      </c>
      <c r="G604">
        <v>455.42</v>
      </c>
      <c r="H604">
        <v>5930.07</v>
      </c>
      <c r="I604">
        <v>-6180.6620000000003</v>
      </c>
    </row>
    <row r="605" spans="1:9" x14ac:dyDescent="0.25">
      <c r="A605" t="s">
        <v>127</v>
      </c>
      <c r="B605" t="s">
        <v>184</v>
      </c>
      <c r="C605" t="s">
        <v>3</v>
      </c>
      <c r="D605">
        <v>1061.6400000000001</v>
      </c>
      <c r="E605">
        <v>0</v>
      </c>
      <c r="F605">
        <v>69</v>
      </c>
      <c r="G605">
        <v>455.42</v>
      </c>
      <c r="H605">
        <v>5910.2860000000001</v>
      </c>
      <c r="I605">
        <v>-6369.8230000000003</v>
      </c>
    </row>
    <row r="606" spans="1:9" x14ac:dyDescent="0.25">
      <c r="A606" t="s">
        <v>127</v>
      </c>
      <c r="B606" t="s">
        <v>185</v>
      </c>
      <c r="C606" t="s">
        <v>143</v>
      </c>
      <c r="D606">
        <v>1030.1099999999999</v>
      </c>
      <c r="E606">
        <v>0</v>
      </c>
      <c r="F606">
        <v>69</v>
      </c>
      <c r="G606">
        <v>372.61700000000002</v>
      </c>
      <c r="H606">
        <v>5930.07</v>
      </c>
      <c r="I606">
        <v>-6180.6620000000003</v>
      </c>
    </row>
    <row r="607" spans="1:9" x14ac:dyDescent="0.25">
      <c r="A607" t="s">
        <v>127</v>
      </c>
      <c r="B607" t="s">
        <v>185</v>
      </c>
      <c r="C607" t="s">
        <v>3</v>
      </c>
      <c r="D607">
        <v>1061.6400000000001</v>
      </c>
      <c r="E607">
        <v>0</v>
      </c>
      <c r="F607">
        <v>69</v>
      </c>
      <c r="G607">
        <v>372.61700000000002</v>
      </c>
      <c r="H607">
        <v>5910.2860000000001</v>
      </c>
      <c r="I607">
        <v>-6369.8230000000003</v>
      </c>
    </row>
    <row r="608" spans="1:9" x14ac:dyDescent="0.25">
      <c r="A608" t="s">
        <v>127</v>
      </c>
      <c r="B608" t="s">
        <v>186</v>
      </c>
      <c r="C608" t="s">
        <v>143</v>
      </c>
      <c r="D608">
        <v>815.6</v>
      </c>
      <c r="E608">
        <v>-69</v>
      </c>
      <c r="F608">
        <v>0</v>
      </c>
      <c r="G608">
        <v>455.42</v>
      </c>
      <c r="H608">
        <v>4893.5810000000001</v>
      </c>
      <c r="I608">
        <v>-5144.174</v>
      </c>
    </row>
    <row r="609" spans="1:9" x14ac:dyDescent="0.25">
      <c r="A609" t="s">
        <v>127</v>
      </c>
      <c r="B609" t="s">
        <v>186</v>
      </c>
      <c r="C609" t="s">
        <v>3</v>
      </c>
      <c r="D609">
        <v>840.12</v>
      </c>
      <c r="E609">
        <v>-69</v>
      </c>
      <c r="F609">
        <v>0</v>
      </c>
      <c r="G609">
        <v>455.42</v>
      </c>
      <c r="H609">
        <v>5040.7070000000003</v>
      </c>
      <c r="I609">
        <v>-5500.2439999999997</v>
      </c>
    </row>
    <row r="610" spans="1:9" x14ac:dyDescent="0.25">
      <c r="A610" t="s">
        <v>127</v>
      </c>
      <c r="B610" t="s">
        <v>187</v>
      </c>
      <c r="C610" t="s">
        <v>143</v>
      </c>
      <c r="D610">
        <v>815.6</v>
      </c>
      <c r="E610">
        <v>-69</v>
      </c>
      <c r="F610">
        <v>0</v>
      </c>
      <c r="G610">
        <v>372.61700000000002</v>
      </c>
      <c r="H610">
        <v>4893.5810000000001</v>
      </c>
      <c r="I610">
        <v>-5144.174</v>
      </c>
    </row>
    <row r="611" spans="1:9" x14ac:dyDescent="0.25">
      <c r="A611" t="s">
        <v>127</v>
      </c>
      <c r="B611" t="s">
        <v>187</v>
      </c>
      <c r="C611" t="s">
        <v>3</v>
      </c>
      <c r="D611">
        <v>840.12</v>
      </c>
      <c r="E611">
        <v>-69</v>
      </c>
      <c r="F611">
        <v>0</v>
      </c>
      <c r="G611">
        <v>372.61700000000002</v>
      </c>
      <c r="H611">
        <v>5040.7070000000003</v>
      </c>
      <c r="I611">
        <v>-5500.2439999999997</v>
      </c>
    </row>
    <row r="612" spans="1:9" x14ac:dyDescent="0.25">
      <c r="A612" t="s">
        <v>127</v>
      </c>
      <c r="B612" t="s">
        <v>188</v>
      </c>
      <c r="C612" t="s">
        <v>143</v>
      </c>
      <c r="D612">
        <v>815.6</v>
      </c>
      <c r="E612">
        <v>69</v>
      </c>
      <c r="F612">
        <v>0</v>
      </c>
      <c r="G612">
        <v>-455.42</v>
      </c>
      <c r="H612">
        <v>4893.5810000000001</v>
      </c>
      <c r="I612">
        <v>-4642.9889999999996</v>
      </c>
    </row>
    <row r="613" spans="1:9" x14ac:dyDescent="0.25">
      <c r="A613" t="s">
        <v>127</v>
      </c>
      <c r="B613" t="s">
        <v>188</v>
      </c>
      <c r="C613" t="s">
        <v>3</v>
      </c>
      <c r="D613">
        <v>840.12</v>
      </c>
      <c r="E613">
        <v>69</v>
      </c>
      <c r="F613">
        <v>0</v>
      </c>
      <c r="G613">
        <v>-455.42</v>
      </c>
      <c r="H613">
        <v>5040.7070000000003</v>
      </c>
      <c r="I613">
        <v>-4581.17</v>
      </c>
    </row>
    <row r="614" spans="1:9" x14ac:dyDescent="0.25">
      <c r="A614" t="s">
        <v>127</v>
      </c>
      <c r="B614" t="s">
        <v>189</v>
      </c>
      <c r="C614" t="s">
        <v>143</v>
      </c>
      <c r="D614">
        <v>815.6</v>
      </c>
      <c r="E614">
        <v>69</v>
      </c>
      <c r="F614">
        <v>0</v>
      </c>
      <c r="G614">
        <v>-372.61700000000002</v>
      </c>
      <c r="H614">
        <v>4893.5810000000001</v>
      </c>
      <c r="I614">
        <v>-4642.9889999999996</v>
      </c>
    </row>
    <row r="615" spans="1:9" x14ac:dyDescent="0.25">
      <c r="A615" t="s">
        <v>127</v>
      </c>
      <c r="B615" t="s">
        <v>189</v>
      </c>
      <c r="C615" t="s">
        <v>3</v>
      </c>
      <c r="D615">
        <v>840.12</v>
      </c>
      <c r="E615">
        <v>69</v>
      </c>
      <c r="F615">
        <v>0</v>
      </c>
      <c r="G615">
        <v>-372.61700000000002</v>
      </c>
      <c r="H615">
        <v>5040.7070000000003</v>
      </c>
      <c r="I615">
        <v>-4581.17</v>
      </c>
    </row>
    <row r="616" spans="1:9" x14ac:dyDescent="0.25">
      <c r="A616" t="s">
        <v>127</v>
      </c>
      <c r="B616" t="s">
        <v>190</v>
      </c>
      <c r="C616" t="s">
        <v>143</v>
      </c>
      <c r="D616">
        <v>815.6</v>
      </c>
      <c r="E616">
        <v>0</v>
      </c>
      <c r="F616">
        <v>-69</v>
      </c>
      <c r="G616">
        <v>-455.42</v>
      </c>
      <c r="H616">
        <v>5144.174</v>
      </c>
      <c r="I616">
        <v>-4893.5810000000001</v>
      </c>
    </row>
    <row r="617" spans="1:9" x14ac:dyDescent="0.25">
      <c r="A617" t="s">
        <v>127</v>
      </c>
      <c r="B617" t="s">
        <v>190</v>
      </c>
      <c r="C617" t="s">
        <v>3</v>
      </c>
      <c r="D617">
        <v>840.12</v>
      </c>
      <c r="E617">
        <v>0</v>
      </c>
      <c r="F617">
        <v>-69</v>
      </c>
      <c r="G617">
        <v>-455.42</v>
      </c>
      <c r="H617">
        <v>5500.2439999999997</v>
      </c>
      <c r="I617">
        <v>-5040.7070000000003</v>
      </c>
    </row>
    <row r="618" spans="1:9" x14ac:dyDescent="0.25">
      <c r="A618" t="s">
        <v>127</v>
      </c>
      <c r="B618" t="s">
        <v>191</v>
      </c>
      <c r="C618" t="s">
        <v>143</v>
      </c>
      <c r="D618">
        <v>815.6</v>
      </c>
      <c r="E618">
        <v>0</v>
      </c>
      <c r="F618">
        <v>-69</v>
      </c>
      <c r="G618">
        <v>-372.61700000000002</v>
      </c>
      <c r="H618">
        <v>5144.174</v>
      </c>
      <c r="I618">
        <v>-4893.5810000000001</v>
      </c>
    </row>
    <row r="619" spans="1:9" x14ac:dyDescent="0.25">
      <c r="A619" t="s">
        <v>127</v>
      </c>
      <c r="B619" t="s">
        <v>191</v>
      </c>
      <c r="C619" t="s">
        <v>3</v>
      </c>
      <c r="D619">
        <v>840.12</v>
      </c>
      <c r="E619">
        <v>0</v>
      </c>
      <c r="F619">
        <v>-69</v>
      </c>
      <c r="G619">
        <v>-372.61700000000002</v>
      </c>
      <c r="H619">
        <v>5500.2439999999997</v>
      </c>
      <c r="I619">
        <v>-5040.7070000000003</v>
      </c>
    </row>
    <row r="620" spans="1:9" x14ac:dyDescent="0.25">
      <c r="A620" t="s">
        <v>127</v>
      </c>
      <c r="B620" t="s">
        <v>192</v>
      </c>
      <c r="C620" t="s">
        <v>143</v>
      </c>
      <c r="D620">
        <v>815.6</v>
      </c>
      <c r="E620">
        <v>0</v>
      </c>
      <c r="F620">
        <v>69</v>
      </c>
      <c r="G620">
        <v>455.42</v>
      </c>
      <c r="H620">
        <v>4642.9889999999996</v>
      </c>
      <c r="I620">
        <v>-4893.5810000000001</v>
      </c>
    </row>
    <row r="621" spans="1:9" x14ac:dyDescent="0.25">
      <c r="A621" t="s">
        <v>127</v>
      </c>
      <c r="B621" t="s">
        <v>192</v>
      </c>
      <c r="C621" t="s">
        <v>3</v>
      </c>
      <c r="D621">
        <v>840.12</v>
      </c>
      <c r="E621">
        <v>0</v>
      </c>
      <c r="F621">
        <v>69</v>
      </c>
      <c r="G621">
        <v>455.42</v>
      </c>
      <c r="H621">
        <v>4581.17</v>
      </c>
      <c r="I621">
        <v>-5040.7070000000003</v>
      </c>
    </row>
    <row r="622" spans="1:9" x14ac:dyDescent="0.25">
      <c r="A622" t="s">
        <v>127</v>
      </c>
      <c r="B622" t="s">
        <v>193</v>
      </c>
      <c r="C622" t="s">
        <v>143</v>
      </c>
      <c r="D622">
        <v>815.6</v>
      </c>
      <c r="E622">
        <v>0</v>
      </c>
      <c r="F622">
        <v>69</v>
      </c>
      <c r="G622">
        <v>372.61700000000002</v>
      </c>
      <c r="H622">
        <v>4642.9889999999996</v>
      </c>
      <c r="I622">
        <v>-4893.5810000000001</v>
      </c>
    </row>
    <row r="623" spans="1:9" x14ac:dyDescent="0.25">
      <c r="A623" t="s">
        <v>127</v>
      </c>
      <c r="B623" t="s">
        <v>193</v>
      </c>
      <c r="C623" t="s">
        <v>3</v>
      </c>
      <c r="D623">
        <v>840.12</v>
      </c>
      <c r="E623">
        <v>0</v>
      </c>
      <c r="F623">
        <v>69</v>
      </c>
      <c r="G623">
        <v>372.61700000000002</v>
      </c>
      <c r="H623">
        <v>4581.17</v>
      </c>
      <c r="I623">
        <v>-5040.7070000000003</v>
      </c>
    </row>
    <row r="624" spans="1:9" x14ac:dyDescent="0.25">
      <c r="A624" t="s">
        <v>127</v>
      </c>
      <c r="B624" t="s">
        <v>194</v>
      </c>
      <c r="C624" t="s">
        <v>143</v>
      </c>
      <c r="D624">
        <v>675.72</v>
      </c>
      <c r="E624">
        <v>-230.01</v>
      </c>
      <c r="F624">
        <v>0</v>
      </c>
      <c r="G624">
        <v>1518.068</v>
      </c>
      <c r="H624">
        <v>4054.3029999999999</v>
      </c>
      <c r="I624">
        <v>-4889.6109999999999</v>
      </c>
    </row>
    <row r="625" spans="1:9" x14ac:dyDescent="0.25">
      <c r="A625" t="s">
        <v>127</v>
      </c>
      <c r="B625" t="s">
        <v>194</v>
      </c>
      <c r="C625" t="s">
        <v>3</v>
      </c>
      <c r="D625">
        <v>697.79</v>
      </c>
      <c r="E625">
        <v>-230.01</v>
      </c>
      <c r="F625">
        <v>0</v>
      </c>
      <c r="G625">
        <v>1518.068</v>
      </c>
      <c r="H625">
        <v>4186.7160000000003</v>
      </c>
      <c r="I625">
        <v>-5718.5069999999996</v>
      </c>
    </row>
    <row r="626" spans="1:9" x14ac:dyDescent="0.25">
      <c r="A626" t="s">
        <v>127</v>
      </c>
      <c r="B626" t="s">
        <v>195</v>
      </c>
      <c r="C626" t="s">
        <v>143</v>
      </c>
      <c r="D626">
        <v>675.72</v>
      </c>
      <c r="E626">
        <v>-230.01</v>
      </c>
      <c r="F626">
        <v>0</v>
      </c>
      <c r="G626">
        <v>1242.056</v>
      </c>
      <c r="H626">
        <v>4054.3029999999999</v>
      </c>
      <c r="I626">
        <v>-4889.6109999999999</v>
      </c>
    </row>
    <row r="627" spans="1:9" x14ac:dyDescent="0.25">
      <c r="A627" t="s">
        <v>127</v>
      </c>
      <c r="B627" t="s">
        <v>195</v>
      </c>
      <c r="C627" t="s">
        <v>3</v>
      </c>
      <c r="D627">
        <v>697.79</v>
      </c>
      <c r="E627">
        <v>-230.01</v>
      </c>
      <c r="F627">
        <v>0</v>
      </c>
      <c r="G627">
        <v>1242.056</v>
      </c>
      <c r="H627">
        <v>4186.7160000000003</v>
      </c>
      <c r="I627">
        <v>-5718.5069999999996</v>
      </c>
    </row>
    <row r="628" spans="1:9" x14ac:dyDescent="0.25">
      <c r="A628" t="s">
        <v>127</v>
      </c>
      <c r="B628" t="s">
        <v>196</v>
      </c>
      <c r="C628" t="s">
        <v>143</v>
      </c>
      <c r="D628">
        <v>675.72</v>
      </c>
      <c r="E628">
        <v>230.01</v>
      </c>
      <c r="F628">
        <v>0</v>
      </c>
      <c r="G628">
        <v>-1518.068</v>
      </c>
      <c r="H628">
        <v>4054.3029999999999</v>
      </c>
      <c r="I628">
        <v>-3218.9960000000001</v>
      </c>
    </row>
    <row r="629" spans="1:9" x14ac:dyDescent="0.25">
      <c r="A629" t="s">
        <v>127</v>
      </c>
      <c r="B629" t="s">
        <v>196</v>
      </c>
      <c r="C629" t="s">
        <v>3</v>
      </c>
      <c r="D629">
        <v>697.79</v>
      </c>
      <c r="E629">
        <v>230.01</v>
      </c>
      <c r="F629">
        <v>0</v>
      </c>
      <c r="G629">
        <v>-1518.068</v>
      </c>
      <c r="H629">
        <v>4186.7160000000003</v>
      </c>
      <c r="I629">
        <v>-2654.9259999999999</v>
      </c>
    </row>
    <row r="630" spans="1:9" x14ac:dyDescent="0.25">
      <c r="A630" t="s">
        <v>127</v>
      </c>
      <c r="B630" t="s">
        <v>197</v>
      </c>
      <c r="C630" t="s">
        <v>143</v>
      </c>
      <c r="D630">
        <v>675.72</v>
      </c>
      <c r="E630">
        <v>230.01</v>
      </c>
      <c r="F630">
        <v>0</v>
      </c>
      <c r="G630">
        <v>-1242.056</v>
      </c>
      <c r="H630">
        <v>4054.3029999999999</v>
      </c>
      <c r="I630">
        <v>-3218.9960000000001</v>
      </c>
    </row>
    <row r="631" spans="1:9" x14ac:dyDescent="0.25">
      <c r="A631" t="s">
        <v>127</v>
      </c>
      <c r="B631" t="s">
        <v>197</v>
      </c>
      <c r="C631" t="s">
        <v>3</v>
      </c>
      <c r="D631">
        <v>697.79</v>
      </c>
      <c r="E631">
        <v>230.01</v>
      </c>
      <c r="F631">
        <v>0</v>
      </c>
      <c r="G631">
        <v>-1242.056</v>
      </c>
      <c r="H631">
        <v>4186.7160000000003</v>
      </c>
      <c r="I631">
        <v>-2654.9259999999999</v>
      </c>
    </row>
    <row r="632" spans="1:9" x14ac:dyDescent="0.25">
      <c r="A632" t="s">
        <v>127</v>
      </c>
      <c r="B632" t="s">
        <v>198</v>
      </c>
      <c r="C632" t="s">
        <v>143</v>
      </c>
      <c r="D632">
        <v>675.72</v>
      </c>
      <c r="E632">
        <v>0</v>
      </c>
      <c r="F632">
        <v>-230.01</v>
      </c>
      <c r="G632">
        <v>-1518.068</v>
      </c>
      <c r="H632">
        <v>4889.6109999999999</v>
      </c>
      <c r="I632">
        <v>-4054.3029999999999</v>
      </c>
    </row>
    <row r="633" spans="1:9" x14ac:dyDescent="0.25">
      <c r="A633" t="s">
        <v>127</v>
      </c>
      <c r="B633" t="s">
        <v>198</v>
      </c>
      <c r="C633" t="s">
        <v>3</v>
      </c>
      <c r="D633">
        <v>697.79</v>
      </c>
      <c r="E633">
        <v>0</v>
      </c>
      <c r="F633">
        <v>-230.01</v>
      </c>
      <c r="G633">
        <v>-1518.068</v>
      </c>
      <c r="H633">
        <v>5718.5069999999996</v>
      </c>
      <c r="I633">
        <v>-4186.7160000000003</v>
      </c>
    </row>
    <row r="634" spans="1:9" x14ac:dyDescent="0.25">
      <c r="A634" t="s">
        <v>127</v>
      </c>
      <c r="B634" t="s">
        <v>199</v>
      </c>
      <c r="C634" t="s">
        <v>143</v>
      </c>
      <c r="D634">
        <v>675.72</v>
      </c>
      <c r="E634">
        <v>0</v>
      </c>
      <c r="F634">
        <v>-230.01</v>
      </c>
      <c r="G634">
        <v>-1242.056</v>
      </c>
      <c r="H634">
        <v>4889.6109999999999</v>
      </c>
      <c r="I634">
        <v>-4054.3029999999999</v>
      </c>
    </row>
    <row r="635" spans="1:9" x14ac:dyDescent="0.25">
      <c r="A635" t="s">
        <v>127</v>
      </c>
      <c r="B635" t="s">
        <v>199</v>
      </c>
      <c r="C635" t="s">
        <v>3</v>
      </c>
      <c r="D635">
        <v>697.79</v>
      </c>
      <c r="E635">
        <v>0</v>
      </c>
      <c r="F635">
        <v>-230.01</v>
      </c>
      <c r="G635">
        <v>-1242.056</v>
      </c>
      <c r="H635">
        <v>5718.5069999999996</v>
      </c>
      <c r="I635">
        <v>-4186.7160000000003</v>
      </c>
    </row>
    <row r="636" spans="1:9" x14ac:dyDescent="0.25">
      <c r="A636" t="s">
        <v>127</v>
      </c>
      <c r="B636" t="s">
        <v>200</v>
      </c>
      <c r="C636" t="s">
        <v>143</v>
      </c>
      <c r="D636">
        <v>675.72</v>
      </c>
      <c r="E636">
        <v>0</v>
      </c>
      <c r="F636">
        <v>230.01</v>
      </c>
      <c r="G636">
        <v>1518.068</v>
      </c>
      <c r="H636">
        <v>3218.9960000000001</v>
      </c>
      <c r="I636">
        <v>-4054.3029999999999</v>
      </c>
    </row>
    <row r="637" spans="1:9" x14ac:dyDescent="0.25">
      <c r="A637" t="s">
        <v>127</v>
      </c>
      <c r="B637" t="s">
        <v>200</v>
      </c>
      <c r="C637" t="s">
        <v>3</v>
      </c>
      <c r="D637">
        <v>697.79</v>
      </c>
      <c r="E637">
        <v>0</v>
      </c>
      <c r="F637">
        <v>230.01</v>
      </c>
      <c r="G637">
        <v>1518.068</v>
      </c>
      <c r="H637">
        <v>2654.9259999999999</v>
      </c>
      <c r="I637">
        <v>-4186.7160000000003</v>
      </c>
    </row>
    <row r="638" spans="1:9" x14ac:dyDescent="0.25">
      <c r="A638" t="s">
        <v>127</v>
      </c>
      <c r="B638" t="s">
        <v>201</v>
      </c>
      <c r="C638" t="s">
        <v>143</v>
      </c>
      <c r="D638">
        <v>675.72</v>
      </c>
      <c r="E638">
        <v>0</v>
      </c>
      <c r="F638">
        <v>230.01</v>
      </c>
      <c r="G638">
        <v>1242.056</v>
      </c>
      <c r="H638">
        <v>3218.9960000000001</v>
      </c>
      <c r="I638">
        <v>-4054.3029999999999</v>
      </c>
    </row>
    <row r="639" spans="1:9" x14ac:dyDescent="0.25">
      <c r="A639" t="s">
        <v>127</v>
      </c>
      <c r="B639" t="s">
        <v>201</v>
      </c>
      <c r="C639" t="s">
        <v>3</v>
      </c>
      <c r="D639">
        <v>697.79</v>
      </c>
      <c r="E639">
        <v>0</v>
      </c>
      <c r="F639">
        <v>230.01</v>
      </c>
      <c r="G639">
        <v>1242.056</v>
      </c>
      <c r="H639">
        <v>2654.9259999999999</v>
      </c>
      <c r="I639">
        <v>-4186.7160000000003</v>
      </c>
    </row>
    <row r="640" spans="1:9" x14ac:dyDescent="0.25">
      <c r="A640" t="s">
        <v>127</v>
      </c>
      <c r="B640" t="s">
        <v>202</v>
      </c>
      <c r="C640" t="s">
        <v>143</v>
      </c>
      <c r="D640">
        <v>611.36</v>
      </c>
      <c r="E640">
        <v>-230.01</v>
      </c>
      <c r="F640">
        <v>0</v>
      </c>
      <c r="G640">
        <v>1518.068</v>
      </c>
      <c r="H640">
        <v>3668.1790000000001</v>
      </c>
      <c r="I640">
        <v>-4503.4870000000001</v>
      </c>
    </row>
    <row r="641" spans="1:9" x14ac:dyDescent="0.25">
      <c r="A641" t="s">
        <v>127</v>
      </c>
      <c r="B641" t="s">
        <v>202</v>
      </c>
      <c r="C641" t="s">
        <v>3</v>
      </c>
      <c r="D641">
        <v>631.33000000000004</v>
      </c>
      <c r="E641">
        <v>-230.01</v>
      </c>
      <c r="F641">
        <v>0</v>
      </c>
      <c r="G641">
        <v>1518.068</v>
      </c>
      <c r="H641">
        <v>3787.9810000000002</v>
      </c>
      <c r="I641">
        <v>-5319.7719999999999</v>
      </c>
    </row>
    <row r="642" spans="1:9" x14ac:dyDescent="0.25">
      <c r="A642" t="s">
        <v>127</v>
      </c>
      <c r="B642" t="s">
        <v>203</v>
      </c>
      <c r="C642" t="s">
        <v>143</v>
      </c>
      <c r="D642">
        <v>611.36</v>
      </c>
      <c r="E642">
        <v>-230.01</v>
      </c>
      <c r="F642">
        <v>0</v>
      </c>
      <c r="G642">
        <v>1242.056</v>
      </c>
      <c r="H642">
        <v>3668.1790000000001</v>
      </c>
      <c r="I642">
        <v>-4503.4870000000001</v>
      </c>
    </row>
    <row r="643" spans="1:9" x14ac:dyDescent="0.25">
      <c r="A643" t="s">
        <v>127</v>
      </c>
      <c r="B643" t="s">
        <v>203</v>
      </c>
      <c r="C643" t="s">
        <v>3</v>
      </c>
      <c r="D643">
        <v>631.33000000000004</v>
      </c>
      <c r="E643">
        <v>-230.01</v>
      </c>
      <c r="F643">
        <v>0</v>
      </c>
      <c r="G643">
        <v>1242.056</v>
      </c>
      <c r="H643">
        <v>3787.9810000000002</v>
      </c>
      <c r="I643">
        <v>-5319.7719999999999</v>
      </c>
    </row>
    <row r="644" spans="1:9" x14ac:dyDescent="0.25">
      <c r="A644" t="s">
        <v>127</v>
      </c>
      <c r="B644" t="s">
        <v>204</v>
      </c>
      <c r="C644" t="s">
        <v>143</v>
      </c>
      <c r="D644">
        <v>611.36</v>
      </c>
      <c r="E644">
        <v>230.01</v>
      </c>
      <c r="F644">
        <v>0</v>
      </c>
      <c r="G644">
        <v>-1518.068</v>
      </c>
      <c r="H644">
        <v>3668.1790000000001</v>
      </c>
      <c r="I644">
        <v>-2832.8719999999998</v>
      </c>
    </row>
    <row r="645" spans="1:9" x14ac:dyDescent="0.25">
      <c r="A645" t="s">
        <v>127</v>
      </c>
      <c r="B645" t="s">
        <v>204</v>
      </c>
      <c r="C645" t="s">
        <v>3</v>
      </c>
      <c r="D645">
        <v>631.33000000000004</v>
      </c>
      <c r="E645">
        <v>230.01</v>
      </c>
      <c r="F645">
        <v>0</v>
      </c>
      <c r="G645">
        <v>-1518.068</v>
      </c>
      <c r="H645">
        <v>3787.9810000000002</v>
      </c>
      <c r="I645">
        <v>-2256.1909999999998</v>
      </c>
    </row>
    <row r="646" spans="1:9" x14ac:dyDescent="0.25">
      <c r="A646" t="s">
        <v>127</v>
      </c>
      <c r="B646" t="s">
        <v>205</v>
      </c>
      <c r="C646" t="s">
        <v>143</v>
      </c>
      <c r="D646">
        <v>611.36</v>
      </c>
      <c r="E646">
        <v>230.01</v>
      </c>
      <c r="F646">
        <v>0</v>
      </c>
      <c r="G646">
        <v>-1242.056</v>
      </c>
      <c r="H646">
        <v>3668.1790000000001</v>
      </c>
      <c r="I646">
        <v>-2832.8719999999998</v>
      </c>
    </row>
    <row r="647" spans="1:9" x14ac:dyDescent="0.25">
      <c r="A647" t="s">
        <v>127</v>
      </c>
      <c r="B647" t="s">
        <v>205</v>
      </c>
      <c r="C647" t="s">
        <v>3</v>
      </c>
      <c r="D647">
        <v>631.33000000000004</v>
      </c>
      <c r="E647">
        <v>230.01</v>
      </c>
      <c r="F647">
        <v>0</v>
      </c>
      <c r="G647">
        <v>-1242.056</v>
      </c>
      <c r="H647">
        <v>3787.9810000000002</v>
      </c>
      <c r="I647">
        <v>-2256.1909999999998</v>
      </c>
    </row>
    <row r="648" spans="1:9" x14ac:dyDescent="0.25">
      <c r="A648" t="s">
        <v>127</v>
      </c>
      <c r="B648" t="s">
        <v>206</v>
      </c>
      <c r="C648" t="s">
        <v>143</v>
      </c>
      <c r="D648">
        <v>611.36</v>
      </c>
      <c r="E648">
        <v>0</v>
      </c>
      <c r="F648">
        <v>-230.01</v>
      </c>
      <c r="G648">
        <v>-1518.068</v>
      </c>
      <c r="H648">
        <v>4503.4870000000001</v>
      </c>
      <c r="I648">
        <v>-3668.1790000000001</v>
      </c>
    </row>
    <row r="649" spans="1:9" x14ac:dyDescent="0.25">
      <c r="A649" t="s">
        <v>127</v>
      </c>
      <c r="B649" t="s">
        <v>206</v>
      </c>
      <c r="C649" t="s">
        <v>3</v>
      </c>
      <c r="D649">
        <v>631.33000000000004</v>
      </c>
      <c r="E649">
        <v>0</v>
      </c>
      <c r="F649">
        <v>-230.01</v>
      </c>
      <c r="G649">
        <v>-1518.068</v>
      </c>
      <c r="H649">
        <v>5319.7719999999999</v>
      </c>
      <c r="I649">
        <v>-3787.9810000000002</v>
      </c>
    </row>
    <row r="650" spans="1:9" x14ac:dyDescent="0.25">
      <c r="A650" t="s">
        <v>127</v>
      </c>
      <c r="B650" t="s">
        <v>207</v>
      </c>
      <c r="C650" t="s">
        <v>143</v>
      </c>
      <c r="D650">
        <v>611.36</v>
      </c>
      <c r="E650">
        <v>0</v>
      </c>
      <c r="F650">
        <v>-230.01</v>
      </c>
      <c r="G650">
        <v>-1242.056</v>
      </c>
      <c r="H650">
        <v>4503.4870000000001</v>
      </c>
      <c r="I650">
        <v>-3668.1790000000001</v>
      </c>
    </row>
    <row r="651" spans="1:9" x14ac:dyDescent="0.25">
      <c r="A651" t="s">
        <v>127</v>
      </c>
      <c r="B651" t="s">
        <v>207</v>
      </c>
      <c r="C651" t="s">
        <v>3</v>
      </c>
      <c r="D651">
        <v>631.33000000000004</v>
      </c>
      <c r="E651">
        <v>0</v>
      </c>
      <c r="F651">
        <v>-230.01</v>
      </c>
      <c r="G651">
        <v>-1242.056</v>
      </c>
      <c r="H651">
        <v>5319.7719999999999</v>
      </c>
      <c r="I651">
        <v>-3787.9810000000002</v>
      </c>
    </row>
    <row r="652" spans="1:9" x14ac:dyDescent="0.25">
      <c r="A652" t="s">
        <v>127</v>
      </c>
      <c r="B652" t="s">
        <v>208</v>
      </c>
      <c r="C652" t="s">
        <v>143</v>
      </c>
      <c r="D652">
        <v>611.36</v>
      </c>
      <c r="E652">
        <v>0</v>
      </c>
      <c r="F652">
        <v>230.01</v>
      </c>
      <c r="G652">
        <v>1518.068</v>
      </c>
      <c r="H652">
        <v>2832.8719999999998</v>
      </c>
      <c r="I652">
        <v>-3668.1790000000001</v>
      </c>
    </row>
    <row r="653" spans="1:9" x14ac:dyDescent="0.25">
      <c r="A653" t="s">
        <v>127</v>
      </c>
      <c r="B653" t="s">
        <v>208</v>
      </c>
      <c r="C653" t="s">
        <v>3</v>
      </c>
      <c r="D653">
        <v>631.33000000000004</v>
      </c>
      <c r="E653">
        <v>0</v>
      </c>
      <c r="F653">
        <v>230.01</v>
      </c>
      <c r="G653">
        <v>1518.068</v>
      </c>
      <c r="H653">
        <v>2256.1909999999998</v>
      </c>
      <c r="I653">
        <v>-3787.9810000000002</v>
      </c>
    </row>
    <row r="654" spans="1:9" x14ac:dyDescent="0.25">
      <c r="A654" t="s">
        <v>127</v>
      </c>
      <c r="B654" t="s">
        <v>209</v>
      </c>
      <c r="C654" t="s">
        <v>143</v>
      </c>
      <c r="D654">
        <v>611.36</v>
      </c>
      <c r="E654">
        <v>0</v>
      </c>
      <c r="F654">
        <v>230.01</v>
      </c>
      <c r="G654">
        <v>1242.056</v>
      </c>
      <c r="H654">
        <v>2832.8719999999998</v>
      </c>
      <c r="I654">
        <v>-3668.1790000000001</v>
      </c>
    </row>
    <row r="655" spans="1:9" x14ac:dyDescent="0.25">
      <c r="A655" t="s">
        <v>127</v>
      </c>
      <c r="B655" t="s">
        <v>209</v>
      </c>
      <c r="C655" t="s">
        <v>3</v>
      </c>
      <c r="D655">
        <v>631.33000000000004</v>
      </c>
      <c r="E655">
        <v>0</v>
      </c>
      <c r="F655">
        <v>230.01</v>
      </c>
      <c r="G655">
        <v>1242.056</v>
      </c>
      <c r="H655">
        <v>2256.1909999999998</v>
      </c>
      <c r="I655">
        <v>-3787.9810000000002</v>
      </c>
    </row>
    <row r="656" spans="1:9" x14ac:dyDescent="0.25">
      <c r="A656" t="s">
        <v>127</v>
      </c>
      <c r="B656" t="s">
        <v>210</v>
      </c>
      <c r="C656" t="s">
        <v>143</v>
      </c>
      <c r="D656">
        <v>750.8</v>
      </c>
      <c r="E656">
        <v>-69</v>
      </c>
      <c r="F656">
        <v>0</v>
      </c>
      <c r="G656">
        <v>455.42</v>
      </c>
      <c r="H656">
        <v>4504.7809999999999</v>
      </c>
      <c r="I656">
        <v>-4755.3739999999998</v>
      </c>
    </row>
    <row r="657" spans="1:9" x14ac:dyDescent="0.25">
      <c r="A657" t="s">
        <v>127</v>
      </c>
      <c r="B657" t="s">
        <v>210</v>
      </c>
      <c r="C657" t="s">
        <v>3</v>
      </c>
      <c r="D657">
        <v>775.32</v>
      </c>
      <c r="E657">
        <v>-69</v>
      </c>
      <c r="F657">
        <v>0</v>
      </c>
      <c r="G657">
        <v>455.42</v>
      </c>
      <c r="H657">
        <v>4651.9070000000002</v>
      </c>
      <c r="I657">
        <v>-5111.4440000000004</v>
      </c>
    </row>
    <row r="658" spans="1:9" x14ac:dyDescent="0.25">
      <c r="A658" t="s">
        <v>127</v>
      </c>
      <c r="B658" t="s">
        <v>211</v>
      </c>
      <c r="C658" t="s">
        <v>143</v>
      </c>
      <c r="D658">
        <v>750.8</v>
      </c>
      <c r="E658">
        <v>-69</v>
      </c>
      <c r="F658">
        <v>0</v>
      </c>
      <c r="G658">
        <v>372.61700000000002</v>
      </c>
      <c r="H658">
        <v>4504.7809999999999</v>
      </c>
      <c r="I658">
        <v>-4755.3739999999998</v>
      </c>
    </row>
    <row r="659" spans="1:9" x14ac:dyDescent="0.25">
      <c r="A659" t="s">
        <v>127</v>
      </c>
      <c r="B659" t="s">
        <v>211</v>
      </c>
      <c r="C659" t="s">
        <v>3</v>
      </c>
      <c r="D659">
        <v>775.32</v>
      </c>
      <c r="E659">
        <v>-69</v>
      </c>
      <c r="F659">
        <v>0</v>
      </c>
      <c r="G659">
        <v>372.61700000000002</v>
      </c>
      <c r="H659">
        <v>4651.9070000000002</v>
      </c>
      <c r="I659">
        <v>-5111.4440000000004</v>
      </c>
    </row>
    <row r="660" spans="1:9" x14ac:dyDescent="0.25">
      <c r="A660" t="s">
        <v>127</v>
      </c>
      <c r="B660" t="s">
        <v>212</v>
      </c>
      <c r="C660" t="s">
        <v>143</v>
      </c>
      <c r="D660">
        <v>750.8</v>
      </c>
      <c r="E660">
        <v>69</v>
      </c>
      <c r="F660">
        <v>0</v>
      </c>
      <c r="G660">
        <v>-455.42</v>
      </c>
      <c r="H660">
        <v>4504.7809999999999</v>
      </c>
      <c r="I660">
        <v>-4254.1890000000003</v>
      </c>
    </row>
    <row r="661" spans="1:9" x14ac:dyDescent="0.25">
      <c r="A661" t="s">
        <v>127</v>
      </c>
      <c r="B661" t="s">
        <v>212</v>
      </c>
      <c r="C661" t="s">
        <v>3</v>
      </c>
      <c r="D661">
        <v>775.32</v>
      </c>
      <c r="E661">
        <v>69</v>
      </c>
      <c r="F661">
        <v>0</v>
      </c>
      <c r="G661">
        <v>-455.42</v>
      </c>
      <c r="H661">
        <v>4651.9070000000002</v>
      </c>
      <c r="I661">
        <v>-4192.37</v>
      </c>
    </row>
    <row r="662" spans="1:9" x14ac:dyDescent="0.25">
      <c r="A662" t="s">
        <v>127</v>
      </c>
      <c r="B662" t="s">
        <v>213</v>
      </c>
      <c r="C662" t="s">
        <v>143</v>
      </c>
      <c r="D662">
        <v>750.8</v>
      </c>
      <c r="E662">
        <v>69</v>
      </c>
      <c r="F662">
        <v>0</v>
      </c>
      <c r="G662">
        <v>-372.61700000000002</v>
      </c>
      <c r="H662">
        <v>4504.7809999999999</v>
      </c>
      <c r="I662">
        <v>-4254.1890000000003</v>
      </c>
    </row>
    <row r="663" spans="1:9" x14ac:dyDescent="0.25">
      <c r="A663" t="s">
        <v>127</v>
      </c>
      <c r="B663" t="s">
        <v>213</v>
      </c>
      <c r="C663" t="s">
        <v>3</v>
      </c>
      <c r="D663">
        <v>775.32</v>
      </c>
      <c r="E663">
        <v>69</v>
      </c>
      <c r="F663">
        <v>0</v>
      </c>
      <c r="G663">
        <v>-372.61700000000002</v>
      </c>
      <c r="H663">
        <v>4651.9070000000002</v>
      </c>
      <c r="I663">
        <v>-4192.37</v>
      </c>
    </row>
    <row r="664" spans="1:9" x14ac:dyDescent="0.25">
      <c r="A664" t="s">
        <v>127</v>
      </c>
      <c r="B664" t="s">
        <v>214</v>
      </c>
      <c r="C664" t="s">
        <v>143</v>
      </c>
      <c r="D664">
        <v>750.8</v>
      </c>
      <c r="E664">
        <v>0</v>
      </c>
      <c r="F664">
        <v>-69</v>
      </c>
      <c r="G664">
        <v>-455.42</v>
      </c>
      <c r="H664">
        <v>4755.3739999999998</v>
      </c>
      <c r="I664">
        <v>-4504.7809999999999</v>
      </c>
    </row>
    <row r="665" spans="1:9" x14ac:dyDescent="0.25">
      <c r="A665" t="s">
        <v>127</v>
      </c>
      <c r="B665" t="s">
        <v>214</v>
      </c>
      <c r="C665" t="s">
        <v>3</v>
      </c>
      <c r="D665">
        <v>775.32</v>
      </c>
      <c r="E665">
        <v>0</v>
      </c>
      <c r="F665">
        <v>-69</v>
      </c>
      <c r="G665">
        <v>-455.42</v>
      </c>
      <c r="H665">
        <v>5111.4440000000004</v>
      </c>
      <c r="I665">
        <v>-4651.9070000000002</v>
      </c>
    </row>
    <row r="666" spans="1:9" x14ac:dyDescent="0.25">
      <c r="A666" t="s">
        <v>127</v>
      </c>
      <c r="B666" t="s">
        <v>215</v>
      </c>
      <c r="C666" t="s">
        <v>143</v>
      </c>
      <c r="D666">
        <v>750.8</v>
      </c>
      <c r="E666">
        <v>0</v>
      </c>
      <c r="F666">
        <v>-69</v>
      </c>
      <c r="G666">
        <v>-372.61700000000002</v>
      </c>
      <c r="H666">
        <v>4755.3739999999998</v>
      </c>
      <c r="I666">
        <v>-4504.7809999999999</v>
      </c>
    </row>
    <row r="667" spans="1:9" x14ac:dyDescent="0.25">
      <c r="A667" t="s">
        <v>127</v>
      </c>
      <c r="B667" t="s">
        <v>215</v>
      </c>
      <c r="C667" t="s">
        <v>3</v>
      </c>
      <c r="D667">
        <v>775.32</v>
      </c>
      <c r="E667">
        <v>0</v>
      </c>
      <c r="F667">
        <v>-69</v>
      </c>
      <c r="G667">
        <v>-372.61700000000002</v>
      </c>
      <c r="H667">
        <v>5111.4440000000004</v>
      </c>
      <c r="I667">
        <v>-4651.9070000000002</v>
      </c>
    </row>
    <row r="668" spans="1:9" x14ac:dyDescent="0.25">
      <c r="A668" t="s">
        <v>127</v>
      </c>
      <c r="B668" t="s">
        <v>216</v>
      </c>
      <c r="C668" t="s">
        <v>143</v>
      </c>
      <c r="D668">
        <v>750.8</v>
      </c>
      <c r="E668">
        <v>0</v>
      </c>
      <c r="F668">
        <v>69</v>
      </c>
      <c r="G668">
        <v>455.42</v>
      </c>
      <c r="H668">
        <v>4254.1890000000003</v>
      </c>
      <c r="I668">
        <v>-4504.7809999999999</v>
      </c>
    </row>
    <row r="669" spans="1:9" x14ac:dyDescent="0.25">
      <c r="A669" t="s">
        <v>127</v>
      </c>
      <c r="B669" t="s">
        <v>216</v>
      </c>
      <c r="C669" t="s">
        <v>3</v>
      </c>
      <c r="D669">
        <v>775.32</v>
      </c>
      <c r="E669">
        <v>0</v>
      </c>
      <c r="F669">
        <v>69</v>
      </c>
      <c r="G669">
        <v>455.42</v>
      </c>
      <c r="H669">
        <v>4192.37</v>
      </c>
      <c r="I669">
        <v>-4651.9070000000002</v>
      </c>
    </row>
    <row r="670" spans="1:9" x14ac:dyDescent="0.25">
      <c r="A670" t="s">
        <v>127</v>
      </c>
      <c r="B670" t="s">
        <v>217</v>
      </c>
      <c r="C670" t="s">
        <v>143</v>
      </c>
      <c r="D670">
        <v>750.8</v>
      </c>
      <c r="E670">
        <v>0</v>
      </c>
      <c r="F670">
        <v>69</v>
      </c>
      <c r="G670">
        <v>372.61700000000002</v>
      </c>
      <c r="H670">
        <v>4254.1890000000003</v>
      </c>
      <c r="I670">
        <v>-4504.7809999999999</v>
      </c>
    </row>
    <row r="671" spans="1:9" x14ac:dyDescent="0.25">
      <c r="A671" t="s">
        <v>127</v>
      </c>
      <c r="B671" t="s">
        <v>217</v>
      </c>
      <c r="C671" t="s">
        <v>3</v>
      </c>
      <c r="D671">
        <v>775.32</v>
      </c>
      <c r="E671">
        <v>0</v>
      </c>
      <c r="F671">
        <v>69</v>
      </c>
      <c r="G671">
        <v>372.61700000000002</v>
      </c>
      <c r="H671">
        <v>4192.37</v>
      </c>
      <c r="I671">
        <v>-4651.9070000000002</v>
      </c>
    </row>
    <row r="672" spans="1:9" x14ac:dyDescent="0.25">
      <c r="A672" t="s">
        <v>127</v>
      </c>
      <c r="B672" t="s">
        <v>218</v>
      </c>
      <c r="C672" t="s">
        <v>143</v>
      </c>
      <c r="D672">
        <v>536.28</v>
      </c>
      <c r="E672">
        <v>-69</v>
      </c>
      <c r="F672">
        <v>0</v>
      </c>
      <c r="G672">
        <v>455.42</v>
      </c>
      <c r="H672">
        <v>3217.701</v>
      </c>
      <c r="I672">
        <v>-3468.2930000000001</v>
      </c>
    </row>
    <row r="673" spans="1:9" x14ac:dyDescent="0.25">
      <c r="A673" t="s">
        <v>127</v>
      </c>
      <c r="B673" t="s">
        <v>218</v>
      </c>
      <c r="C673" t="s">
        <v>3</v>
      </c>
      <c r="D673">
        <v>553.79999999999995</v>
      </c>
      <c r="E673">
        <v>-69</v>
      </c>
      <c r="F673">
        <v>0</v>
      </c>
      <c r="G673">
        <v>455.42</v>
      </c>
      <c r="H673">
        <v>3322.7910000000002</v>
      </c>
      <c r="I673">
        <v>-3782.328</v>
      </c>
    </row>
    <row r="674" spans="1:9" x14ac:dyDescent="0.25">
      <c r="A674" t="s">
        <v>127</v>
      </c>
      <c r="B674" t="s">
        <v>219</v>
      </c>
      <c r="C674" t="s">
        <v>143</v>
      </c>
      <c r="D674">
        <v>536.28</v>
      </c>
      <c r="E674">
        <v>-69</v>
      </c>
      <c r="F674">
        <v>0</v>
      </c>
      <c r="G674">
        <v>372.61700000000002</v>
      </c>
      <c r="H674">
        <v>3217.701</v>
      </c>
      <c r="I674">
        <v>-3468.2930000000001</v>
      </c>
    </row>
    <row r="675" spans="1:9" x14ac:dyDescent="0.25">
      <c r="A675" t="s">
        <v>127</v>
      </c>
      <c r="B675" t="s">
        <v>219</v>
      </c>
      <c r="C675" t="s">
        <v>3</v>
      </c>
      <c r="D675">
        <v>553.79999999999995</v>
      </c>
      <c r="E675">
        <v>-69</v>
      </c>
      <c r="F675">
        <v>0</v>
      </c>
      <c r="G675">
        <v>372.61700000000002</v>
      </c>
      <c r="H675">
        <v>3322.7910000000002</v>
      </c>
      <c r="I675">
        <v>-3782.328</v>
      </c>
    </row>
    <row r="676" spans="1:9" x14ac:dyDescent="0.25">
      <c r="A676" t="s">
        <v>127</v>
      </c>
      <c r="B676" t="s">
        <v>220</v>
      </c>
      <c r="C676" t="s">
        <v>143</v>
      </c>
      <c r="D676">
        <v>536.28</v>
      </c>
      <c r="E676">
        <v>69</v>
      </c>
      <c r="F676">
        <v>0</v>
      </c>
      <c r="G676">
        <v>-455.42</v>
      </c>
      <c r="H676">
        <v>3217.701</v>
      </c>
      <c r="I676">
        <v>-2967.1089999999999</v>
      </c>
    </row>
    <row r="677" spans="1:9" x14ac:dyDescent="0.25">
      <c r="A677" t="s">
        <v>127</v>
      </c>
      <c r="B677" t="s">
        <v>220</v>
      </c>
      <c r="C677" t="s">
        <v>3</v>
      </c>
      <c r="D677">
        <v>553.79999999999995</v>
      </c>
      <c r="E677">
        <v>69</v>
      </c>
      <c r="F677">
        <v>0</v>
      </c>
      <c r="G677">
        <v>-455.42</v>
      </c>
      <c r="H677">
        <v>3322.7910000000002</v>
      </c>
      <c r="I677">
        <v>-2863.2539999999999</v>
      </c>
    </row>
    <row r="678" spans="1:9" x14ac:dyDescent="0.25">
      <c r="A678" t="s">
        <v>127</v>
      </c>
      <c r="B678" t="s">
        <v>221</v>
      </c>
      <c r="C678" t="s">
        <v>143</v>
      </c>
      <c r="D678">
        <v>536.28</v>
      </c>
      <c r="E678">
        <v>69</v>
      </c>
      <c r="F678">
        <v>0</v>
      </c>
      <c r="G678">
        <v>-372.61700000000002</v>
      </c>
      <c r="H678">
        <v>3217.701</v>
      </c>
      <c r="I678">
        <v>-2967.1089999999999</v>
      </c>
    </row>
    <row r="679" spans="1:9" x14ac:dyDescent="0.25">
      <c r="A679" t="s">
        <v>127</v>
      </c>
      <c r="B679" t="s">
        <v>221</v>
      </c>
      <c r="C679" t="s">
        <v>3</v>
      </c>
      <c r="D679">
        <v>553.79999999999995</v>
      </c>
      <c r="E679">
        <v>69</v>
      </c>
      <c r="F679">
        <v>0</v>
      </c>
      <c r="G679">
        <v>-372.61700000000002</v>
      </c>
      <c r="H679">
        <v>3322.7910000000002</v>
      </c>
      <c r="I679">
        <v>-2863.2539999999999</v>
      </c>
    </row>
    <row r="680" spans="1:9" x14ac:dyDescent="0.25">
      <c r="A680" t="s">
        <v>127</v>
      </c>
      <c r="B680" t="s">
        <v>222</v>
      </c>
      <c r="C680" t="s">
        <v>143</v>
      </c>
      <c r="D680">
        <v>536.28</v>
      </c>
      <c r="E680">
        <v>0</v>
      </c>
      <c r="F680">
        <v>-69</v>
      </c>
      <c r="G680">
        <v>-455.42</v>
      </c>
      <c r="H680">
        <v>3468.2930000000001</v>
      </c>
      <c r="I680">
        <v>-3217.701</v>
      </c>
    </row>
    <row r="681" spans="1:9" x14ac:dyDescent="0.25">
      <c r="A681" t="s">
        <v>127</v>
      </c>
      <c r="B681" t="s">
        <v>222</v>
      </c>
      <c r="C681" t="s">
        <v>3</v>
      </c>
      <c r="D681">
        <v>553.79999999999995</v>
      </c>
      <c r="E681">
        <v>0</v>
      </c>
      <c r="F681">
        <v>-69</v>
      </c>
      <c r="G681">
        <v>-455.42</v>
      </c>
      <c r="H681">
        <v>3782.328</v>
      </c>
      <c r="I681">
        <v>-3322.7910000000002</v>
      </c>
    </row>
    <row r="682" spans="1:9" x14ac:dyDescent="0.25">
      <c r="A682" t="s">
        <v>127</v>
      </c>
      <c r="B682" t="s">
        <v>223</v>
      </c>
      <c r="C682" t="s">
        <v>143</v>
      </c>
      <c r="D682">
        <v>536.28</v>
      </c>
      <c r="E682">
        <v>0</v>
      </c>
      <c r="F682">
        <v>-69</v>
      </c>
      <c r="G682">
        <v>-372.61700000000002</v>
      </c>
      <c r="H682">
        <v>3468.2930000000001</v>
      </c>
      <c r="I682">
        <v>-3217.701</v>
      </c>
    </row>
    <row r="683" spans="1:9" x14ac:dyDescent="0.25">
      <c r="A683" t="s">
        <v>127</v>
      </c>
      <c r="B683" t="s">
        <v>223</v>
      </c>
      <c r="C683" t="s">
        <v>3</v>
      </c>
      <c r="D683">
        <v>553.79999999999995</v>
      </c>
      <c r="E683">
        <v>0</v>
      </c>
      <c r="F683">
        <v>-69</v>
      </c>
      <c r="G683">
        <v>-372.61700000000002</v>
      </c>
      <c r="H683">
        <v>3782.328</v>
      </c>
      <c r="I683">
        <v>-3322.7910000000002</v>
      </c>
    </row>
    <row r="684" spans="1:9" x14ac:dyDescent="0.25">
      <c r="A684" t="s">
        <v>127</v>
      </c>
      <c r="B684" t="s">
        <v>224</v>
      </c>
      <c r="C684" t="s">
        <v>143</v>
      </c>
      <c r="D684">
        <v>536.28</v>
      </c>
      <c r="E684">
        <v>0</v>
      </c>
      <c r="F684">
        <v>69</v>
      </c>
      <c r="G684">
        <v>455.42</v>
      </c>
      <c r="H684">
        <v>2967.1089999999999</v>
      </c>
      <c r="I684">
        <v>-3217.701</v>
      </c>
    </row>
    <row r="685" spans="1:9" x14ac:dyDescent="0.25">
      <c r="A685" t="s">
        <v>127</v>
      </c>
      <c r="B685" t="s">
        <v>224</v>
      </c>
      <c r="C685" t="s">
        <v>3</v>
      </c>
      <c r="D685">
        <v>553.79999999999995</v>
      </c>
      <c r="E685">
        <v>0</v>
      </c>
      <c r="F685">
        <v>69</v>
      </c>
      <c r="G685">
        <v>455.42</v>
      </c>
      <c r="H685">
        <v>2863.2539999999999</v>
      </c>
      <c r="I685">
        <v>-3322.7910000000002</v>
      </c>
    </row>
    <row r="686" spans="1:9" x14ac:dyDescent="0.25">
      <c r="A686" t="s">
        <v>127</v>
      </c>
      <c r="B686" t="s">
        <v>225</v>
      </c>
      <c r="C686" t="s">
        <v>143</v>
      </c>
      <c r="D686">
        <v>536.28</v>
      </c>
      <c r="E686">
        <v>0</v>
      </c>
      <c r="F686">
        <v>69</v>
      </c>
      <c r="G686">
        <v>372.61700000000002</v>
      </c>
      <c r="H686">
        <v>2967.1089999999999</v>
      </c>
      <c r="I686">
        <v>-3217.701</v>
      </c>
    </row>
    <row r="687" spans="1:9" x14ac:dyDescent="0.25">
      <c r="A687" t="s">
        <v>127</v>
      </c>
      <c r="B687" t="s">
        <v>225</v>
      </c>
      <c r="C687" t="s">
        <v>3</v>
      </c>
      <c r="D687">
        <v>553.79999999999995</v>
      </c>
      <c r="E687">
        <v>0</v>
      </c>
      <c r="F687">
        <v>69</v>
      </c>
      <c r="G687">
        <v>372.61700000000002</v>
      </c>
      <c r="H687">
        <v>2863.2539999999999</v>
      </c>
      <c r="I687">
        <v>-3322.7910000000002</v>
      </c>
    </row>
    <row r="688" spans="1:9" x14ac:dyDescent="0.25">
      <c r="A688" t="s">
        <v>127</v>
      </c>
      <c r="B688" t="s">
        <v>226</v>
      </c>
      <c r="C688" t="s">
        <v>143</v>
      </c>
      <c r="D688">
        <v>955.03</v>
      </c>
      <c r="E688">
        <v>243.05</v>
      </c>
      <c r="F688">
        <v>0</v>
      </c>
      <c r="G688">
        <v>1607.0250000000001</v>
      </c>
      <c r="H688">
        <v>5730.1840000000002</v>
      </c>
      <c r="I688">
        <v>-4930.93</v>
      </c>
    </row>
    <row r="689" spans="1:9" x14ac:dyDescent="0.25">
      <c r="A689" t="s">
        <v>127</v>
      </c>
      <c r="B689" t="s">
        <v>226</v>
      </c>
      <c r="C689" t="s">
        <v>3</v>
      </c>
      <c r="D689">
        <v>984.11</v>
      </c>
      <c r="E689">
        <v>243.05</v>
      </c>
      <c r="F689">
        <v>0</v>
      </c>
      <c r="G689">
        <v>1607.0250000000001</v>
      </c>
      <c r="H689">
        <v>5904.6329999999998</v>
      </c>
      <c r="I689">
        <v>-4373.1409999999996</v>
      </c>
    </row>
    <row r="690" spans="1:9" x14ac:dyDescent="0.25">
      <c r="A690" t="s">
        <v>127</v>
      </c>
      <c r="B690" t="s">
        <v>227</v>
      </c>
      <c r="C690" t="s">
        <v>143</v>
      </c>
      <c r="D690">
        <v>955.03</v>
      </c>
      <c r="E690">
        <v>-243.05</v>
      </c>
      <c r="F690">
        <v>0</v>
      </c>
      <c r="G690">
        <v>-1607.0250000000001</v>
      </c>
      <c r="H690">
        <v>5730.1840000000002</v>
      </c>
      <c r="I690">
        <v>-6529.4380000000001</v>
      </c>
    </row>
    <row r="691" spans="1:9" x14ac:dyDescent="0.25">
      <c r="A691" t="s">
        <v>127</v>
      </c>
      <c r="B691" t="s">
        <v>227</v>
      </c>
      <c r="C691" t="s">
        <v>3</v>
      </c>
      <c r="D691">
        <v>984.11</v>
      </c>
      <c r="E691">
        <v>-243.05</v>
      </c>
      <c r="F691">
        <v>0</v>
      </c>
      <c r="G691">
        <v>-1607.0250000000001</v>
      </c>
      <c r="H691">
        <v>5904.6329999999998</v>
      </c>
      <c r="I691">
        <v>-7436.1239999999998</v>
      </c>
    </row>
    <row r="692" spans="1:9" x14ac:dyDescent="0.25">
      <c r="A692" t="s">
        <v>127</v>
      </c>
      <c r="B692" t="s">
        <v>228</v>
      </c>
      <c r="C692" t="s">
        <v>143</v>
      </c>
      <c r="D692">
        <v>890.68</v>
      </c>
      <c r="E692">
        <v>243.05</v>
      </c>
      <c r="F692">
        <v>0</v>
      </c>
      <c r="G692">
        <v>1607.0250000000001</v>
      </c>
      <c r="H692">
        <v>5344.06</v>
      </c>
      <c r="I692">
        <v>-4544.8059999999996</v>
      </c>
    </row>
    <row r="693" spans="1:9" x14ac:dyDescent="0.25">
      <c r="A693" t="s">
        <v>127</v>
      </c>
      <c r="B693" t="s">
        <v>228</v>
      </c>
      <c r="C693" t="s">
        <v>3</v>
      </c>
      <c r="D693">
        <v>917.65</v>
      </c>
      <c r="E693">
        <v>243.05</v>
      </c>
      <c r="F693">
        <v>0</v>
      </c>
      <c r="G693">
        <v>1607.0250000000001</v>
      </c>
      <c r="H693">
        <v>5505.8980000000001</v>
      </c>
      <c r="I693">
        <v>-3974.4059999999999</v>
      </c>
    </row>
    <row r="694" spans="1:9" x14ac:dyDescent="0.25">
      <c r="A694" t="s">
        <v>127</v>
      </c>
      <c r="B694" t="s">
        <v>229</v>
      </c>
      <c r="C694" t="s">
        <v>143</v>
      </c>
      <c r="D694">
        <v>890.68</v>
      </c>
      <c r="E694">
        <v>-243.05</v>
      </c>
      <c r="F694">
        <v>0</v>
      </c>
      <c r="G694">
        <v>-1607.0250000000001</v>
      </c>
      <c r="H694">
        <v>5344.06</v>
      </c>
      <c r="I694">
        <v>-6143.3140000000003</v>
      </c>
    </row>
    <row r="695" spans="1:9" x14ac:dyDescent="0.25">
      <c r="A695" t="s">
        <v>127</v>
      </c>
      <c r="B695" t="s">
        <v>229</v>
      </c>
      <c r="C695" t="s">
        <v>3</v>
      </c>
      <c r="D695">
        <v>917.65</v>
      </c>
      <c r="E695">
        <v>-243.05</v>
      </c>
      <c r="F695">
        <v>0</v>
      </c>
      <c r="G695">
        <v>-1607.0250000000001</v>
      </c>
      <c r="H695">
        <v>5505.8980000000001</v>
      </c>
      <c r="I695">
        <v>-7037.39</v>
      </c>
    </row>
    <row r="696" spans="1:9" x14ac:dyDescent="0.25">
      <c r="A696" t="s">
        <v>127</v>
      </c>
      <c r="B696" t="s">
        <v>230</v>
      </c>
      <c r="C696" t="s">
        <v>143</v>
      </c>
      <c r="D696">
        <v>955.03</v>
      </c>
      <c r="E696">
        <v>0</v>
      </c>
      <c r="F696">
        <v>222.8</v>
      </c>
      <c r="G696">
        <v>1473.106</v>
      </c>
      <c r="H696">
        <v>6462.8329999999996</v>
      </c>
      <c r="I696">
        <v>-5730.1840000000002</v>
      </c>
    </row>
    <row r="697" spans="1:9" x14ac:dyDescent="0.25">
      <c r="A697" t="s">
        <v>127</v>
      </c>
      <c r="B697" t="s">
        <v>230</v>
      </c>
      <c r="C697" t="s">
        <v>3</v>
      </c>
      <c r="D697">
        <v>984.11</v>
      </c>
      <c r="E697">
        <v>0</v>
      </c>
      <c r="F697">
        <v>222.8</v>
      </c>
      <c r="G697">
        <v>1473.106</v>
      </c>
      <c r="H697">
        <v>7308.5</v>
      </c>
      <c r="I697">
        <v>-5904.6329999999998</v>
      </c>
    </row>
    <row r="698" spans="1:9" x14ac:dyDescent="0.25">
      <c r="A698" t="s">
        <v>127</v>
      </c>
      <c r="B698" t="s">
        <v>231</v>
      </c>
      <c r="C698" t="s">
        <v>143</v>
      </c>
      <c r="D698">
        <v>955.03</v>
      </c>
      <c r="E698">
        <v>0</v>
      </c>
      <c r="F698">
        <v>-222.8</v>
      </c>
      <c r="G698">
        <v>-1473.106</v>
      </c>
      <c r="H698">
        <v>4997.5339999999997</v>
      </c>
      <c r="I698">
        <v>-5730.1840000000002</v>
      </c>
    </row>
    <row r="699" spans="1:9" x14ac:dyDescent="0.25">
      <c r="A699" t="s">
        <v>127</v>
      </c>
      <c r="B699" t="s">
        <v>231</v>
      </c>
      <c r="C699" t="s">
        <v>3</v>
      </c>
      <c r="D699">
        <v>984.11</v>
      </c>
      <c r="E699">
        <v>0</v>
      </c>
      <c r="F699">
        <v>-222.8</v>
      </c>
      <c r="G699">
        <v>-1473.106</v>
      </c>
      <c r="H699">
        <v>4500.7650000000003</v>
      </c>
      <c r="I699">
        <v>-5904.6329999999998</v>
      </c>
    </row>
    <row r="700" spans="1:9" x14ac:dyDescent="0.25">
      <c r="A700" t="s">
        <v>127</v>
      </c>
      <c r="B700" t="s">
        <v>232</v>
      </c>
      <c r="C700" t="s">
        <v>143</v>
      </c>
      <c r="D700">
        <v>890.68</v>
      </c>
      <c r="E700">
        <v>0</v>
      </c>
      <c r="F700">
        <v>222.8</v>
      </c>
      <c r="G700">
        <v>1473.106</v>
      </c>
      <c r="H700">
        <v>6076.7089999999998</v>
      </c>
      <c r="I700">
        <v>-5344.06</v>
      </c>
    </row>
    <row r="701" spans="1:9" x14ac:dyDescent="0.25">
      <c r="A701" t="s">
        <v>127</v>
      </c>
      <c r="B701" t="s">
        <v>232</v>
      </c>
      <c r="C701" t="s">
        <v>3</v>
      </c>
      <c r="D701">
        <v>917.65</v>
      </c>
      <c r="E701">
        <v>0</v>
      </c>
      <c r="F701">
        <v>222.8</v>
      </c>
      <c r="G701">
        <v>1473.106</v>
      </c>
      <c r="H701">
        <v>6909.7650000000003</v>
      </c>
      <c r="I701">
        <v>-5505.8980000000001</v>
      </c>
    </row>
    <row r="702" spans="1:9" x14ac:dyDescent="0.25">
      <c r="A702" t="s">
        <v>127</v>
      </c>
      <c r="B702" t="s">
        <v>233</v>
      </c>
      <c r="C702" t="s">
        <v>143</v>
      </c>
      <c r="D702">
        <v>890.68</v>
      </c>
      <c r="E702">
        <v>0</v>
      </c>
      <c r="F702">
        <v>-222.8</v>
      </c>
      <c r="G702">
        <v>-1473.106</v>
      </c>
      <c r="H702">
        <v>4611.41</v>
      </c>
      <c r="I702">
        <v>-5344.06</v>
      </c>
    </row>
    <row r="703" spans="1:9" x14ac:dyDescent="0.25">
      <c r="A703" t="s">
        <v>127</v>
      </c>
      <c r="B703" t="s">
        <v>233</v>
      </c>
      <c r="C703" t="s">
        <v>3</v>
      </c>
      <c r="D703">
        <v>917.65</v>
      </c>
      <c r="E703">
        <v>0</v>
      </c>
      <c r="F703">
        <v>-222.8</v>
      </c>
      <c r="G703">
        <v>-1473.106</v>
      </c>
      <c r="H703">
        <v>4102.03</v>
      </c>
      <c r="I703">
        <v>-5505.8980000000001</v>
      </c>
    </row>
    <row r="704" spans="1:9" x14ac:dyDescent="0.25">
      <c r="A704" t="s">
        <v>127</v>
      </c>
      <c r="B704" t="s">
        <v>234</v>
      </c>
      <c r="C704" t="s">
        <v>143</v>
      </c>
      <c r="D704">
        <v>1030.1099999999999</v>
      </c>
      <c r="E704">
        <v>72.91</v>
      </c>
      <c r="F704">
        <v>0</v>
      </c>
      <c r="G704">
        <v>482.108</v>
      </c>
      <c r="H704">
        <v>6180.6620000000003</v>
      </c>
      <c r="I704">
        <v>-5940.8860000000004</v>
      </c>
    </row>
    <row r="705" spans="1:9" x14ac:dyDescent="0.25">
      <c r="A705" t="s">
        <v>127</v>
      </c>
      <c r="B705" t="s">
        <v>234</v>
      </c>
      <c r="C705" t="s">
        <v>3</v>
      </c>
      <c r="D705">
        <v>1061.6400000000001</v>
      </c>
      <c r="E705">
        <v>72.91</v>
      </c>
      <c r="F705">
        <v>0</v>
      </c>
      <c r="G705">
        <v>482.108</v>
      </c>
      <c r="H705">
        <v>6369.8230000000003</v>
      </c>
      <c r="I705">
        <v>-5910.3760000000002</v>
      </c>
    </row>
    <row r="706" spans="1:9" x14ac:dyDescent="0.25">
      <c r="A706" t="s">
        <v>127</v>
      </c>
      <c r="B706" t="s">
        <v>235</v>
      </c>
      <c r="C706" t="s">
        <v>143</v>
      </c>
      <c r="D706">
        <v>1030.1099999999999</v>
      </c>
      <c r="E706">
        <v>-72.91</v>
      </c>
      <c r="F706">
        <v>0</v>
      </c>
      <c r="G706">
        <v>-482.108</v>
      </c>
      <c r="H706">
        <v>6180.6620000000003</v>
      </c>
      <c r="I706">
        <v>-6420.4380000000001</v>
      </c>
    </row>
    <row r="707" spans="1:9" x14ac:dyDescent="0.25">
      <c r="A707" t="s">
        <v>127</v>
      </c>
      <c r="B707" t="s">
        <v>235</v>
      </c>
      <c r="C707" t="s">
        <v>3</v>
      </c>
      <c r="D707">
        <v>1061.6400000000001</v>
      </c>
      <c r="E707">
        <v>-72.91</v>
      </c>
      <c r="F707">
        <v>0</v>
      </c>
      <c r="G707">
        <v>-482.108</v>
      </c>
      <c r="H707">
        <v>6369.8230000000003</v>
      </c>
      <c r="I707">
        <v>-6829.2709999999997</v>
      </c>
    </row>
    <row r="708" spans="1:9" x14ac:dyDescent="0.25">
      <c r="A708" t="s">
        <v>127</v>
      </c>
      <c r="B708" t="s">
        <v>236</v>
      </c>
      <c r="C708" t="s">
        <v>143</v>
      </c>
      <c r="D708">
        <v>815.6</v>
      </c>
      <c r="E708">
        <v>72.91</v>
      </c>
      <c r="F708">
        <v>0</v>
      </c>
      <c r="G708">
        <v>482.108</v>
      </c>
      <c r="H708">
        <v>4893.5810000000001</v>
      </c>
      <c r="I708">
        <v>-4653.8050000000003</v>
      </c>
    </row>
    <row r="709" spans="1:9" x14ac:dyDescent="0.25">
      <c r="A709" t="s">
        <v>127</v>
      </c>
      <c r="B709" t="s">
        <v>236</v>
      </c>
      <c r="C709" t="s">
        <v>3</v>
      </c>
      <c r="D709">
        <v>840.12</v>
      </c>
      <c r="E709">
        <v>72.91</v>
      </c>
      <c r="F709">
        <v>0</v>
      </c>
      <c r="G709">
        <v>482.108</v>
      </c>
      <c r="H709">
        <v>5040.7070000000003</v>
      </c>
      <c r="I709">
        <v>-4581.26</v>
      </c>
    </row>
    <row r="710" spans="1:9" x14ac:dyDescent="0.25">
      <c r="A710" t="s">
        <v>127</v>
      </c>
      <c r="B710" t="s">
        <v>237</v>
      </c>
      <c r="C710" t="s">
        <v>143</v>
      </c>
      <c r="D710">
        <v>815.6</v>
      </c>
      <c r="E710">
        <v>-72.91</v>
      </c>
      <c r="F710">
        <v>0</v>
      </c>
      <c r="G710">
        <v>-482.108</v>
      </c>
      <c r="H710">
        <v>4893.5810000000001</v>
      </c>
      <c r="I710">
        <v>-5133.3580000000002</v>
      </c>
    </row>
    <row r="711" spans="1:9" x14ac:dyDescent="0.25">
      <c r="A711" t="s">
        <v>127</v>
      </c>
      <c r="B711" t="s">
        <v>237</v>
      </c>
      <c r="C711" t="s">
        <v>3</v>
      </c>
      <c r="D711">
        <v>840.12</v>
      </c>
      <c r="E711">
        <v>-72.91</v>
      </c>
      <c r="F711">
        <v>0</v>
      </c>
      <c r="G711">
        <v>-482.108</v>
      </c>
      <c r="H711">
        <v>5040.7070000000003</v>
      </c>
      <c r="I711">
        <v>-5500.1549999999997</v>
      </c>
    </row>
    <row r="712" spans="1:9" x14ac:dyDescent="0.25">
      <c r="A712" t="s">
        <v>127</v>
      </c>
      <c r="B712" t="s">
        <v>238</v>
      </c>
      <c r="C712" t="s">
        <v>143</v>
      </c>
      <c r="D712">
        <v>1030.1099999999999</v>
      </c>
      <c r="E712">
        <v>0</v>
      </c>
      <c r="F712">
        <v>66.84</v>
      </c>
      <c r="G712">
        <v>441.93200000000002</v>
      </c>
      <c r="H712">
        <v>6400.4570000000003</v>
      </c>
      <c r="I712">
        <v>-6180.6620000000003</v>
      </c>
    </row>
    <row r="713" spans="1:9" x14ac:dyDescent="0.25">
      <c r="A713" t="s">
        <v>127</v>
      </c>
      <c r="B713" t="s">
        <v>238</v>
      </c>
      <c r="C713" t="s">
        <v>3</v>
      </c>
      <c r="D713">
        <v>1061.6400000000001</v>
      </c>
      <c r="E713">
        <v>0</v>
      </c>
      <c r="F713">
        <v>66.84</v>
      </c>
      <c r="G713">
        <v>441.93200000000002</v>
      </c>
      <c r="H713">
        <v>6790.9840000000004</v>
      </c>
      <c r="I713">
        <v>-6369.8230000000003</v>
      </c>
    </row>
    <row r="714" spans="1:9" x14ac:dyDescent="0.25">
      <c r="A714" t="s">
        <v>127</v>
      </c>
      <c r="B714" t="s">
        <v>239</v>
      </c>
      <c r="C714" t="s">
        <v>143</v>
      </c>
      <c r="D714">
        <v>1030.1099999999999</v>
      </c>
      <c r="E714">
        <v>0</v>
      </c>
      <c r="F714">
        <v>-66.84</v>
      </c>
      <c r="G714">
        <v>-441.93200000000002</v>
      </c>
      <c r="H714">
        <v>5960.8670000000002</v>
      </c>
      <c r="I714">
        <v>-6180.6620000000003</v>
      </c>
    </row>
    <row r="715" spans="1:9" x14ac:dyDescent="0.25">
      <c r="A715" t="s">
        <v>127</v>
      </c>
      <c r="B715" t="s">
        <v>239</v>
      </c>
      <c r="C715" t="s">
        <v>3</v>
      </c>
      <c r="D715">
        <v>1061.6400000000001</v>
      </c>
      <c r="E715">
        <v>0</v>
      </c>
      <c r="F715">
        <v>-66.84</v>
      </c>
      <c r="G715">
        <v>-441.93200000000002</v>
      </c>
      <c r="H715">
        <v>5948.6629999999996</v>
      </c>
      <c r="I715">
        <v>-6369.8230000000003</v>
      </c>
    </row>
    <row r="716" spans="1:9" x14ac:dyDescent="0.25">
      <c r="A716" t="s">
        <v>127</v>
      </c>
      <c r="B716" t="s">
        <v>240</v>
      </c>
      <c r="C716" t="s">
        <v>143</v>
      </c>
      <c r="D716">
        <v>815.6</v>
      </c>
      <c r="E716">
        <v>0</v>
      </c>
      <c r="F716">
        <v>66.84</v>
      </c>
      <c r="G716">
        <v>441.93200000000002</v>
      </c>
      <c r="H716">
        <v>5113.3760000000002</v>
      </c>
      <c r="I716">
        <v>-4893.5810000000001</v>
      </c>
    </row>
    <row r="717" spans="1:9" x14ac:dyDescent="0.25">
      <c r="A717" t="s">
        <v>127</v>
      </c>
      <c r="B717" t="s">
        <v>240</v>
      </c>
      <c r="C717" t="s">
        <v>3</v>
      </c>
      <c r="D717">
        <v>840.12</v>
      </c>
      <c r="E717">
        <v>0</v>
      </c>
      <c r="F717">
        <v>66.84</v>
      </c>
      <c r="G717">
        <v>441.93200000000002</v>
      </c>
      <c r="H717">
        <v>5461.8670000000002</v>
      </c>
      <c r="I717">
        <v>-5040.7070000000003</v>
      </c>
    </row>
    <row r="718" spans="1:9" x14ac:dyDescent="0.25">
      <c r="A718" t="s">
        <v>127</v>
      </c>
      <c r="B718" t="s">
        <v>241</v>
      </c>
      <c r="C718" t="s">
        <v>143</v>
      </c>
      <c r="D718">
        <v>815.6</v>
      </c>
      <c r="E718">
        <v>0</v>
      </c>
      <c r="F718">
        <v>-66.84</v>
      </c>
      <c r="G718">
        <v>-441.93200000000002</v>
      </c>
      <c r="H718">
        <v>4673.7870000000003</v>
      </c>
      <c r="I718">
        <v>-4893.5810000000001</v>
      </c>
    </row>
    <row r="719" spans="1:9" x14ac:dyDescent="0.25">
      <c r="A719" t="s">
        <v>127</v>
      </c>
      <c r="B719" t="s">
        <v>241</v>
      </c>
      <c r="C719" t="s">
        <v>3</v>
      </c>
      <c r="D719">
        <v>840.12</v>
      </c>
      <c r="E719">
        <v>0</v>
      </c>
      <c r="F719">
        <v>-66.84</v>
      </c>
      <c r="G719">
        <v>-441.93200000000002</v>
      </c>
      <c r="H719">
        <v>4619.5469999999996</v>
      </c>
      <c r="I719">
        <v>-5040.7070000000003</v>
      </c>
    </row>
    <row r="720" spans="1:9" x14ac:dyDescent="0.25">
      <c r="A720" t="s">
        <v>127</v>
      </c>
      <c r="B720" t="s">
        <v>242</v>
      </c>
      <c r="C720" t="s">
        <v>143</v>
      </c>
      <c r="D720">
        <v>675.72</v>
      </c>
      <c r="E720">
        <v>243.05</v>
      </c>
      <c r="F720">
        <v>0</v>
      </c>
      <c r="G720">
        <v>1607.0250000000001</v>
      </c>
      <c r="H720">
        <v>4054.3029999999999</v>
      </c>
      <c r="I720">
        <v>-3255.049</v>
      </c>
    </row>
    <row r="721" spans="1:9" x14ac:dyDescent="0.25">
      <c r="A721" t="s">
        <v>127</v>
      </c>
      <c r="B721" t="s">
        <v>242</v>
      </c>
      <c r="C721" t="s">
        <v>3</v>
      </c>
      <c r="D721">
        <v>697.79</v>
      </c>
      <c r="E721">
        <v>243.05</v>
      </c>
      <c r="F721">
        <v>0</v>
      </c>
      <c r="G721">
        <v>1607.0250000000001</v>
      </c>
      <c r="H721">
        <v>4186.7160000000003</v>
      </c>
      <c r="I721">
        <v>-2655.2249999999999</v>
      </c>
    </row>
    <row r="722" spans="1:9" x14ac:dyDescent="0.25">
      <c r="A722" t="s">
        <v>127</v>
      </c>
      <c r="B722" t="s">
        <v>243</v>
      </c>
      <c r="C722" t="s">
        <v>143</v>
      </c>
      <c r="D722">
        <v>675.72</v>
      </c>
      <c r="E722">
        <v>-243.05</v>
      </c>
      <c r="F722">
        <v>0</v>
      </c>
      <c r="G722">
        <v>-1607.0250000000001</v>
      </c>
      <c r="H722">
        <v>4054.3029999999999</v>
      </c>
      <c r="I722">
        <v>-4853.5569999999998</v>
      </c>
    </row>
    <row r="723" spans="1:9" x14ac:dyDescent="0.25">
      <c r="A723" t="s">
        <v>127</v>
      </c>
      <c r="B723" t="s">
        <v>243</v>
      </c>
      <c r="C723" t="s">
        <v>3</v>
      </c>
      <c r="D723">
        <v>697.79</v>
      </c>
      <c r="E723">
        <v>-243.05</v>
      </c>
      <c r="F723">
        <v>0</v>
      </c>
      <c r="G723">
        <v>-1607.0250000000001</v>
      </c>
      <c r="H723">
        <v>4186.7160000000003</v>
      </c>
      <c r="I723">
        <v>-5718.2079999999996</v>
      </c>
    </row>
    <row r="724" spans="1:9" x14ac:dyDescent="0.25">
      <c r="A724" t="s">
        <v>127</v>
      </c>
      <c r="B724" t="s">
        <v>244</v>
      </c>
      <c r="C724" t="s">
        <v>143</v>
      </c>
      <c r="D724">
        <v>611.36</v>
      </c>
      <c r="E724">
        <v>243.05</v>
      </c>
      <c r="F724">
        <v>0</v>
      </c>
      <c r="G724">
        <v>1607.0250000000001</v>
      </c>
      <c r="H724">
        <v>3668.1790000000001</v>
      </c>
      <c r="I724">
        <v>-2868.9250000000002</v>
      </c>
    </row>
    <row r="725" spans="1:9" x14ac:dyDescent="0.25">
      <c r="A725" t="s">
        <v>127</v>
      </c>
      <c r="B725" t="s">
        <v>244</v>
      </c>
      <c r="C725" t="s">
        <v>3</v>
      </c>
      <c r="D725">
        <v>631.33000000000004</v>
      </c>
      <c r="E725">
        <v>243.05</v>
      </c>
      <c r="F725">
        <v>0</v>
      </c>
      <c r="G725">
        <v>1607.0250000000001</v>
      </c>
      <c r="H725">
        <v>3787.9810000000002</v>
      </c>
      <c r="I725">
        <v>-2256.4899999999998</v>
      </c>
    </row>
    <row r="726" spans="1:9" x14ac:dyDescent="0.25">
      <c r="A726" t="s">
        <v>127</v>
      </c>
      <c r="B726" t="s">
        <v>245</v>
      </c>
      <c r="C726" t="s">
        <v>143</v>
      </c>
      <c r="D726">
        <v>611.36</v>
      </c>
      <c r="E726">
        <v>-243.05</v>
      </c>
      <c r="F726">
        <v>0</v>
      </c>
      <c r="G726">
        <v>-1607.0250000000001</v>
      </c>
      <c r="H726">
        <v>3668.1790000000001</v>
      </c>
      <c r="I726">
        <v>-4467.433</v>
      </c>
    </row>
    <row r="727" spans="1:9" x14ac:dyDescent="0.25">
      <c r="A727" t="s">
        <v>127</v>
      </c>
      <c r="B727" t="s">
        <v>245</v>
      </c>
      <c r="C727" t="s">
        <v>3</v>
      </c>
      <c r="D727">
        <v>631.33000000000004</v>
      </c>
      <c r="E727">
        <v>-243.05</v>
      </c>
      <c r="F727">
        <v>0</v>
      </c>
      <c r="G727">
        <v>-1607.0250000000001</v>
      </c>
      <c r="H727">
        <v>3787.9810000000002</v>
      </c>
      <c r="I727">
        <v>-5319.473</v>
      </c>
    </row>
    <row r="728" spans="1:9" x14ac:dyDescent="0.25">
      <c r="A728" t="s">
        <v>127</v>
      </c>
      <c r="B728" t="s">
        <v>246</v>
      </c>
      <c r="C728" t="s">
        <v>143</v>
      </c>
      <c r="D728">
        <v>675.72</v>
      </c>
      <c r="E728">
        <v>0</v>
      </c>
      <c r="F728">
        <v>222.8</v>
      </c>
      <c r="G728">
        <v>1473.106</v>
      </c>
      <c r="H728">
        <v>4786.9530000000004</v>
      </c>
      <c r="I728">
        <v>-4054.3029999999999</v>
      </c>
    </row>
    <row r="729" spans="1:9" x14ac:dyDescent="0.25">
      <c r="A729" t="s">
        <v>127</v>
      </c>
      <c r="B729" t="s">
        <v>246</v>
      </c>
      <c r="C729" t="s">
        <v>3</v>
      </c>
      <c r="D729">
        <v>697.79</v>
      </c>
      <c r="E729">
        <v>0</v>
      </c>
      <c r="F729">
        <v>222.8</v>
      </c>
      <c r="G729">
        <v>1473.106</v>
      </c>
      <c r="H729">
        <v>5590.5839999999998</v>
      </c>
      <c r="I729">
        <v>-4186.7160000000003</v>
      </c>
    </row>
    <row r="730" spans="1:9" x14ac:dyDescent="0.25">
      <c r="A730" t="s">
        <v>127</v>
      </c>
      <c r="B730" t="s">
        <v>247</v>
      </c>
      <c r="C730" t="s">
        <v>143</v>
      </c>
      <c r="D730">
        <v>675.72</v>
      </c>
      <c r="E730">
        <v>0</v>
      </c>
      <c r="F730">
        <v>-222.8</v>
      </c>
      <c r="G730">
        <v>-1473.106</v>
      </c>
      <c r="H730">
        <v>3321.654</v>
      </c>
      <c r="I730">
        <v>-4054.3029999999999</v>
      </c>
    </row>
    <row r="731" spans="1:9" x14ac:dyDescent="0.25">
      <c r="A731" t="s">
        <v>127</v>
      </c>
      <c r="B731" t="s">
        <v>247</v>
      </c>
      <c r="C731" t="s">
        <v>3</v>
      </c>
      <c r="D731">
        <v>697.79</v>
      </c>
      <c r="E731">
        <v>0</v>
      </c>
      <c r="F731">
        <v>-222.8</v>
      </c>
      <c r="G731">
        <v>-1473.106</v>
      </c>
      <c r="H731">
        <v>2782.8490000000002</v>
      </c>
      <c r="I731">
        <v>-4186.7160000000003</v>
      </c>
    </row>
    <row r="732" spans="1:9" x14ac:dyDescent="0.25">
      <c r="A732" t="s">
        <v>127</v>
      </c>
      <c r="B732" t="s">
        <v>248</v>
      </c>
      <c r="C732" t="s">
        <v>143</v>
      </c>
      <c r="D732">
        <v>611.36</v>
      </c>
      <c r="E732">
        <v>0</v>
      </c>
      <c r="F732">
        <v>222.8</v>
      </c>
      <c r="G732">
        <v>1473.106</v>
      </c>
      <c r="H732">
        <v>4400.8289999999997</v>
      </c>
      <c r="I732">
        <v>-3668.1790000000001</v>
      </c>
    </row>
    <row r="733" spans="1:9" x14ac:dyDescent="0.25">
      <c r="A733" t="s">
        <v>127</v>
      </c>
      <c r="B733" t="s">
        <v>248</v>
      </c>
      <c r="C733" t="s">
        <v>3</v>
      </c>
      <c r="D733">
        <v>631.33000000000004</v>
      </c>
      <c r="E733">
        <v>0</v>
      </c>
      <c r="F733">
        <v>222.8</v>
      </c>
      <c r="G733">
        <v>1473.106</v>
      </c>
      <c r="H733">
        <v>5191.8490000000002</v>
      </c>
      <c r="I733">
        <v>-3787.9810000000002</v>
      </c>
    </row>
    <row r="734" spans="1:9" x14ac:dyDescent="0.25">
      <c r="A734" t="s">
        <v>127</v>
      </c>
      <c r="B734" t="s">
        <v>249</v>
      </c>
      <c r="C734" t="s">
        <v>143</v>
      </c>
      <c r="D734">
        <v>611.36</v>
      </c>
      <c r="E734">
        <v>0</v>
      </c>
      <c r="F734">
        <v>-222.8</v>
      </c>
      <c r="G734">
        <v>-1473.106</v>
      </c>
      <c r="H734">
        <v>2935.53</v>
      </c>
      <c r="I734">
        <v>-3668.1790000000001</v>
      </c>
    </row>
    <row r="735" spans="1:9" x14ac:dyDescent="0.25">
      <c r="A735" t="s">
        <v>127</v>
      </c>
      <c r="B735" t="s">
        <v>249</v>
      </c>
      <c r="C735" t="s">
        <v>3</v>
      </c>
      <c r="D735">
        <v>631.33000000000004</v>
      </c>
      <c r="E735">
        <v>0</v>
      </c>
      <c r="F735">
        <v>-222.8</v>
      </c>
      <c r="G735">
        <v>-1473.106</v>
      </c>
      <c r="H735">
        <v>2384.114</v>
      </c>
      <c r="I735">
        <v>-3787.9810000000002</v>
      </c>
    </row>
    <row r="736" spans="1:9" x14ac:dyDescent="0.25">
      <c r="A736" t="s">
        <v>127</v>
      </c>
      <c r="B736" t="s">
        <v>250</v>
      </c>
      <c r="C736" t="s">
        <v>143</v>
      </c>
      <c r="D736">
        <v>750.8</v>
      </c>
      <c r="E736">
        <v>72.91</v>
      </c>
      <c r="F736">
        <v>0</v>
      </c>
      <c r="G736">
        <v>482.108</v>
      </c>
      <c r="H736">
        <v>4504.7809999999999</v>
      </c>
      <c r="I736">
        <v>-4265.0050000000001</v>
      </c>
    </row>
    <row r="737" spans="1:9" x14ac:dyDescent="0.25">
      <c r="A737" t="s">
        <v>127</v>
      </c>
      <c r="B737" t="s">
        <v>250</v>
      </c>
      <c r="C737" t="s">
        <v>3</v>
      </c>
      <c r="D737">
        <v>775.32</v>
      </c>
      <c r="E737">
        <v>72.91</v>
      </c>
      <c r="F737">
        <v>0</v>
      </c>
      <c r="G737">
        <v>482.108</v>
      </c>
      <c r="H737">
        <v>4651.9070000000002</v>
      </c>
      <c r="I737">
        <v>-4192.46</v>
      </c>
    </row>
    <row r="738" spans="1:9" x14ac:dyDescent="0.25">
      <c r="A738" t="s">
        <v>127</v>
      </c>
      <c r="B738" t="s">
        <v>251</v>
      </c>
      <c r="C738" t="s">
        <v>143</v>
      </c>
      <c r="D738">
        <v>750.8</v>
      </c>
      <c r="E738">
        <v>-72.91</v>
      </c>
      <c r="F738">
        <v>0</v>
      </c>
      <c r="G738">
        <v>-482.108</v>
      </c>
      <c r="H738">
        <v>4504.7809999999999</v>
      </c>
      <c r="I738">
        <v>-4744.558</v>
      </c>
    </row>
    <row r="739" spans="1:9" x14ac:dyDescent="0.25">
      <c r="A739" t="s">
        <v>127</v>
      </c>
      <c r="B739" t="s">
        <v>251</v>
      </c>
      <c r="C739" t="s">
        <v>3</v>
      </c>
      <c r="D739">
        <v>775.32</v>
      </c>
      <c r="E739">
        <v>-72.91</v>
      </c>
      <c r="F739">
        <v>0</v>
      </c>
      <c r="G739">
        <v>-482.108</v>
      </c>
      <c r="H739">
        <v>4651.9070000000002</v>
      </c>
      <c r="I739">
        <v>-5111.3549999999996</v>
      </c>
    </row>
    <row r="740" spans="1:9" x14ac:dyDescent="0.25">
      <c r="A740" t="s">
        <v>127</v>
      </c>
      <c r="B740" t="s">
        <v>252</v>
      </c>
      <c r="C740" t="s">
        <v>143</v>
      </c>
      <c r="D740">
        <v>536.28</v>
      </c>
      <c r="E740">
        <v>72.91</v>
      </c>
      <c r="F740">
        <v>0</v>
      </c>
      <c r="G740">
        <v>482.108</v>
      </c>
      <c r="H740">
        <v>3217.701</v>
      </c>
      <c r="I740">
        <v>-2977.9250000000002</v>
      </c>
    </row>
    <row r="741" spans="1:9" x14ac:dyDescent="0.25">
      <c r="A741" t="s">
        <v>127</v>
      </c>
      <c r="B741" t="s">
        <v>252</v>
      </c>
      <c r="C741" t="s">
        <v>3</v>
      </c>
      <c r="D741">
        <v>553.79999999999995</v>
      </c>
      <c r="E741">
        <v>72.91</v>
      </c>
      <c r="F741">
        <v>0</v>
      </c>
      <c r="G741">
        <v>482.108</v>
      </c>
      <c r="H741">
        <v>3322.7910000000002</v>
      </c>
      <c r="I741">
        <v>-2863.3429999999998</v>
      </c>
    </row>
    <row r="742" spans="1:9" x14ac:dyDescent="0.25">
      <c r="A742" t="s">
        <v>127</v>
      </c>
      <c r="B742" t="s">
        <v>253</v>
      </c>
      <c r="C742" t="s">
        <v>143</v>
      </c>
      <c r="D742">
        <v>536.28</v>
      </c>
      <c r="E742">
        <v>-72.91</v>
      </c>
      <c r="F742">
        <v>0</v>
      </c>
      <c r="G742">
        <v>-482.108</v>
      </c>
      <c r="H742">
        <v>3217.701</v>
      </c>
      <c r="I742">
        <v>-3457.4769999999999</v>
      </c>
    </row>
    <row r="743" spans="1:9" x14ac:dyDescent="0.25">
      <c r="A743" t="s">
        <v>127</v>
      </c>
      <c r="B743" t="s">
        <v>253</v>
      </c>
      <c r="C743" t="s">
        <v>3</v>
      </c>
      <c r="D743">
        <v>553.79999999999995</v>
      </c>
      <c r="E743">
        <v>-72.91</v>
      </c>
      <c r="F743">
        <v>0</v>
      </c>
      <c r="G743">
        <v>-482.108</v>
      </c>
      <c r="H743">
        <v>3322.7910000000002</v>
      </c>
      <c r="I743">
        <v>-3782.2379999999998</v>
      </c>
    </row>
    <row r="744" spans="1:9" x14ac:dyDescent="0.25">
      <c r="A744" t="s">
        <v>127</v>
      </c>
      <c r="B744" t="s">
        <v>254</v>
      </c>
      <c r="C744" t="s">
        <v>143</v>
      </c>
      <c r="D744">
        <v>750.8</v>
      </c>
      <c r="E744">
        <v>0</v>
      </c>
      <c r="F744">
        <v>66.84</v>
      </c>
      <c r="G744">
        <v>441.93200000000002</v>
      </c>
      <c r="H744">
        <v>4724.576</v>
      </c>
      <c r="I744">
        <v>-4504.7809999999999</v>
      </c>
    </row>
    <row r="745" spans="1:9" x14ac:dyDescent="0.25">
      <c r="A745" t="s">
        <v>127</v>
      </c>
      <c r="B745" t="s">
        <v>254</v>
      </c>
      <c r="C745" t="s">
        <v>3</v>
      </c>
      <c r="D745">
        <v>775.32</v>
      </c>
      <c r="E745">
        <v>0</v>
      </c>
      <c r="F745">
        <v>66.84</v>
      </c>
      <c r="G745">
        <v>441.93200000000002</v>
      </c>
      <c r="H745">
        <v>5073.067</v>
      </c>
      <c r="I745">
        <v>-4651.9070000000002</v>
      </c>
    </row>
    <row r="746" spans="1:9" x14ac:dyDescent="0.25">
      <c r="A746" t="s">
        <v>127</v>
      </c>
      <c r="B746" t="s">
        <v>255</v>
      </c>
      <c r="C746" t="s">
        <v>143</v>
      </c>
      <c r="D746">
        <v>750.8</v>
      </c>
      <c r="E746">
        <v>0</v>
      </c>
      <c r="F746">
        <v>-66.84</v>
      </c>
      <c r="G746">
        <v>-441.93200000000002</v>
      </c>
      <c r="H746">
        <v>4284.9870000000001</v>
      </c>
      <c r="I746">
        <v>-4504.7809999999999</v>
      </c>
    </row>
    <row r="747" spans="1:9" x14ac:dyDescent="0.25">
      <c r="A747" t="s">
        <v>127</v>
      </c>
      <c r="B747" t="s">
        <v>255</v>
      </c>
      <c r="C747" t="s">
        <v>3</v>
      </c>
      <c r="D747">
        <v>775.32</v>
      </c>
      <c r="E747">
        <v>0</v>
      </c>
      <c r="F747">
        <v>-66.84</v>
      </c>
      <c r="G747">
        <v>-441.93200000000002</v>
      </c>
      <c r="H747">
        <v>4230.7470000000003</v>
      </c>
      <c r="I747">
        <v>-4651.9070000000002</v>
      </c>
    </row>
    <row r="748" spans="1:9" x14ac:dyDescent="0.25">
      <c r="A748" t="s">
        <v>127</v>
      </c>
      <c r="B748" t="s">
        <v>256</v>
      </c>
      <c r="C748" t="s">
        <v>143</v>
      </c>
      <c r="D748">
        <v>536.28</v>
      </c>
      <c r="E748">
        <v>0</v>
      </c>
      <c r="F748">
        <v>66.84</v>
      </c>
      <c r="G748">
        <v>441.93200000000002</v>
      </c>
      <c r="H748">
        <v>3437.4960000000001</v>
      </c>
      <c r="I748">
        <v>-3217.701</v>
      </c>
    </row>
    <row r="749" spans="1:9" x14ac:dyDescent="0.25">
      <c r="A749" t="s">
        <v>127</v>
      </c>
      <c r="B749" t="s">
        <v>256</v>
      </c>
      <c r="C749" t="s">
        <v>3</v>
      </c>
      <c r="D749">
        <v>553.79999999999995</v>
      </c>
      <c r="E749">
        <v>0</v>
      </c>
      <c r="F749">
        <v>66.84</v>
      </c>
      <c r="G749">
        <v>441.93200000000002</v>
      </c>
      <c r="H749">
        <v>3743.951</v>
      </c>
      <c r="I749">
        <v>-3322.7910000000002</v>
      </c>
    </row>
    <row r="750" spans="1:9" x14ac:dyDescent="0.25">
      <c r="A750" t="s">
        <v>127</v>
      </c>
      <c r="B750" t="s">
        <v>257</v>
      </c>
      <c r="C750" t="s">
        <v>143</v>
      </c>
      <c r="D750">
        <v>536.28</v>
      </c>
      <c r="E750">
        <v>0</v>
      </c>
      <c r="F750">
        <v>-66.84</v>
      </c>
      <c r="G750">
        <v>-441.93200000000002</v>
      </c>
      <c r="H750">
        <v>2997.9059999999999</v>
      </c>
      <c r="I750">
        <v>-3217.701</v>
      </c>
    </row>
    <row r="751" spans="1:9" x14ac:dyDescent="0.25">
      <c r="A751" t="s">
        <v>127</v>
      </c>
      <c r="B751" t="s">
        <v>257</v>
      </c>
      <c r="C751" t="s">
        <v>3</v>
      </c>
      <c r="D751">
        <v>553.79999999999995</v>
      </c>
      <c r="E751">
        <v>0</v>
      </c>
      <c r="F751">
        <v>-66.84</v>
      </c>
      <c r="G751">
        <v>-441.93200000000002</v>
      </c>
      <c r="H751">
        <v>2901.6309999999999</v>
      </c>
      <c r="I751">
        <v>-3322.7910000000002</v>
      </c>
    </row>
    <row r="752" spans="1:9" x14ac:dyDescent="0.25">
      <c r="A752" t="s">
        <v>9</v>
      </c>
      <c r="B752" t="s">
        <v>2</v>
      </c>
      <c r="C752" t="s">
        <v>143</v>
      </c>
      <c r="D752">
        <v>961.18</v>
      </c>
      <c r="E752">
        <v>0</v>
      </c>
      <c r="F752">
        <v>0</v>
      </c>
      <c r="G752">
        <v>0</v>
      </c>
      <c r="H752">
        <v>5767.0640000000003</v>
      </c>
      <c r="I752">
        <v>-5767.0640000000003</v>
      </c>
    </row>
    <row r="753" spans="1:9" x14ac:dyDescent="0.25">
      <c r="A753" t="s">
        <v>9</v>
      </c>
      <c r="B753" t="s">
        <v>2</v>
      </c>
      <c r="C753" t="s">
        <v>3</v>
      </c>
      <c r="D753">
        <v>984.53</v>
      </c>
      <c r="E753">
        <v>0</v>
      </c>
      <c r="F753">
        <v>0</v>
      </c>
      <c r="G753">
        <v>0</v>
      </c>
      <c r="H753">
        <v>5907.1840000000002</v>
      </c>
      <c r="I753">
        <v>-5907.1840000000002</v>
      </c>
    </row>
    <row r="754" spans="1:9" x14ac:dyDescent="0.25">
      <c r="A754" t="s">
        <v>9</v>
      </c>
      <c r="B754" t="s">
        <v>144</v>
      </c>
      <c r="C754" t="s">
        <v>143</v>
      </c>
      <c r="D754">
        <v>172.8</v>
      </c>
      <c r="E754">
        <v>0</v>
      </c>
      <c r="F754">
        <v>0</v>
      </c>
      <c r="G754">
        <v>0</v>
      </c>
      <c r="H754">
        <v>1036.8</v>
      </c>
      <c r="I754">
        <v>-1036.8</v>
      </c>
    </row>
    <row r="755" spans="1:9" x14ac:dyDescent="0.25">
      <c r="A755" t="s">
        <v>9</v>
      </c>
      <c r="B755" t="s">
        <v>144</v>
      </c>
      <c r="C755" t="s">
        <v>3</v>
      </c>
      <c r="D755">
        <v>172.8</v>
      </c>
      <c r="E755">
        <v>0</v>
      </c>
      <c r="F755">
        <v>0</v>
      </c>
      <c r="G755">
        <v>0</v>
      </c>
      <c r="H755">
        <v>1036.8</v>
      </c>
      <c r="I755">
        <v>-1036.8</v>
      </c>
    </row>
    <row r="756" spans="1:9" x14ac:dyDescent="0.25">
      <c r="A756" t="s">
        <v>9</v>
      </c>
      <c r="B756" t="s">
        <v>12</v>
      </c>
      <c r="C756" t="s">
        <v>143</v>
      </c>
      <c r="D756">
        <v>0</v>
      </c>
      <c r="E756">
        <v>-256.13</v>
      </c>
      <c r="F756">
        <v>0</v>
      </c>
      <c r="G756">
        <v>1690.4690000000001</v>
      </c>
      <c r="H756">
        <v>0</v>
      </c>
      <c r="I756">
        <v>-1531.7909999999999</v>
      </c>
    </row>
    <row r="757" spans="1:9" x14ac:dyDescent="0.25">
      <c r="A757" t="s">
        <v>9</v>
      </c>
      <c r="B757" t="s">
        <v>12</v>
      </c>
      <c r="C757" t="s">
        <v>3</v>
      </c>
      <c r="D757">
        <v>0</v>
      </c>
      <c r="E757">
        <v>-256.13</v>
      </c>
      <c r="F757">
        <v>0</v>
      </c>
      <c r="G757">
        <v>1690.4690000000001</v>
      </c>
      <c r="H757">
        <v>0</v>
      </c>
      <c r="I757">
        <v>-2316.5059999999999</v>
      </c>
    </row>
    <row r="758" spans="1:9" x14ac:dyDescent="0.25">
      <c r="A758" t="s">
        <v>9</v>
      </c>
      <c r="B758" t="s">
        <v>13</v>
      </c>
      <c r="C758" t="s">
        <v>143</v>
      </c>
      <c r="D758">
        <v>0</v>
      </c>
      <c r="E758">
        <v>-256.13</v>
      </c>
      <c r="F758">
        <v>0</v>
      </c>
      <c r="G758">
        <v>1383.1110000000001</v>
      </c>
      <c r="H758">
        <v>0</v>
      </c>
      <c r="I758">
        <v>-1531.7909999999999</v>
      </c>
    </row>
    <row r="759" spans="1:9" x14ac:dyDescent="0.25">
      <c r="A759" t="s">
        <v>9</v>
      </c>
      <c r="B759" t="s">
        <v>13</v>
      </c>
      <c r="C759" t="s">
        <v>3</v>
      </c>
      <c r="D759">
        <v>0</v>
      </c>
      <c r="E759">
        <v>-256.13</v>
      </c>
      <c r="F759">
        <v>0</v>
      </c>
      <c r="G759">
        <v>1383.1110000000001</v>
      </c>
      <c r="H759">
        <v>0</v>
      </c>
      <c r="I759">
        <v>-2316.5059999999999</v>
      </c>
    </row>
    <row r="760" spans="1:9" x14ac:dyDescent="0.25">
      <c r="A760" t="s">
        <v>9</v>
      </c>
      <c r="B760" t="s">
        <v>14</v>
      </c>
      <c r="C760" t="s">
        <v>143</v>
      </c>
      <c r="D760">
        <v>0</v>
      </c>
      <c r="E760">
        <v>0</v>
      </c>
      <c r="F760">
        <v>-256.13</v>
      </c>
      <c r="G760">
        <v>-1690.4690000000001</v>
      </c>
      <c r="H760">
        <v>1531.7909999999999</v>
      </c>
      <c r="I760">
        <v>0</v>
      </c>
    </row>
    <row r="761" spans="1:9" x14ac:dyDescent="0.25">
      <c r="A761" t="s">
        <v>9</v>
      </c>
      <c r="B761" t="s">
        <v>14</v>
      </c>
      <c r="C761" t="s">
        <v>3</v>
      </c>
      <c r="D761">
        <v>0</v>
      </c>
      <c r="E761">
        <v>0</v>
      </c>
      <c r="F761">
        <v>-256.13</v>
      </c>
      <c r="G761">
        <v>-1690.4690000000001</v>
      </c>
      <c r="H761">
        <v>2316.5059999999999</v>
      </c>
      <c r="I761">
        <v>0</v>
      </c>
    </row>
    <row r="762" spans="1:9" x14ac:dyDescent="0.25">
      <c r="A762" t="s">
        <v>9</v>
      </c>
      <c r="B762" t="s">
        <v>15</v>
      </c>
      <c r="C762" t="s">
        <v>143</v>
      </c>
      <c r="D762">
        <v>0</v>
      </c>
      <c r="E762">
        <v>0</v>
      </c>
      <c r="F762">
        <v>-256.13</v>
      </c>
      <c r="G762">
        <v>-1383.1110000000001</v>
      </c>
      <c r="H762">
        <v>1531.7909999999999</v>
      </c>
      <c r="I762">
        <v>0</v>
      </c>
    </row>
    <row r="763" spans="1:9" x14ac:dyDescent="0.25">
      <c r="A763" t="s">
        <v>9</v>
      </c>
      <c r="B763" t="s">
        <v>15</v>
      </c>
      <c r="C763" t="s">
        <v>3</v>
      </c>
      <c r="D763">
        <v>0</v>
      </c>
      <c r="E763">
        <v>0</v>
      </c>
      <c r="F763">
        <v>-256.13</v>
      </c>
      <c r="G763">
        <v>-1383.1110000000001</v>
      </c>
      <c r="H763">
        <v>2316.5059999999999</v>
      </c>
      <c r="I763">
        <v>0</v>
      </c>
    </row>
    <row r="764" spans="1:9" x14ac:dyDescent="0.25">
      <c r="A764" t="s">
        <v>9</v>
      </c>
      <c r="B764" t="s">
        <v>145</v>
      </c>
      <c r="C764" t="s">
        <v>143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</row>
    <row r="765" spans="1:9" x14ac:dyDescent="0.25">
      <c r="A765" t="s">
        <v>9</v>
      </c>
      <c r="B765" t="s">
        <v>145</v>
      </c>
      <c r="C765" t="s">
        <v>3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</row>
    <row r="766" spans="1:9" x14ac:dyDescent="0.25">
      <c r="A766" t="s">
        <v>9</v>
      </c>
      <c r="B766" t="s">
        <v>146</v>
      </c>
      <c r="C766" t="s">
        <v>143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</row>
    <row r="767" spans="1:9" x14ac:dyDescent="0.25">
      <c r="A767" t="s">
        <v>9</v>
      </c>
      <c r="B767" t="s">
        <v>146</v>
      </c>
      <c r="C767" t="s">
        <v>3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</row>
    <row r="768" spans="1:9" x14ac:dyDescent="0.25">
      <c r="A768" t="s">
        <v>9</v>
      </c>
      <c r="B768" t="s">
        <v>147</v>
      </c>
      <c r="C768" t="s">
        <v>143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</row>
    <row r="769" spans="1:9" x14ac:dyDescent="0.25">
      <c r="A769" t="s">
        <v>9</v>
      </c>
      <c r="B769" t="s">
        <v>147</v>
      </c>
      <c r="C769" t="s">
        <v>3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</row>
    <row r="770" spans="1:9" x14ac:dyDescent="0.25">
      <c r="A770" t="s">
        <v>9</v>
      </c>
      <c r="B770" t="s">
        <v>148</v>
      </c>
      <c r="C770" t="s">
        <v>143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</row>
    <row r="771" spans="1:9" x14ac:dyDescent="0.25">
      <c r="A771" t="s">
        <v>9</v>
      </c>
      <c r="B771" t="s">
        <v>148</v>
      </c>
      <c r="C771" t="s">
        <v>3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</row>
    <row r="772" spans="1:9" x14ac:dyDescent="0.25">
      <c r="A772" t="s">
        <v>9</v>
      </c>
      <c r="B772" t="s">
        <v>149</v>
      </c>
      <c r="C772" t="s">
        <v>143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</row>
    <row r="773" spans="1:9" x14ac:dyDescent="0.25">
      <c r="A773" t="s">
        <v>9</v>
      </c>
      <c r="B773" t="s">
        <v>149</v>
      </c>
      <c r="C773" t="s">
        <v>3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</row>
    <row r="774" spans="1:9" x14ac:dyDescent="0.25">
      <c r="A774" t="s">
        <v>9</v>
      </c>
      <c r="B774" t="s">
        <v>150</v>
      </c>
      <c r="C774" t="s">
        <v>143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</row>
    <row r="775" spans="1:9" x14ac:dyDescent="0.25">
      <c r="A775" t="s">
        <v>9</v>
      </c>
      <c r="B775" t="s">
        <v>150</v>
      </c>
      <c r="C775" t="s">
        <v>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</row>
    <row r="776" spans="1:9" x14ac:dyDescent="0.25">
      <c r="A776" t="s">
        <v>9</v>
      </c>
      <c r="B776" t="s">
        <v>16</v>
      </c>
      <c r="C776" t="s">
        <v>143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</row>
    <row r="777" spans="1:9" x14ac:dyDescent="0.25">
      <c r="A777" t="s">
        <v>9</v>
      </c>
      <c r="B777" t="s">
        <v>16</v>
      </c>
      <c r="C777" t="s">
        <v>3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</row>
    <row r="778" spans="1:9" x14ac:dyDescent="0.25">
      <c r="A778" t="s">
        <v>9</v>
      </c>
      <c r="B778" t="s">
        <v>151</v>
      </c>
      <c r="C778" t="s">
        <v>143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</row>
    <row r="779" spans="1:9" x14ac:dyDescent="0.25">
      <c r="A779" t="s">
        <v>9</v>
      </c>
      <c r="B779" t="s">
        <v>151</v>
      </c>
      <c r="C779" t="s">
        <v>3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</row>
    <row r="780" spans="1:9" x14ac:dyDescent="0.25">
      <c r="A780" t="s">
        <v>9</v>
      </c>
      <c r="B780" t="s">
        <v>152</v>
      </c>
      <c r="C780" t="s">
        <v>143</v>
      </c>
      <c r="D780">
        <v>0</v>
      </c>
      <c r="E780">
        <v>-72.8</v>
      </c>
      <c r="F780">
        <v>0</v>
      </c>
      <c r="G780">
        <v>436.786</v>
      </c>
      <c r="H780">
        <v>0</v>
      </c>
      <c r="I780">
        <v>-269.13600000000002</v>
      </c>
    </row>
    <row r="781" spans="1:9" x14ac:dyDescent="0.25">
      <c r="A781" t="s">
        <v>9</v>
      </c>
      <c r="B781" t="s">
        <v>152</v>
      </c>
      <c r="C781" t="s">
        <v>3</v>
      </c>
      <c r="D781">
        <v>0</v>
      </c>
      <c r="E781">
        <v>-72.8</v>
      </c>
      <c r="F781">
        <v>0</v>
      </c>
      <c r="G781">
        <v>436.786</v>
      </c>
      <c r="H781">
        <v>0</v>
      </c>
      <c r="I781">
        <v>-492.03</v>
      </c>
    </row>
    <row r="782" spans="1:9" x14ac:dyDescent="0.25">
      <c r="A782" t="s">
        <v>9</v>
      </c>
      <c r="B782" t="s">
        <v>153</v>
      </c>
      <c r="C782" t="s">
        <v>143</v>
      </c>
      <c r="D782">
        <v>0</v>
      </c>
      <c r="E782">
        <v>0</v>
      </c>
      <c r="F782">
        <v>-72.8</v>
      </c>
      <c r="G782">
        <v>-436.786</v>
      </c>
      <c r="H782">
        <v>269.13600000000002</v>
      </c>
      <c r="I782">
        <v>0</v>
      </c>
    </row>
    <row r="783" spans="1:9" x14ac:dyDescent="0.25">
      <c r="A783" t="s">
        <v>9</v>
      </c>
      <c r="B783" t="s">
        <v>153</v>
      </c>
      <c r="C783" t="s">
        <v>3</v>
      </c>
      <c r="D783">
        <v>0</v>
      </c>
      <c r="E783">
        <v>0</v>
      </c>
      <c r="F783">
        <v>-72.8</v>
      </c>
      <c r="G783">
        <v>-436.786</v>
      </c>
      <c r="H783">
        <v>492.03</v>
      </c>
      <c r="I783">
        <v>0</v>
      </c>
    </row>
    <row r="784" spans="1:9" x14ac:dyDescent="0.25">
      <c r="A784" t="s">
        <v>9</v>
      </c>
      <c r="B784" t="s">
        <v>154</v>
      </c>
      <c r="C784" t="s">
        <v>143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</row>
    <row r="785" spans="1:9" x14ac:dyDescent="0.25">
      <c r="A785" t="s">
        <v>9</v>
      </c>
      <c r="B785" t="s">
        <v>154</v>
      </c>
      <c r="C785" t="s">
        <v>3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</row>
    <row r="786" spans="1:9" x14ac:dyDescent="0.25">
      <c r="A786" t="s">
        <v>9</v>
      </c>
      <c r="B786" t="s">
        <v>155</v>
      </c>
      <c r="C786" t="s">
        <v>143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</row>
    <row r="787" spans="1:9" x14ac:dyDescent="0.25">
      <c r="A787" t="s">
        <v>9</v>
      </c>
      <c r="B787" t="s">
        <v>155</v>
      </c>
      <c r="C787" t="s">
        <v>3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</row>
    <row r="788" spans="1:9" x14ac:dyDescent="0.25">
      <c r="A788" t="s">
        <v>9</v>
      </c>
      <c r="B788" t="s">
        <v>156</v>
      </c>
      <c r="C788" t="s">
        <v>143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</row>
    <row r="789" spans="1:9" x14ac:dyDescent="0.25">
      <c r="A789" t="s">
        <v>9</v>
      </c>
      <c r="B789" t="s">
        <v>156</v>
      </c>
      <c r="C789" t="s">
        <v>3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</row>
    <row r="790" spans="1:9" x14ac:dyDescent="0.25">
      <c r="A790" t="s">
        <v>9</v>
      </c>
      <c r="B790" t="s">
        <v>4</v>
      </c>
      <c r="C790" t="s">
        <v>143</v>
      </c>
      <c r="D790">
        <v>0</v>
      </c>
      <c r="E790">
        <v>241.29</v>
      </c>
      <c r="F790">
        <v>0</v>
      </c>
      <c r="G790">
        <v>1597.4490000000001</v>
      </c>
      <c r="H790">
        <v>0</v>
      </c>
      <c r="I790">
        <v>1276.2429999999999</v>
      </c>
    </row>
    <row r="791" spans="1:9" x14ac:dyDescent="0.25">
      <c r="A791" t="s">
        <v>9</v>
      </c>
      <c r="B791" t="s">
        <v>4</v>
      </c>
      <c r="C791" t="s">
        <v>3</v>
      </c>
      <c r="D791">
        <v>0</v>
      </c>
      <c r="E791">
        <v>241.29</v>
      </c>
      <c r="F791">
        <v>0</v>
      </c>
      <c r="G791">
        <v>1597.4490000000001</v>
      </c>
      <c r="H791">
        <v>0</v>
      </c>
      <c r="I791">
        <v>2010.2850000000001</v>
      </c>
    </row>
    <row r="792" spans="1:9" x14ac:dyDescent="0.25">
      <c r="A792" t="s">
        <v>9</v>
      </c>
      <c r="B792" t="s">
        <v>5</v>
      </c>
      <c r="C792" t="s">
        <v>143</v>
      </c>
      <c r="D792">
        <v>0</v>
      </c>
      <c r="E792">
        <v>0</v>
      </c>
      <c r="F792">
        <v>241.29</v>
      </c>
      <c r="G792">
        <v>1597.4490000000001</v>
      </c>
      <c r="H792">
        <v>1276.2429999999999</v>
      </c>
      <c r="I792">
        <v>0</v>
      </c>
    </row>
    <row r="793" spans="1:9" x14ac:dyDescent="0.25">
      <c r="A793" t="s">
        <v>9</v>
      </c>
      <c r="B793" t="s">
        <v>5</v>
      </c>
      <c r="C793" t="s">
        <v>3</v>
      </c>
      <c r="D793">
        <v>0</v>
      </c>
      <c r="E793">
        <v>0</v>
      </c>
      <c r="F793">
        <v>241.29</v>
      </c>
      <c r="G793">
        <v>1597.4490000000001</v>
      </c>
      <c r="H793">
        <v>2010.2850000000001</v>
      </c>
      <c r="I793">
        <v>0</v>
      </c>
    </row>
    <row r="794" spans="1:9" x14ac:dyDescent="0.25">
      <c r="A794" t="s">
        <v>9</v>
      </c>
      <c r="B794" t="s">
        <v>6</v>
      </c>
      <c r="C794" t="s">
        <v>143</v>
      </c>
      <c r="D794">
        <v>144.18</v>
      </c>
      <c r="E794">
        <v>0</v>
      </c>
      <c r="F794">
        <v>0</v>
      </c>
      <c r="G794">
        <v>0</v>
      </c>
      <c r="H794">
        <v>865.06</v>
      </c>
      <c r="I794">
        <v>-865.06</v>
      </c>
    </row>
    <row r="795" spans="1:9" x14ac:dyDescent="0.25">
      <c r="A795" t="s">
        <v>9</v>
      </c>
      <c r="B795" t="s">
        <v>6</v>
      </c>
      <c r="C795" t="s">
        <v>3</v>
      </c>
      <c r="D795">
        <v>147.68</v>
      </c>
      <c r="E795">
        <v>0</v>
      </c>
      <c r="F795">
        <v>0</v>
      </c>
      <c r="G795">
        <v>0</v>
      </c>
      <c r="H795">
        <v>886.07799999999997</v>
      </c>
      <c r="I795">
        <v>-886.07799999999997</v>
      </c>
    </row>
    <row r="796" spans="1:9" x14ac:dyDescent="0.25">
      <c r="A796" t="s">
        <v>9</v>
      </c>
      <c r="B796" t="s">
        <v>7</v>
      </c>
      <c r="C796" t="s">
        <v>143</v>
      </c>
      <c r="D796">
        <v>0</v>
      </c>
      <c r="E796">
        <v>289.55</v>
      </c>
      <c r="F796">
        <v>0</v>
      </c>
      <c r="G796">
        <v>1916.9390000000001</v>
      </c>
      <c r="H796">
        <v>0</v>
      </c>
      <c r="I796">
        <v>1531.492</v>
      </c>
    </row>
    <row r="797" spans="1:9" x14ac:dyDescent="0.25">
      <c r="A797" t="s">
        <v>9</v>
      </c>
      <c r="B797" t="s">
        <v>7</v>
      </c>
      <c r="C797" t="s">
        <v>3</v>
      </c>
      <c r="D797">
        <v>0</v>
      </c>
      <c r="E797">
        <v>289.55</v>
      </c>
      <c r="F797">
        <v>0</v>
      </c>
      <c r="G797">
        <v>1916.9390000000001</v>
      </c>
      <c r="H797">
        <v>0</v>
      </c>
      <c r="I797">
        <v>2412.3420000000001</v>
      </c>
    </row>
    <row r="798" spans="1:9" x14ac:dyDescent="0.25">
      <c r="A798" t="s">
        <v>9</v>
      </c>
      <c r="B798" t="s">
        <v>157</v>
      </c>
      <c r="C798" t="s">
        <v>143</v>
      </c>
      <c r="D798">
        <v>0</v>
      </c>
      <c r="E798">
        <v>-289.55</v>
      </c>
      <c r="F798">
        <v>0</v>
      </c>
      <c r="G798">
        <v>-1916.9390000000001</v>
      </c>
      <c r="H798">
        <v>0</v>
      </c>
      <c r="I798">
        <v>-1531.492</v>
      </c>
    </row>
    <row r="799" spans="1:9" x14ac:dyDescent="0.25">
      <c r="A799" t="s">
        <v>9</v>
      </c>
      <c r="B799" t="s">
        <v>157</v>
      </c>
      <c r="C799" t="s">
        <v>3</v>
      </c>
      <c r="D799">
        <v>0</v>
      </c>
      <c r="E799">
        <v>-289.55</v>
      </c>
      <c r="F799">
        <v>0</v>
      </c>
      <c r="G799">
        <v>-1916.9390000000001</v>
      </c>
      <c r="H799">
        <v>0</v>
      </c>
      <c r="I799">
        <v>-2412.3420000000001</v>
      </c>
    </row>
    <row r="800" spans="1:9" x14ac:dyDescent="0.25">
      <c r="A800" t="s">
        <v>9</v>
      </c>
      <c r="B800" t="s">
        <v>8</v>
      </c>
      <c r="C800" t="s">
        <v>143</v>
      </c>
      <c r="D800">
        <v>0</v>
      </c>
      <c r="E800">
        <v>0</v>
      </c>
      <c r="F800">
        <v>265.42</v>
      </c>
      <c r="G800">
        <v>1757.194</v>
      </c>
      <c r="H800">
        <v>1403.867</v>
      </c>
      <c r="I800">
        <v>0</v>
      </c>
    </row>
    <row r="801" spans="1:9" x14ac:dyDescent="0.25">
      <c r="A801" t="s">
        <v>9</v>
      </c>
      <c r="B801" t="s">
        <v>8</v>
      </c>
      <c r="C801" t="s">
        <v>3</v>
      </c>
      <c r="D801">
        <v>0</v>
      </c>
      <c r="E801">
        <v>0</v>
      </c>
      <c r="F801">
        <v>265.42</v>
      </c>
      <c r="G801">
        <v>1757.194</v>
      </c>
      <c r="H801">
        <v>2211.3139999999999</v>
      </c>
      <c r="I801">
        <v>0</v>
      </c>
    </row>
    <row r="802" spans="1:9" x14ac:dyDescent="0.25">
      <c r="A802" t="s">
        <v>9</v>
      </c>
      <c r="B802" t="s">
        <v>158</v>
      </c>
      <c r="C802" t="s">
        <v>143</v>
      </c>
      <c r="D802">
        <v>0</v>
      </c>
      <c r="E802">
        <v>0</v>
      </c>
      <c r="F802">
        <v>-265.42</v>
      </c>
      <c r="G802">
        <v>-1757.194</v>
      </c>
      <c r="H802">
        <v>-1403.867</v>
      </c>
      <c r="I802">
        <v>0</v>
      </c>
    </row>
    <row r="803" spans="1:9" x14ac:dyDescent="0.25">
      <c r="A803" t="s">
        <v>9</v>
      </c>
      <c r="B803" t="s">
        <v>158</v>
      </c>
      <c r="C803" t="s">
        <v>3</v>
      </c>
      <c r="D803">
        <v>0</v>
      </c>
      <c r="E803">
        <v>0</v>
      </c>
      <c r="F803">
        <v>-265.42</v>
      </c>
      <c r="G803">
        <v>-1757.194</v>
      </c>
      <c r="H803">
        <v>-2211.3139999999999</v>
      </c>
      <c r="I803">
        <v>0</v>
      </c>
    </row>
    <row r="804" spans="1:9" x14ac:dyDescent="0.25">
      <c r="A804" t="s">
        <v>9</v>
      </c>
      <c r="B804" t="s">
        <v>159</v>
      </c>
      <c r="C804" t="s">
        <v>143</v>
      </c>
      <c r="D804">
        <v>1345.65</v>
      </c>
      <c r="E804">
        <v>0</v>
      </c>
      <c r="F804">
        <v>0</v>
      </c>
      <c r="G804">
        <v>0</v>
      </c>
      <c r="H804">
        <v>8073.8890000000001</v>
      </c>
      <c r="I804">
        <v>-8073.8890000000001</v>
      </c>
    </row>
    <row r="805" spans="1:9" x14ac:dyDescent="0.25">
      <c r="A805" t="s">
        <v>9</v>
      </c>
      <c r="B805" t="s">
        <v>159</v>
      </c>
      <c r="C805" t="s">
        <v>3</v>
      </c>
      <c r="D805">
        <v>1378.34</v>
      </c>
      <c r="E805">
        <v>0</v>
      </c>
      <c r="F805">
        <v>0</v>
      </c>
      <c r="G805">
        <v>0</v>
      </c>
      <c r="H805">
        <v>8270.0570000000007</v>
      </c>
      <c r="I805">
        <v>-8270.0570000000007</v>
      </c>
    </row>
    <row r="806" spans="1:9" x14ac:dyDescent="0.25">
      <c r="A806" t="s">
        <v>9</v>
      </c>
      <c r="B806" t="s">
        <v>160</v>
      </c>
      <c r="C806" t="s">
        <v>143</v>
      </c>
      <c r="D806">
        <v>1429.89</v>
      </c>
      <c r="E806">
        <v>0</v>
      </c>
      <c r="F806">
        <v>0</v>
      </c>
      <c r="G806">
        <v>0</v>
      </c>
      <c r="H806">
        <v>8579.357</v>
      </c>
      <c r="I806">
        <v>-8579.357</v>
      </c>
    </row>
    <row r="807" spans="1:9" x14ac:dyDescent="0.25">
      <c r="A807" t="s">
        <v>9</v>
      </c>
      <c r="B807" t="s">
        <v>160</v>
      </c>
      <c r="C807" t="s">
        <v>3</v>
      </c>
      <c r="D807">
        <v>1457.92</v>
      </c>
      <c r="E807">
        <v>0</v>
      </c>
      <c r="F807">
        <v>0</v>
      </c>
      <c r="G807">
        <v>0</v>
      </c>
      <c r="H807">
        <v>8747.5</v>
      </c>
      <c r="I807">
        <v>-8747.5</v>
      </c>
    </row>
    <row r="808" spans="1:9" x14ac:dyDescent="0.25">
      <c r="A808" t="s">
        <v>9</v>
      </c>
      <c r="B808" t="s">
        <v>161</v>
      </c>
      <c r="C808" t="s">
        <v>143</v>
      </c>
      <c r="D808">
        <v>1239.81</v>
      </c>
      <c r="E808">
        <v>0</v>
      </c>
      <c r="F808">
        <v>0</v>
      </c>
      <c r="G808">
        <v>0</v>
      </c>
      <c r="H808">
        <v>7438.8770000000004</v>
      </c>
      <c r="I808">
        <v>-7438.8770000000004</v>
      </c>
    </row>
    <row r="809" spans="1:9" x14ac:dyDescent="0.25">
      <c r="A809" t="s">
        <v>9</v>
      </c>
      <c r="B809" t="s">
        <v>161</v>
      </c>
      <c r="C809" t="s">
        <v>3</v>
      </c>
      <c r="D809">
        <v>1267.8399999999999</v>
      </c>
      <c r="E809">
        <v>0</v>
      </c>
      <c r="F809">
        <v>0</v>
      </c>
      <c r="G809">
        <v>0</v>
      </c>
      <c r="H809">
        <v>7607.02</v>
      </c>
      <c r="I809">
        <v>-7607.02</v>
      </c>
    </row>
    <row r="810" spans="1:9" x14ac:dyDescent="0.25">
      <c r="A810" t="s">
        <v>9</v>
      </c>
      <c r="B810" t="s">
        <v>162</v>
      </c>
      <c r="C810" t="s">
        <v>143</v>
      </c>
      <c r="D810">
        <v>1283.07</v>
      </c>
      <c r="E810">
        <v>-256.13</v>
      </c>
      <c r="F810">
        <v>0</v>
      </c>
      <c r="G810">
        <v>1690.4690000000001</v>
      </c>
      <c r="H810">
        <v>7698.3950000000004</v>
      </c>
      <c r="I810">
        <v>-9230.1849999999995</v>
      </c>
    </row>
    <row r="811" spans="1:9" x14ac:dyDescent="0.25">
      <c r="A811" t="s">
        <v>9</v>
      </c>
      <c r="B811" t="s">
        <v>162</v>
      </c>
      <c r="C811" t="s">
        <v>3</v>
      </c>
      <c r="D811">
        <v>1312.14</v>
      </c>
      <c r="E811">
        <v>-256.13</v>
      </c>
      <c r="F811">
        <v>0</v>
      </c>
      <c r="G811">
        <v>1690.4690000000001</v>
      </c>
      <c r="H811">
        <v>7872.8440000000001</v>
      </c>
      <c r="I811">
        <v>-10189.349</v>
      </c>
    </row>
    <row r="812" spans="1:9" x14ac:dyDescent="0.25">
      <c r="A812" t="s">
        <v>9</v>
      </c>
      <c r="B812" t="s">
        <v>163</v>
      </c>
      <c r="C812" t="s">
        <v>143</v>
      </c>
      <c r="D812">
        <v>1283.07</v>
      </c>
      <c r="E812">
        <v>-256.13</v>
      </c>
      <c r="F812">
        <v>0</v>
      </c>
      <c r="G812">
        <v>1383.1110000000001</v>
      </c>
      <c r="H812">
        <v>7698.3950000000004</v>
      </c>
      <c r="I812">
        <v>-9230.1849999999995</v>
      </c>
    </row>
    <row r="813" spans="1:9" x14ac:dyDescent="0.25">
      <c r="A813" t="s">
        <v>9</v>
      </c>
      <c r="B813" t="s">
        <v>163</v>
      </c>
      <c r="C813" t="s">
        <v>3</v>
      </c>
      <c r="D813">
        <v>1312.14</v>
      </c>
      <c r="E813">
        <v>-256.13</v>
      </c>
      <c r="F813">
        <v>0</v>
      </c>
      <c r="G813">
        <v>1383.1110000000001</v>
      </c>
      <c r="H813">
        <v>7872.8440000000001</v>
      </c>
      <c r="I813">
        <v>-10189.349</v>
      </c>
    </row>
    <row r="814" spans="1:9" x14ac:dyDescent="0.25">
      <c r="A814" t="s">
        <v>9</v>
      </c>
      <c r="B814" t="s">
        <v>164</v>
      </c>
      <c r="C814" t="s">
        <v>143</v>
      </c>
      <c r="D814">
        <v>1283.07</v>
      </c>
      <c r="E814">
        <v>256.13</v>
      </c>
      <c r="F814">
        <v>0</v>
      </c>
      <c r="G814">
        <v>-1690.4690000000001</v>
      </c>
      <c r="H814">
        <v>7698.3950000000004</v>
      </c>
      <c r="I814">
        <v>-6166.6040000000003</v>
      </c>
    </row>
    <row r="815" spans="1:9" x14ac:dyDescent="0.25">
      <c r="A815" t="s">
        <v>9</v>
      </c>
      <c r="B815" t="s">
        <v>164</v>
      </c>
      <c r="C815" t="s">
        <v>3</v>
      </c>
      <c r="D815">
        <v>1312.14</v>
      </c>
      <c r="E815">
        <v>256.13</v>
      </c>
      <c r="F815">
        <v>0</v>
      </c>
      <c r="G815">
        <v>-1690.4690000000001</v>
      </c>
      <c r="H815">
        <v>7872.8440000000001</v>
      </c>
      <c r="I815">
        <v>-5556.3379999999997</v>
      </c>
    </row>
    <row r="816" spans="1:9" x14ac:dyDescent="0.25">
      <c r="A816" t="s">
        <v>9</v>
      </c>
      <c r="B816" t="s">
        <v>165</v>
      </c>
      <c r="C816" t="s">
        <v>143</v>
      </c>
      <c r="D816">
        <v>1283.07</v>
      </c>
      <c r="E816">
        <v>256.13</v>
      </c>
      <c r="F816">
        <v>0</v>
      </c>
      <c r="G816">
        <v>-1383.1110000000001</v>
      </c>
      <c r="H816">
        <v>7698.3950000000004</v>
      </c>
      <c r="I816">
        <v>-6166.6040000000003</v>
      </c>
    </row>
    <row r="817" spans="1:9" x14ac:dyDescent="0.25">
      <c r="A817" t="s">
        <v>9</v>
      </c>
      <c r="B817" t="s">
        <v>165</v>
      </c>
      <c r="C817" t="s">
        <v>3</v>
      </c>
      <c r="D817">
        <v>1312.14</v>
      </c>
      <c r="E817">
        <v>256.13</v>
      </c>
      <c r="F817">
        <v>0</v>
      </c>
      <c r="G817">
        <v>-1383.1110000000001</v>
      </c>
      <c r="H817">
        <v>7872.8440000000001</v>
      </c>
      <c r="I817">
        <v>-5556.3379999999997</v>
      </c>
    </row>
    <row r="818" spans="1:9" x14ac:dyDescent="0.25">
      <c r="A818" t="s">
        <v>9</v>
      </c>
      <c r="B818" t="s">
        <v>166</v>
      </c>
      <c r="C818" t="s">
        <v>143</v>
      </c>
      <c r="D818">
        <v>1283.07</v>
      </c>
      <c r="E818">
        <v>0</v>
      </c>
      <c r="F818">
        <v>-256.13</v>
      </c>
      <c r="G818">
        <v>-1690.4690000000001</v>
      </c>
      <c r="H818">
        <v>9230.1849999999995</v>
      </c>
      <c r="I818">
        <v>-7698.3950000000004</v>
      </c>
    </row>
    <row r="819" spans="1:9" x14ac:dyDescent="0.25">
      <c r="A819" t="s">
        <v>9</v>
      </c>
      <c r="B819" t="s">
        <v>166</v>
      </c>
      <c r="C819" t="s">
        <v>3</v>
      </c>
      <c r="D819">
        <v>1312.14</v>
      </c>
      <c r="E819">
        <v>0</v>
      </c>
      <c r="F819">
        <v>-256.13</v>
      </c>
      <c r="G819">
        <v>-1690.4690000000001</v>
      </c>
      <c r="H819">
        <v>10189.349</v>
      </c>
      <c r="I819">
        <v>-7872.8440000000001</v>
      </c>
    </row>
    <row r="820" spans="1:9" x14ac:dyDescent="0.25">
      <c r="A820" t="s">
        <v>9</v>
      </c>
      <c r="B820" t="s">
        <v>167</v>
      </c>
      <c r="C820" t="s">
        <v>143</v>
      </c>
      <c r="D820">
        <v>1283.07</v>
      </c>
      <c r="E820">
        <v>0</v>
      </c>
      <c r="F820">
        <v>-256.13</v>
      </c>
      <c r="G820">
        <v>-1383.1110000000001</v>
      </c>
      <c r="H820">
        <v>9230.1849999999995</v>
      </c>
      <c r="I820">
        <v>-7698.3950000000004</v>
      </c>
    </row>
    <row r="821" spans="1:9" x14ac:dyDescent="0.25">
      <c r="A821" t="s">
        <v>9</v>
      </c>
      <c r="B821" t="s">
        <v>167</v>
      </c>
      <c r="C821" t="s">
        <v>3</v>
      </c>
      <c r="D821">
        <v>1312.14</v>
      </c>
      <c r="E821">
        <v>0</v>
      </c>
      <c r="F821">
        <v>-256.13</v>
      </c>
      <c r="G821">
        <v>-1383.1110000000001</v>
      </c>
      <c r="H821">
        <v>10189.349</v>
      </c>
      <c r="I821">
        <v>-7872.8440000000001</v>
      </c>
    </row>
    <row r="822" spans="1:9" x14ac:dyDescent="0.25">
      <c r="A822" t="s">
        <v>9</v>
      </c>
      <c r="B822" t="s">
        <v>168</v>
      </c>
      <c r="C822" t="s">
        <v>143</v>
      </c>
      <c r="D822">
        <v>1283.07</v>
      </c>
      <c r="E822">
        <v>0</v>
      </c>
      <c r="F822">
        <v>256.13</v>
      </c>
      <c r="G822">
        <v>1690.4690000000001</v>
      </c>
      <c r="H822">
        <v>6166.6040000000003</v>
      </c>
      <c r="I822">
        <v>-7698.3950000000004</v>
      </c>
    </row>
    <row r="823" spans="1:9" x14ac:dyDescent="0.25">
      <c r="A823" t="s">
        <v>9</v>
      </c>
      <c r="B823" t="s">
        <v>168</v>
      </c>
      <c r="C823" t="s">
        <v>3</v>
      </c>
      <c r="D823">
        <v>1312.14</v>
      </c>
      <c r="E823">
        <v>0</v>
      </c>
      <c r="F823">
        <v>256.13</v>
      </c>
      <c r="G823">
        <v>1690.4690000000001</v>
      </c>
      <c r="H823">
        <v>5556.3379999999997</v>
      </c>
      <c r="I823">
        <v>-7872.8440000000001</v>
      </c>
    </row>
    <row r="824" spans="1:9" x14ac:dyDescent="0.25">
      <c r="A824" t="s">
        <v>9</v>
      </c>
      <c r="B824" t="s">
        <v>169</v>
      </c>
      <c r="C824" t="s">
        <v>143</v>
      </c>
      <c r="D824">
        <v>1283.07</v>
      </c>
      <c r="E824">
        <v>0</v>
      </c>
      <c r="F824">
        <v>256.13</v>
      </c>
      <c r="G824">
        <v>1383.1110000000001</v>
      </c>
      <c r="H824">
        <v>6166.6040000000003</v>
      </c>
      <c r="I824">
        <v>-7698.3950000000004</v>
      </c>
    </row>
    <row r="825" spans="1:9" x14ac:dyDescent="0.25">
      <c r="A825" t="s">
        <v>9</v>
      </c>
      <c r="B825" t="s">
        <v>169</v>
      </c>
      <c r="C825" t="s">
        <v>3</v>
      </c>
      <c r="D825">
        <v>1312.14</v>
      </c>
      <c r="E825">
        <v>0</v>
      </c>
      <c r="F825">
        <v>256.13</v>
      </c>
      <c r="G825">
        <v>1383.1110000000001</v>
      </c>
      <c r="H825">
        <v>5556.3379999999997</v>
      </c>
      <c r="I825">
        <v>-7872.8440000000001</v>
      </c>
    </row>
    <row r="826" spans="1:9" x14ac:dyDescent="0.25">
      <c r="A826" t="s">
        <v>9</v>
      </c>
      <c r="B826" t="s">
        <v>170</v>
      </c>
      <c r="C826" t="s">
        <v>143</v>
      </c>
      <c r="D826">
        <v>1196.56</v>
      </c>
      <c r="E826">
        <v>-256.13</v>
      </c>
      <c r="F826">
        <v>0</v>
      </c>
      <c r="G826">
        <v>1690.4690000000001</v>
      </c>
      <c r="H826">
        <v>7179.3590000000004</v>
      </c>
      <c r="I826">
        <v>-8711.1489999999994</v>
      </c>
    </row>
    <row r="827" spans="1:9" x14ac:dyDescent="0.25">
      <c r="A827" t="s">
        <v>9</v>
      </c>
      <c r="B827" t="s">
        <v>170</v>
      </c>
      <c r="C827" t="s">
        <v>3</v>
      </c>
      <c r="D827">
        <v>1223.53</v>
      </c>
      <c r="E827">
        <v>-256.13</v>
      </c>
      <c r="F827">
        <v>0</v>
      </c>
      <c r="G827">
        <v>1690.4690000000001</v>
      </c>
      <c r="H827">
        <v>7341.1970000000001</v>
      </c>
      <c r="I827">
        <v>-9657.7029999999995</v>
      </c>
    </row>
    <row r="828" spans="1:9" x14ac:dyDescent="0.25">
      <c r="A828" t="s">
        <v>9</v>
      </c>
      <c r="B828" t="s">
        <v>171</v>
      </c>
      <c r="C828" t="s">
        <v>143</v>
      </c>
      <c r="D828">
        <v>1196.56</v>
      </c>
      <c r="E828">
        <v>-256.13</v>
      </c>
      <c r="F828">
        <v>0</v>
      </c>
      <c r="G828">
        <v>1383.1110000000001</v>
      </c>
      <c r="H828">
        <v>7179.3590000000004</v>
      </c>
      <c r="I828">
        <v>-8711.1489999999994</v>
      </c>
    </row>
    <row r="829" spans="1:9" x14ac:dyDescent="0.25">
      <c r="A829" t="s">
        <v>9</v>
      </c>
      <c r="B829" t="s">
        <v>171</v>
      </c>
      <c r="C829" t="s">
        <v>3</v>
      </c>
      <c r="D829">
        <v>1223.53</v>
      </c>
      <c r="E829">
        <v>-256.13</v>
      </c>
      <c r="F829">
        <v>0</v>
      </c>
      <c r="G829">
        <v>1383.1110000000001</v>
      </c>
      <c r="H829">
        <v>7341.1970000000001</v>
      </c>
      <c r="I829">
        <v>-9657.7029999999995</v>
      </c>
    </row>
    <row r="830" spans="1:9" x14ac:dyDescent="0.25">
      <c r="A830" t="s">
        <v>9</v>
      </c>
      <c r="B830" t="s">
        <v>172</v>
      </c>
      <c r="C830" t="s">
        <v>143</v>
      </c>
      <c r="D830">
        <v>1196.56</v>
      </c>
      <c r="E830">
        <v>256.13</v>
      </c>
      <c r="F830">
        <v>0</v>
      </c>
      <c r="G830">
        <v>-1690.4690000000001</v>
      </c>
      <c r="H830">
        <v>7179.3590000000004</v>
      </c>
      <c r="I830">
        <v>-5647.5680000000002</v>
      </c>
    </row>
    <row r="831" spans="1:9" x14ac:dyDescent="0.25">
      <c r="A831" t="s">
        <v>9</v>
      </c>
      <c r="B831" t="s">
        <v>172</v>
      </c>
      <c r="C831" t="s">
        <v>3</v>
      </c>
      <c r="D831">
        <v>1223.53</v>
      </c>
      <c r="E831">
        <v>256.13</v>
      </c>
      <c r="F831">
        <v>0</v>
      </c>
      <c r="G831">
        <v>-1690.4690000000001</v>
      </c>
      <c r="H831">
        <v>7341.1970000000001</v>
      </c>
      <c r="I831">
        <v>-5024.6909999999998</v>
      </c>
    </row>
    <row r="832" spans="1:9" x14ac:dyDescent="0.25">
      <c r="A832" t="s">
        <v>9</v>
      </c>
      <c r="B832" t="s">
        <v>173</v>
      </c>
      <c r="C832" t="s">
        <v>143</v>
      </c>
      <c r="D832">
        <v>1196.56</v>
      </c>
      <c r="E832">
        <v>256.13</v>
      </c>
      <c r="F832">
        <v>0</v>
      </c>
      <c r="G832">
        <v>-1383.1110000000001</v>
      </c>
      <c r="H832">
        <v>7179.3590000000004</v>
      </c>
      <c r="I832">
        <v>-5647.5680000000002</v>
      </c>
    </row>
    <row r="833" spans="1:9" x14ac:dyDescent="0.25">
      <c r="A833" t="s">
        <v>9</v>
      </c>
      <c r="B833" t="s">
        <v>173</v>
      </c>
      <c r="C833" t="s">
        <v>3</v>
      </c>
      <c r="D833">
        <v>1223.53</v>
      </c>
      <c r="E833">
        <v>256.13</v>
      </c>
      <c r="F833">
        <v>0</v>
      </c>
      <c r="G833">
        <v>-1383.1110000000001</v>
      </c>
      <c r="H833">
        <v>7341.1970000000001</v>
      </c>
      <c r="I833">
        <v>-5024.6909999999998</v>
      </c>
    </row>
    <row r="834" spans="1:9" x14ac:dyDescent="0.25">
      <c r="A834" t="s">
        <v>9</v>
      </c>
      <c r="B834" t="s">
        <v>174</v>
      </c>
      <c r="C834" t="s">
        <v>143</v>
      </c>
      <c r="D834">
        <v>1196.56</v>
      </c>
      <c r="E834">
        <v>0</v>
      </c>
      <c r="F834">
        <v>-256.13</v>
      </c>
      <c r="G834">
        <v>-1690.4690000000001</v>
      </c>
      <c r="H834">
        <v>8711.1489999999994</v>
      </c>
      <c r="I834">
        <v>-7179.3590000000004</v>
      </c>
    </row>
    <row r="835" spans="1:9" x14ac:dyDescent="0.25">
      <c r="A835" t="s">
        <v>9</v>
      </c>
      <c r="B835" t="s">
        <v>174</v>
      </c>
      <c r="C835" t="s">
        <v>3</v>
      </c>
      <c r="D835">
        <v>1223.53</v>
      </c>
      <c r="E835">
        <v>0</v>
      </c>
      <c r="F835">
        <v>-256.13</v>
      </c>
      <c r="G835">
        <v>-1690.4690000000001</v>
      </c>
      <c r="H835">
        <v>9657.7029999999995</v>
      </c>
      <c r="I835">
        <v>-7341.1970000000001</v>
      </c>
    </row>
    <row r="836" spans="1:9" x14ac:dyDescent="0.25">
      <c r="A836" t="s">
        <v>9</v>
      </c>
      <c r="B836" t="s">
        <v>175</v>
      </c>
      <c r="C836" t="s">
        <v>143</v>
      </c>
      <c r="D836">
        <v>1196.56</v>
      </c>
      <c r="E836">
        <v>0</v>
      </c>
      <c r="F836">
        <v>-256.13</v>
      </c>
      <c r="G836">
        <v>-1383.1110000000001</v>
      </c>
      <c r="H836">
        <v>8711.1489999999994</v>
      </c>
      <c r="I836">
        <v>-7179.3590000000004</v>
      </c>
    </row>
    <row r="837" spans="1:9" x14ac:dyDescent="0.25">
      <c r="A837" t="s">
        <v>9</v>
      </c>
      <c r="B837" t="s">
        <v>175</v>
      </c>
      <c r="C837" t="s">
        <v>3</v>
      </c>
      <c r="D837">
        <v>1223.53</v>
      </c>
      <c r="E837">
        <v>0</v>
      </c>
      <c r="F837">
        <v>-256.13</v>
      </c>
      <c r="G837">
        <v>-1383.1110000000001</v>
      </c>
      <c r="H837">
        <v>9657.7029999999995</v>
      </c>
      <c r="I837">
        <v>-7341.1970000000001</v>
      </c>
    </row>
    <row r="838" spans="1:9" x14ac:dyDescent="0.25">
      <c r="A838" t="s">
        <v>9</v>
      </c>
      <c r="B838" t="s">
        <v>176</v>
      </c>
      <c r="C838" t="s">
        <v>143</v>
      </c>
      <c r="D838">
        <v>1196.56</v>
      </c>
      <c r="E838">
        <v>0</v>
      </c>
      <c r="F838">
        <v>256.13</v>
      </c>
      <c r="G838">
        <v>1690.4690000000001</v>
      </c>
      <c r="H838">
        <v>5647.5680000000002</v>
      </c>
      <c r="I838">
        <v>-7179.3590000000004</v>
      </c>
    </row>
    <row r="839" spans="1:9" x14ac:dyDescent="0.25">
      <c r="A839" t="s">
        <v>9</v>
      </c>
      <c r="B839" t="s">
        <v>176</v>
      </c>
      <c r="C839" t="s">
        <v>3</v>
      </c>
      <c r="D839">
        <v>1223.53</v>
      </c>
      <c r="E839">
        <v>0</v>
      </c>
      <c r="F839">
        <v>256.13</v>
      </c>
      <c r="G839">
        <v>1690.4690000000001</v>
      </c>
      <c r="H839">
        <v>5024.6909999999998</v>
      </c>
      <c r="I839">
        <v>-7341.1970000000001</v>
      </c>
    </row>
    <row r="840" spans="1:9" x14ac:dyDescent="0.25">
      <c r="A840" t="s">
        <v>9</v>
      </c>
      <c r="B840" t="s">
        <v>177</v>
      </c>
      <c r="C840" t="s">
        <v>143</v>
      </c>
      <c r="D840">
        <v>1196.56</v>
      </c>
      <c r="E840">
        <v>0</v>
      </c>
      <c r="F840">
        <v>256.13</v>
      </c>
      <c r="G840">
        <v>1383.1110000000001</v>
      </c>
      <c r="H840">
        <v>5647.5680000000002</v>
      </c>
      <c r="I840">
        <v>-7179.3590000000004</v>
      </c>
    </row>
    <row r="841" spans="1:9" x14ac:dyDescent="0.25">
      <c r="A841" t="s">
        <v>9</v>
      </c>
      <c r="B841" t="s">
        <v>177</v>
      </c>
      <c r="C841" t="s">
        <v>3</v>
      </c>
      <c r="D841">
        <v>1223.53</v>
      </c>
      <c r="E841">
        <v>0</v>
      </c>
      <c r="F841">
        <v>256.13</v>
      </c>
      <c r="G841">
        <v>1383.1110000000001</v>
      </c>
      <c r="H841">
        <v>5024.6909999999998</v>
      </c>
      <c r="I841">
        <v>-7341.1970000000001</v>
      </c>
    </row>
    <row r="842" spans="1:9" x14ac:dyDescent="0.25">
      <c r="A842" t="s">
        <v>9</v>
      </c>
      <c r="B842" t="s">
        <v>178</v>
      </c>
      <c r="C842" t="s">
        <v>143</v>
      </c>
      <c r="D842">
        <v>1383.99</v>
      </c>
      <c r="E842">
        <v>-76.84</v>
      </c>
      <c r="F842">
        <v>0</v>
      </c>
      <c r="G842">
        <v>507.14100000000002</v>
      </c>
      <c r="H842">
        <v>8303.9359999999997</v>
      </c>
      <c r="I842">
        <v>-8763.473</v>
      </c>
    </row>
    <row r="843" spans="1:9" x14ac:dyDescent="0.25">
      <c r="A843" t="s">
        <v>9</v>
      </c>
      <c r="B843" t="s">
        <v>178</v>
      </c>
      <c r="C843" t="s">
        <v>3</v>
      </c>
      <c r="D843">
        <v>1415.52</v>
      </c>
      <c r="E843">
        <v>-76.84</v>
      </c>
      <c r="F843">
        <v>0</v>
      </c>
      <c r="G843">
        <v>507.14100000000002</v>
      </c>
      <c r="H843">
        <v>8493.098</v>
      </c>
      <c r="I843">
        <v>-9188.0499999999993</v>
      </c>
    </row>
    <row r="844" spans="1:9" x14ac:dyDescent="0.25">
      <c r="A844" t="s">
        <v>9</v>
      </c>
      <c r="B844" t="s">
        <v>179</v>
      </c>
      <c r="C844" t="s">
        <v>143</v>
      </c>
      <c r="D844">
        <v>1383.99</v>
      </c>
      <c r="E844">
        <v>-76.84</v>
      </c>
      <c r="F844">
        <v>0</v>
      </c>
      <c r="G844">
        <v>414.93299999999999</v>
      </c>
      <c r="H844">
        <v>8303.9359999999997</v>
      </c>
      <c r="I844">
        <v>-8763.473</v>
      </c>
    </row>
    <row r="845" spans="1:9" x14ac:dyDescent="0.25">
      <c r="A845" t="s">
        <v>9</v>
      </c>
      <c r="B845" t="s">
        <v>179</v>
      </c>
      <c r="C845" t="s">
        <v>3</v>
      </c>
      <c r="D845">
        <v>1415.52</v>
      </c>
      <c r="E845">
        <v>-76.84</v>
      </c>
      <c r="F845">
        <v>0</v>
      </c>
      <c r="G845">
        <v>414.93299999999999</v>
      </c>
      <c r="H845">
        <v>8493.098</v>
      </c>
      <c r="I845">
        <v>-9188.0499999999993</v>
      </c>
    </row>
    <row r="846" spans="1:9" x14ac:dyDescent="0.25">
      <c r="A846" t="s">
        <v>9</v>
      </c>
      <c r="B846" t="s">
        <v>180</v>
      </c>
      <c r="C846" t="s">
        <v>143</v>
      </c>
      <c r="D846">
        <v>1383.99</v>
      </c>
      <c r="E846">
        <v>76.84</v>
      </c>
      <c r="F846">
        <v>0</v>
      </c>
      <c r="G846">
        <v>-507.14100000000002</v>
      </c>
      <c r="H846">
        <v>8303.9359999999997</v>
      </c>
      <c r="I846">
        <v>-7844.3990000000003</v>
      </c>
    </row>
    <row r="847" spans="1:9" x14ac:dyDescent="0.25">
      <c r="A847" t="s">
        <v>9</v>
      </c>
      <c r="B847" t="s">
        <v>180</v>
      </c>
      <c r="C847" t="s">
        <v>3</v>
      </c>
      <c r="D847">
        <v>1415.52</v>
      </c>
      <c r="E847">
        <v>76.84</v>
      </c>
      <c r="F847">
        <v>0</v>
      </c>
      <c r="G847">
        <v>-507.14100000000002</v>
      </c>
      <c r="H847">
        <v>8493.098</v>
      </c>
      <c r="I847">
        <v>-7798.1459999999997</v>
      </c>
    </row>
    <row r="848" spans="1:9" x14ac:dyDescent="0.25">
      <c r="A848" t="s">
        <v>9</v>
      </c>
      <c r="B848" t="s">
        <v>181</v>
      </c>
      <c r="C848" t="s">
        <v>143</v>
      </c>
      <c r="D848">
        <v>1383.99</v>
      </c>
      <c r="E848">
        <v>76.84</v>
      </c>
      <c r="F848">
        <v>0</v>
      </c>
      <c r="G848">
        <v>-414.93299999999999</v>
      </c>
      <c r="H848">
        <v>8303.9359999999997</v>
      </c>
      <c r="I848">
        <v>-7844.3990000000003</v>
      </c>
    </row>
    <row r="849" spans="1:9" x14ac:dyDescent="0.25">
      <c r="A849" t="s">
        <v>9</v>
      </c>
      <c r="B849" t="s">
        <v>181</v>
      </c>
      <c r="C849" t="s">
        <v>3</v>
      </c>
      <c r="D849">
        <v>1415.52</v>
      </c>
      <c r="E849">
        <v>76.84</v>
      </c>
      <c r="F849">
        <v>0</v>
      </c>
      <c r="G849">
        <v>-414.93299999999999</v>
      </c>
      <c r="H849">
        <v>8493.098</v>
      </c>
      <c r="I849">
        <v>-7798.1459999999997</v>
      </c>
    </row>
    <row r="850" spans="1:9" x14ac:dyDescent="0.25">
      <c r="A850" t="s">
        <v>9</v>
      </c>
      <c r="B850" t="s">
        <v>182</v>
      </c>
      <c r="C850" t="s">
        <v>143</v>
      </c>
      <c r="D850">
        <v>1383.99</v>
      </c>
      <c r="E850">
        <v>0</v>
      </c>
      <c r="F850">
        <v>-76.84</v>
      </c>
      <c r="G850">
        <v>-507.14100000000002</v>
      </c>
      <c r="H850">
        <v>8763.473</v>
      </c>
      <c r="I850">
        <v>-8303.9359999999997</v>
      </c>
    </row>
    <row r="851" spans="1:9" x14ac:dyDescent="0.25">
      <c r="A851" t="s">
        <v>9</v>
      </c>
      <c r="B851" t="s">
        <v>182</v>
      </c>
      <c r="C851" t="s">
        <v>3</v>
      </c>
      <c r="D851">
        <v>1415.52</v>
      </c>
      <c r="E851">
        <v>0</v>
      </c>
      <c r="F851">
        <v>-76.84</v>
      </c>
      <c r="G851">
        <v>-507.14100000000002</v>
      </c>
      <c r="H851">
        <v>9188.0499999999993</v>
      </c>
      <c r="I851">
        <v>-8493.098</v>
      </c>
    </row>
    <row r="852" spans="1:9" x14ac:dyDescent="0.25">
      <c r="A852" t="s">
        <v>9</v>
      </c>
      <c r="B852" t="s">
        <v>183</v>
      </c>
      <c r="C852" t="s">
        <v>143</v>
      </c>
      <c r="D852">
        <v>1383.99</v>
      </c>
      <c r="E852">
        <v>0</v>
      </c>
      <c r="F852">
        <v>-76.84</v>
      </c>
      <c r="G852">
        <v>-414.93299999999999</v>
      </c>
      <c r="H852">
        <v>8763.473</v>
      </c>
      <c r="I852">
        <v>-8303.9359999999997</v>
      </c>
    </row>
    <row r="853" spans="1:9" x14ac:dyDescent="0.25">
      <c r="A853" t="s">
        <v>9</v>
      </c>
      <c r="B853" t="s">
        <v>183</v>
      </c>
      <c r="C853" t="s">
        <v>3</v>
      </c>
      <c r="D853">
        <v>1415.52</v>
      </c>
      <c r="E853">
        <v>0</v>
      </c>
      <c r="F853">
        <v>-76.84</v>
      </c>
      <c r="G853">
        <v>-414.93299999999999</v>
      </c>
      <c r="H853">
        <v>9188.0499999999993</v>
      </c>
      <c r="I853">
        <v>-8493.098</v>
      </c>
    </row>
    <row r="854" spans="1:9" x14ac:dyDescent="0.25">
      <c r="A854" t="s">
        <v>9</v>
      </c>
      <c r="B854" t="s">
        <v>184</v>
      </c>
      <c r="C854" t="s">
        <v>143</v>
      </c>
      <c r="D854">
        <v>1383.99</v>
      </c>
      <c r="E854">
        <v>0</v>
      </c>
      <c r="F854">
        <v>76.84</v>
      </c>
      <c r="G854">
        <v>507.14100000000002</v>
      </c>
      <c r="H854">
        <v>7844.3990000000003</v>
      </c>
      <c r="I854">
        <v>-8303.9359999999997</v>
      </c>
    </row>
    <row r="855" spans="1:9" x14ac:dyDescent="0.25">
      <c r="A855" t="s">
        <v>9</v>
      </c>
      <c r="B855" t="s">
        <v>184</v>
      </c>
      <c r="C855" t="s">
        <v>3</v>
      </c>
      <c r="D855">
        <v>1415.52</v>
      </c>
      <c r="E855">
        <v>0</v>
      </c>
      <c r="F855">
        <v>76.84</v>
      </c>
      <c r="G855">
        <v>507.14100000000002</v>
      </c>
      <c r="H855">
        <v>7798.1459999999997</v>
      </c>
      <c r="I855">
        <v>-8493.098</v>
      </c>
    </row>
    <row r="856" spans="1:9" x14ac:dyDescent="0.25">
      <c r="A856" t="s">
        <v>9</v>
      </c>
      <c r="B856" t="s">
        <v>185</v>
      </c>
      <c r="C856" t="s">
        <v>143</v>
      </c>
      <c r="D856">
        <v>1383.99</v>
      </c>
      <c r="E856">
        <v>0</v>
      </c>
      <c r="F856">
        <v>76.84</v>
      </c>
      <c r="G856">
        <v>414.93299999999999</v>
      </c>
      <c r="H856">
        <v>7844.3990000000003</v>
      </c>
      <c r="I856">
        <v>-8303.9359999999997</v>
      </c>
    </row>
    <row r="857" spans="1:9" x14ac:dyDescent="0.25">
      <c r="A857" t="s">
        <v>9</v>
      </c>
      <c r="B857" t="s">
        <v>185</v>
      </c>
      <c r="C857" t="s">
        <v>3</v>
      </c>
      <c r="D857">
        <v>1415.52</v>
      </c>
      <c r="E857">
        <v>0</v>
      </c>
      <c r="F857">
        <v>76.84</v>
      </c>
      <c r="G857">
        <v>414.93299999999999</v>
      </c>
      <c r="H857">
        <v>7798.1459999999997</v>
      </c>
      <c r="I857">
        <v>-8493.098</v>
      </c>
    </row>
    <row r="858" spans="1:9" x14ac:dyDescent="0.25">
      <c r="A858" t="s">
        <v>9</v>
      </c>
      <c r="B858" t="s">
        <v>186</v>
      </c>
      <c r="C858" t="s">
        <v>143</v>
      </c>
      <c r="D858">
        <v>1095.6400000000001</v>
      </c>
      <c r="E858">
        <v>-76.84</v>
      </c>
      <c r="F858">
        <v>0</v>
      </c>
      <c r="G858">
        <v>507.14100000000002</v>
      </c>
      <c r="H858">
        <v>6573.817</v>
      </c>
      <c r="I858">
        <v>-7033.3540000000003</v>
      </c>
    </row>
    <row r="859" spans="1:9" x14ac:dyDescent="0.25">
      <c r="A859" t="s">
        <v>9</v>
      </c>
      <c r="B859" t="s">
        <v>186</v>
      </c>
      <c r="C859" t="s">
        <v>3</v>
      </c>
      <c r="D859">
        <v>1120.1600000000001</v>
      </c>
      <c r="E859">
        <v>-76.84</v>
      </c>
      <c r="F859">
        <v>0</v>
      </c>
      <c r="G859">
        <v>507.14100000000002</v>
      </c>
      <c r="H859">
        <v>6720.9430000000002</v>
      </c>
      <c r="I859">
        <v>-7415.8940000000002</v>
      </c>
    </row>
    <row r="860" spans="1:9" x14ac:dyDescent="0.25">
      <c r="A860" t="s">
        <v>9</v>
      </c>
      <c r="B860" t="s">
        <v>187</v>
      </c>
      <c r="C860" t="s">
        <v>143</v>
      </c>
      <c r="D860">
        <v>1095.6400000000001</v>
      </c>
      <c r="E860">
        <v>-76.84</v>
      </c>
      <c r="F860">
        <v>0</v>
      </c>
      <c r="G860">
        <v>414.93299999999999</v>
      </c>
      <c r="H860">
        <v>6573.817</v>
      </c>
      <c r="I860">
        <v>-7033.3540000000003</v>
      </c>
    </row>
    <row r="861" spans="1:9" x14ac:dyDescent="0.25">
      <c r="A861" t="s">
        <v>9</v>
      </c>
      <c r="B861" t="s">
        <v>187</v>
      </c>
      <c r="C861" t="s">
        <v>3</v>
      </c>
      <c r="D861">
        <v>1120.1600000000001</v>
      </c>
      <c r="E861">
        <v>-76.84</v>
      </c>
      <c r="F861">
        <v>0</v>
      </c>
      <c r="G861">
        <v>414.93299999999999</v>
      </c>
      <c r="H861">
        <v>6720.9430000000002</v>
      </c>
      <c r="I861">
        <v>-7415.8940000000002</v>
      </c>
    </row>
    <row r="862" spans="1:9" x14ac:dyDescent="0.25">
      <c r="A862" t="s">
        <v>9</v>
      </c>
      <c r="B862" t="s">
        <v>188</v>
      </c>
      <c r="C862" t="s">
        <v>143</v>
      </c>
      <c r="D862">
        <v>1095.6400000000001</v>
      </c>
      <c r="E862">
        <v>76.84</v>
      </c>
      <c r="F862">
        <v>0</v>
      </c>
      <c r="G862">
        <v>-507.14100000000002</v>
      </c>
      <c r="H862">
        <v>6573.817</v>
      </c>
      <c r="I862">
        <v>-6114.28</v>
      </c>
    </row>
    <row r="863" spans="1:9" x14ac:dyDescent="0.25">
      <c r="A863" t="s">
        <v>9</v>
      </c>
      <c r="B863" t="s">
        <v>188</v>
      </c>
      <c r="C863" t="s">
        <v>3</v>
      </c>
      <c r="D863">
        <v>1120.1600000000001</v>
      </c>
      <c r="E863">
        <v>76.84</v>
      </c>
      <c r="F863">
        <v>0</v>
      </c>
      <c r="G863">
        <v>-507.14100000000002</v>
      </c>
      <c r="H863">
        <v>6720.9430000000002</v>
      </c>
      <c r="I863">
        <v>-6025.991</v>
      </c>
    </row>
    <row r="864" spans="1:9" x14ac:dyDescent="0.25">
      <c r="A864" t="s">
        <v>9</v>
      </c>
      <c r="B864" t="s">
        <v>189</v>
      </c>
      <c r="C864" t="s">
        <v>143</v>
      </c>
      <c r="D864">
        <v>1095.6400000000001</v>
      </c>
      <c r="E864">
        <v>76.84</v>
      </c>
      <c r="F864">
        <v>0</v>
      </c>
      <c r="G864">
        <v>-414.93299999999999</v>
      </c>
      <c r="H864">
        <v>6573.817</v>
      </c>
      <c r="I864">
        <v>-6114.28</v>
      </c>
    </row>
    <row r="865" spans="1:9" x14ac:dyDescent="0.25">
      <c r="A865" t="s">
        <v>9</v>
      </c>
      <c r="B865" t="s">
        <v>189</v>
      </c>
      <c r="C865" t="s">
        <v>3</v>
      </c>
      <c r="D865">
        <v>1120.1600000000001</v>
      </c>
      <c r="E865">
        <v>76.84</v>
      </c>
      <c r="F865">
        <v>0</v>
      </c>
      <c r="G865">
        <v>-414.93299999999999</v>
      </c>
      <c r="H865">
        <v>6720.9430000000002</v>
      </c>
      <c r="I865">
        <v>-6025.991</v>
      </c>
    </row>
    <row r="866" spans="1:9" x14ac:dyDescent="0.25">
      <c r="A866" t="s">
        <v>9</v>
      </c>
      <c r="B866" t="s">
        <v>190</v>
      </c>
      <c r="C866" t="s">
        <v>143</v>
      </c>
      <c r="D866">
        <v>1095.6400000000001</v>
      </c>
      <c r="E866">
        <v>0</v>
      </c>
      <c r="F866">
        <v>-76.84</v>
      </c>
      <c r="G866">
        <v>-507.14100000000002</v>
      </c>
      <c r="H866">
        <v>7033.3540000000003</v>
      </c>
      <c r="I866">
        <v>-6573.817</v>
      </c>
    </row>
    <row r="867" spans="1:9" x14ac:dyDescent="0.25">
      <c r="A867" t="s">
        <v>9</v>
      </c>
      <c r="B867" t="s">
        <v>190</v>
      </c>
      <c r="C867" t="s">
        <v>3</v>
      </c>
      <c r="D867">
        <v>1120.1600000000001</v>
      </c>
      <c r="E867">
        <v>0</v>
      </c>
      <c r="F867">
        <v>-76.84</v>
      </c>
      <c r="G867">
        <v>-507.14100000000002</v>
      </c>
      <c r="H867">
        <v>7415.8940000000002</v>
      </c>
      <c r="I867">
        <v>-6720.9430000000002</v>
      </c>
    </row>
    <row r="868" spans="1:9" x14ac:dyDescent="0.25">
      <c r="A868" t="s">
        <v>9</v>
      </c>
      <c r="B868" t="s">
        <v>191</v>
      </c>
      <c r="C868" t="s">
        <v>143</v>
      </c>
      <c r="D868">
        <v>1095.6400000000001</v>
      </c>
      <c r="E868">
        <v>0</v>
      </c>
      <c r="F868">
        <v>-76.84</v>
      </c>
      <c r="G868">
        <v>-414.93299999999999</v>
      </c>
      <c r="H868">
        <v>7033.3540000000003</v>
      </c>
      <c r="I868">
        <v>-6573.817</v>
      </c>
    </row>
    <row r="869" spans="1:9" x14ac:dyDescent="0.25">
      <c r="A869" t="s">
        <v>9</v>
      </c>
      <c r="B869" t="s">
        <v>191</v>
      </c>
      <c r="C869" t="s">
        <v>3</v>
      </c>
      <c r="D869">
        <v>1120.1600000000001</v>
      </c>
      <c r="E869">
        <v>0</v>
      </c>
      <c r="F869">
        <v>-76.84</v>
      </c>
      <c r="G869">
        <v>-414.93299999999999</v>
      </c>
      <c r="H869">
        <v>7415.8940000000002</v>
      </c>
      <c r="I869">
        <v>-6720.9430000000002</v>
      </c>
    </row>
    <row r="870" spans="1:9" x14ac:dyDescent="0.25">
      <c r="A870" t="s">
        <v>9</v>
      </c>
      <c r="B870" t="s">
        <v>192</v>
      </c>
      <c r="C870" t="s">
        <v>143</v>
      </c>
      <c r="D870">
        <v>1095.6400000000001</v>
      </c>
      <c r="E870">
        <v>0</v>
      </c>
      <c r="F870">
        <v>76.84</v>
      </c>
      <c r="G870">
        <v>507.14100000000002</v>
      </c>
      <c r="H870">
        <v>6114.28</v>
      </c>
      <c r="I870">
        <v>-6573.817</v>
      </c>
    </row>
    <row r="871" spans="1:9" x14ac:dyDescent="0.25">
      <c r="A871" t="s">
        <v>9</v>
      </c>
      <c r="B871" t="s">
        <v>192</v>
      </c>
      <c r="C871" t="s">
        <v>3</v>
      </c>
      <c r="D871">
        <v>1120.1600000000001</v>
      </c>
      <c r="E871">
        <v>0</v>
      </c>
      <c r="F871">
        <v>76.84</v>
      </c>
      <c r="G871">
        <v>507.14100000000002</v>
      </c>
      <c r="H871">
        <v>6025.991</v>
      </c>
      <c r="I871">
        <v>-6720.9430000000002</v>
      </c>
    </row>
    <row r="872" spans="1:9" x14ac:dyDescent="0.25">
      <c r="A872" t="s">
        <v>9</v>
      </c>
      <c r="B872" t="s">
        <v>193</v>
      </c>
      <c r="C872" t="s">
        <v>143</v>
      </c>
      <c r="D872">
        <v>1095.6400000000001</v>
      </c>
      <c r="E872">
        <v>0</v>
      </c>
      <c r="F872">
        <v>76.84</v>
      </c>
      <c r="G872">
        <v>414.93299999999999</v>
      </c>
      <c r="H872">
        <v>6114.28</v>
      </c>
      <c r="I872">
        <v>-6573.817</v>
      </c>
    </row>
    <row r="873" spans="1:9" x14ac:dyDescent="0.25">
      <c r="A873" t="s">
        <v>9</v>
      </c>
      <c r="B873" t="s">
        <v>193</v>
      </c>
      <c r="C873" t="s">
        <v>3</v>
      </c>
      <c r="D873">
        <v>1120.1600000000001</v>
      </c>
      <c r="E873">
        <v>0</v>
      </c>
      <c r="F873">
        <v>76.84</v>
      </c>
      <c r="G873">
        <v>414.93299999999999</v>
      </c>
      <c r="H873">
        <v>6025.991</v>
      </c>
      <c r="I873">
        <v>-6720.9430000000002</v>
      </c>
    </row>
    <row r="874" spans="1:9" x14ac:dyDescent="0.25">
      <c r="A874" t="s">
        <v>9</v>
      </c>
      <c r="B874" t="s">
        <v>194</v>
      </c>
      <c r="C874" t="s">
        <v>143</v>
      </c>
      <c r="D874">
        <v>908.31</v>
      </c>
      <c r="E874">
        <v>-256.13</v>
      </c>
      <c r="F874">
        <v>0</v>
      </c>
      <c r="G874">
        <v>1690.4690000000001</v>
      </c>
      <c r="H874">
        <v>5449.875</v>
      </c>
      <c r="I874">
        <v>-6981.6660000000002</v>
      </c>
    </row>
    <row r="875" spans="1:9" x14ac:dyDescent="0.25">
      <c r="A875" t="s">
        <v>9</v>
      </c>
      <c r="B875" t="s">
        <v>194</v>
      </c>
      <c r="C875" t="s">
        <v>3</v>
      </c>
      <c r="D875">
        <v>930.38</v>
      </c>
      <c r="E875">
        <v>-256.13</v>
      </c>
      <c r="F875">
        <v>0</v>
      </c>
      <c r="G875">
        <v>1690.4690000000001</v>
      </c>
      <c r="H875">
        <v>5582.2879999999996</v>
      </c>
      <c r="I875">
        <v>-7898.7939999999999</v>
      </c>
    </row>
    <row r="876" spans="1:9" x14ac:dyDescent="0.25">
      <c r="A876" t="s">
        <v>9</v>
      </c>
      <c r="B876" t="s">
        <v>195</v>
      </c>
      <c r="C876" t="s">
        <v>143</v>
      </c>
      <c r="D876">
        <v>908.31</v>
      </c>
      <c r="E876">
        <v>-256.13</v>
      </c>
      <c r="F876">
        <v>0</v>
      </c>
      <c r="G876">
        <v>1383.1110000000001</v>
      </c>
      <c r="H876">
        <v>5449.875</v>
      </c>
      <c r="I876">
        <v>-6981.6660000000002</v>
      </c>
    </row>
    <row r="877" spans="1:9" x14ac:dyDescent="0.25">
      <c r="A877" t="s">
        <v>9</v>
      </c>
      <c r="B877" t="s">
        <v>195</v>
      </c>
      <c r="C877" t="s">
        <v>3</v>
      </c>
      <c r="D877">
        <v>930.38</v>
      </c>
      <c r="E877">
        <v>-256.13</v>
      </c>
      <c r="F877">
        <v>0</v>
      </c>
      <c r="G877">
        <v>1383.1110000000001</v>
      </c>
      <c r="H877">
        <v>5582.2879999999996</v>
      </c>
      <c r="I877">
        <v>-7898.7939999999999</v>
      </c>
    </row>
    <row r="878" spans="1:9" x14ac:dyDescent="0.25">
      <c r="A878" t="s">
        <v>9</v>
      </c>
      <c r="B878" t="s">
        <v>196</v>
      </c>
      <c r="C878" t="s">
        <v>143</v>
      </c>
      <c r="D878">
        <v>908.31</v>
      </c>
      <c r="E878">
        <v>256.13</v>
      </c>
      <c r="F878">
        <v>0</v>
      </c>
      <c r="G878">
        <v>-1690.4690000000001</v>
      </c>
      <c r="H878">
        <v>5449.875</v>
      </c>
      <c r="I878">
        <v>-3918.085</v>
      </c>
    </row>
    <row r="879" spans="1:9" x14ac:dyDescent="0.25">
      <c r="A879" t="s">
        <v>9</v>
      </c>
      <c r="B879" t="s">
        <v>196</v>
      </c>
      <c r="C879" t="s">
        <v>3</v>
      </c>
      <c r="D879">
        <v>930.38</v>
      </c>
      <c r="E879">
        <v>256.13</v>
      </c>
      <c r="F879">
        <v>0</v>
      </c>
      <c r="G879">
        <v>-1690.4690000000001</v>
      </c>
      <c r="H879">
        <v>5582.2879999999996</v>
      </c>
      <c r="I879">
        <v>-3265.7829999999999</v>
      </c>
    </row>
    <row r="880" spans="1:9" x14ac:dyDescent="0.25">
      <c r="A880" t="s">
        <v>9</v>
      </c>
      <c r="B880" t="s">
        <v>197</v>
      </c>
      <c r="C880" t="s">
        <v>143</v>
      </c>
      <c r="D880">
        <v>908.31</v>
      </c>
      <c r="E880">
        <v>256.13</v>
      </c>
      <c r="F880">
        <v>0</v>
      </c>
      <c r="G880">
        <v>-1383.1110000000001</v>
      </c>
      <c r="H880">
        <v>5449.875</v>
      </c>
      <c r="I880">
        <v>-3918.085</v>
      </c>
    </row>
    <row r="881" spans="1:9" x14ac:dyDescent="0.25">
      <c r="A881" t="s">
        <v>9</v>
      </c>
      <c r="B881" t="s">
        <v>197</v>
      </c>
      <c r="C881" t="s">
        <v>3</v>
      </c>
      <c r="D881">
        <v>930.38</v>
      </c>
      <c r="E881">
        <v>256.13</v>
      </c>
      <c r="F881">
        <v>0</v>
      </c>
      <c r="G881">
        <v>-1383.1110000000001</v>
      </c>
      <c r="H881">
        <v>5582.2879999999996</v>
      </c>
      <c r="I881">
        <v>-3265.7829999999999</v>
      </c>
    </row>
    <row r="882" spans="1:9" x14ac:dyDescent="0.25">
      <c r="A882" t="s">
        <v>9</v>
      </c>
      <c r="B882" t="s">
        <v>198</v>
      </c>
      <c r="C882" t="s">
        <v>143</v>
      </c>
      <c r="D882">
        <v>908.31</v>
      </c>
      <c r="E882">
        <v>0</v>
      </c>
      <c r="F882">
        <v>-256.13</v>
      </c>
      <c r="G882">
        <v>-1690.4690000000001</v>
      </c>
      <c r="H882">
        <v>6981.6660000000002</v>
      </c>
      <c r="I882">
        <v>-5449.875</v>
      </c>
    </row>
    <row r="883" spans="1:9" x14ac:dyDescent="0.25">
      <c r="A883" t="s">
        <v>9</v>
      </c>
      <c r="B883" t="s">
        <v>198</v>
      </c>
      <c r="C883" t="s">
        <v>3</v>
      </c>
      <c r="D883">
        <v>930.38</v>
      </c>
      <c r="E883">
        <v>0</v>
      </c>
      <c r="F883">
        <v>-256.13</v>
      </c>
      <c r="G883">
        <v>-1690.4690000000001</v>
      </c>
      <c r="H883">
        <v>7898.7939999999999</v>
      </c>
      <c r="I883">
        <v>-5582.2879999999996</v>
      </c>
    </row>
    <row r="884" spans="1:9" x14ac:dyDescent="0.25">
      <c r="A884" t="s">
        <v>9</v>
      </c>
      <c r="B884" t="s">
        <v>199</v>
      </c>
      <c r="C884" t="s">
        <v>143</v>
      </c>
      <c r="D884">
        <v>908.31</v>
      </c>
      <c r="E884">
        <v>0</v>
      </c>
      <c r="F884">
        <v>-256.13</v>
      </c>
      <c r="G884">
        <v>-1383.1110000000001</v>
      </c>
      <c r="H884">
        <v>6981.6660000000002</v>
      </c>
      <c r="I884">
        <v>-5449.875</v>
      </c>
    </row>
    <row r="885" spans="1:9" x14ac:dyDescent="0.25">
      <c r="A885" t="s">
        <v>9</v>
      </c>
      <c r="B885" t="s">
        <v>199</v>
      </c>
      <c r="C885" t="s">
        <v>3</v>
      </c>
      <c r="D885">
        <v>930.38</v>
      </c>
      <c r="E885">
        <v>0</v>
      </c>
      <c r="F885">
        <v>-256.13</v>
      </c>
      <c r="G885">
        <v>-1383.1110000000001</v>
      </c>
      <c r="H885">
        <v>7898.7939999999999</v>
      </c>
      <c r="I885">
        <v>-5582.2879999999996</v>
      </c>
    </row>
    <row r="886" spans="1:9" x14ac:dyDescent="0.25">
      <c r="A886" t="s">
        <v>9</v>
      </c>
      <c r="B886" t="s">
        <v>200</v>
      </c>
      <c r="C886" t="s">
        <v>143</v>
      </c>
      <c r="D886">
        <v>908.31</v>
      </c>
      <c r="E886">
        <v>0</v>
      </c>
      <c r="F886">
        <v>256.13</v>
      </c>
      <c r="G886">
        <v>1690.4690000000001</v>
      </c>
      <c r="H886">
        <v>3918.085</v>
      </c>
      <c r="I886">
        <v>-5449.875</v>
      </c>
    </row>
    <row r="887" spans="1:9" x14ac:dyDescent="0.25">
      <c r="A887" t="s">
        <v>9</v>
      </c>
      <c r="B887" t="s">
        <v>200</v>
      </c>
      <c r="C887" t="s">
        <v>3</v>
      </c>
      <c r="D887">
        <v>930.38</v>
      </c>
      <c r="E887">
        <v>0</v>
      </c>
      <c r="F887">
        <v>256.13</v>
      </c>
      <c r="G887">
        <v>1690.4690000000001</v>
      </c>
      <c r="H887">
        <v>3265.7829999999999</v>
      </c>
      <c r="I887">
        <v>-5582.2879999999996</v>
      </c>
    </row>
    <row r="888" spans="1:9" x14ac:dyDescent="0.25">
      <c r="A888" t="s">
        <v>9</v>
      </c>
      <c r="B888" t="s">
        <v>201</v>
      </c>
      <c r="C888" t="s">
        <v>143</v>
      </c>
      <c r="D888">
        <v>908.31</v>
      </c>
      <c r="E888">
        <v>0</v>
      </c>
      <c r="F888">
        <v>256.13</v>
      </c>
      <c r="G888">
        <v>1383.1110000000001</v>
      </c>
      <c r="H888">
        <v>3918.085</v>
      </c>
      <c r="I888">
        <v>-5449.875</v>
      </c>
    </row>
    <row r="889" spans="1:9" x14ac:dyDescent="0.25">
      <c r="A889" t="s">
        <v>9</v>
      </c>
      <c r="B889" t="s">
        <v>201</v>
      </c>
      <c r="C889" t="s">
        <v>3</v>
      </c>
      <c r="D889">
        <v>930.38</v>
      </c>
      <c r="E889">
        <v>0</v>
      </c>
      <c r="F889">
        <v>256.13</v>
      </c>
      <c r="G889">
        <v>1383.1110000000001</v>
      </c>
      <c r="H889">
        <v>3265.7829999999999</v>
      </c>
      <c r="I889">
        <v>-5582.2879999999996</v>
      </c>
    </row>
    <row r="890" spans="1:9" x14ac:dyDescent="0.25">
      <c r="A890" t="s">
        <v>9</v>
      </c>
      <c r="B890" t="s">
        <v>202</v>
      </c>
      <c r="C890" t="s">
        <v>143</v>
      </c>
      <c r="D890">
        <v>821.81</v>
      </c>
      <c r="E890">
        <v>-256.13</v>
      </c>
      <c r="F890">
        <v>0</v>
      </c>
      <c r="G890">
        <v>1690.4690000000001</v>
      </c>
      <c r="H890">
        <v>4930.84</v>
      </c>
      <c r="I890">
        <v>-6462.63</v>
      </c>
    </row>
    <row r="891" spans="1:9" x14ac:dyDescent="0.25">
      <c r="A891" t="s">
        <v>9</v>
      </c>
      <c r="B891" t="s">
        <v>202</v>
      </c>
      <c r="C891" t="s">
        <v>3</v>
      </c>
      <c r="D891">
        <v>841.77</v>
      </c>
      <c r="E891">
        <v>-256.13</v>
      </c>
      <c r="F891">
        <v>0</v>
      </c>
      <c r="G891">
        <v>1690.4690000000001</v>
      </c>
      <c r="H891">
        <v>5050.6419999999998</v>
      </c>
      <c r="I891">
        <v>-7367.1480000000001</v>
      </c>
    </row>
    <row r="892" spans="1:9" x14ac:dyDescent="0.25">
      <c r="A892" t="s">
        <v>9</v>
      </c>
      <c r="B892" t="s">
        <v>203</v>
      </c>
      <c r="C892" t="s">
        <v>143</v>
      </c>
      <c r="D892">
        <v>821.81</v>
      </c>
      <c r="E892">
        <v>-256.13</v>
      </c>
      <c r="F892">
        <v>0</v>
      </c>
      <c r="G892">
        <v>1383.1110000000001</v>
      </c>
      <c r="H892">
        <v>4930.84</v>
      </c>
      <c r="I892">
        <v>-6462.63</v>
      </c>
    </row>
    <row r="893" spans="1:9" x14ac:dyDescent="0.25">
      <c r="A893" t="s">
        <v>9</v>
      </c>
      <c r="B893" t="s">
        <v>203</v>
      </c>
      <c r="C893" t="s">
        <v>3</v>
      </c>
      <c r="D893">
        <v>841.77</v>
      </c>
      <c r="E893">
        <v>-256.13</v>
      </c>
      <c r="F893">
        <v>0</v>
      </c>
      <c r="G893">
        <v>1383.1110000000001</v>
      </c>
      <c r="H893">
        <v>5050.6419999999998</v>
      </c>
      <c r="I893">
        <v>-7367.1480000000001</v>
      </c>
    </row>
    <row r="894" spans="1:9" x14ac:dyDescent="0.25">
      <c r="A894" t="s">
        <v>9</v>
      </c>
      <c r="B894" t="s">
        <v>204</v>
      </c>
      <c r="C894" t="s">
        <v>143</v>
      </c>
      <c r="D894">
        <v>821.81</v>
      </c>
      <c r="E894">
        <v>256.13</v>
      </c>
      <c r="F894">
        <v>0</v>
      </c>
      <c r="G894">
        <v>-1690.4690000000001</v>
      </c>
      <c r="H894">
        <v>4930.84</v>
      </c>
      <c r="I894">
        <v>-3399.049</v>
      </c>
    </row>
    <row r="895" spans="1:9" x14ac:dyDescent="0.25">
      <c r="A895" t="s">
        <v>9</v>
      </c>
      <c r="B895" t="s">
        <v>204</v>
      </c>
      <c r="C895" t="s">
        <v>3</v>
      </c>
      <c r="D895">
        <v>841.77</v>
      </c>
      <c r="E895">
        <v>256.13</v>
      </c>
      <c r="F895">
        <v>0</v>
      </c>
      <c r="G895">
        <v>-1690.4690000000001</v>
      </c>
      <c r="H895">
        <v>5050.6419999999998</v>
      </c>
      <c r="I895">
        <v>-2734.136</v>
      </c>
    </row>
    <row r="896" spans="1:9" x14ac:dyDescent="0.25">
      <c r="A896" t="s">
        <v>9</v>
      </c>
      <c r="B896" t="s">
        <v>205</v>
      </c>
      <c r="C896" t="s">
        <v>143</v>
      </c>
      <c r="D896">
        <v>821.81</v>
      </c>
      <c r="E896">
        <v>256.13</v>
      </c>
      <c r="F896">
        <v>0</v>
      </c>
      <c r="G896">
        <v>-1383.1110000000001</v>
      </c>
      <c r="H896">
        <v>4930.84</v>
      </c>
      <c r="I896">
        <v>-3399.049</v>
      </c>
    </row>
    <row r="897" spans="1:9" x14ac:dyDescent="0.25">
      <c r="A897" t="s">
        <v>9</v>
      </c>
      <c r="B897" t="s">
        <v>205</v>
      </c>
      <c r="C897" t="s">
        <v>3</v>
      </c>
      <c r="D897">
        <v>841.77</v>
      </c>
      <c r="E897">
        <v>256.13</v>
      </c>
      <c r="F897">
        <v>0</v>
      </c>
      <c r="G897">
        <v>-1383.1110000000001</v>
      </c>
      <c r="H897">
        <v>5050.6419999999998</v>
      </c>
      <c r="I897">
        <v>-2734.136</v>
      </c>
    </row>
    <row r="898" spans="1:9" x14ac:dyDescent="0.25">
      <c r="A898" t="s">
        <v>9</v>
      </c>
      <c r="B898" t="s">
        <v>206</v>
      </c>
      <c r="C898" t="s">
        <v>143</v>
      </c>
      <c r="D898">
        <v>821.81</v>
      </c>
      <c r="E898">
        <v>0</v>
      </c>
      <c r="F898">
        <v>-256.13</v>
      </c>
      <c r="G898">
        <v>-1690.4690000000001</v>
      </c>
      <c r="H898">
        <v>6462.63</v>
      </c>
      <c r="I898">
        <v>-4930.84</v>
      </c>
    </row>
    <row r="899" spans="1:9" x14ac:dyDescent="0.25">
      <c r="A899" t="s">
        <v>9</v>
      </c>
      <c r="B899" t="s">
        <v>206</v>
      </c>
      <c r="C899" t="s">
        <v>3</v>
      </c>
      <c r="D899">
        <v>841.77</v>
      </c>
      <c r="E899">
        <v>0</v>
      </c>
      <c r="F899">
        <v>-256.13</v>
      </c>
      <c r="G899">
        <v>-1690.4690000000001</v>
      </c>
      <c r="H899">
        <v>7367.1480000000001</v>
      </c>
      <c r="I899">
        <v>-5050.6419999999998</v>
      </c>
    </row>
    <row r="900" spans="1:9" x14ac:dyDescent="0.25">
      <c r="A900" t="s">
        <v>9</v>
      </c>
      <c r="B900" t="s">
        <v>207</v>
      </c>
      <c r="C900" t="s">
        <v>143</v>
      </c>
      <c r="D900">
        <v>821.81</v>
      </c>
      <c r="E900">
        <v>0</v>
      </c>
      <c r="F900">
        <v>-256.13</v>
      </c>
      <c r="G900">
        <v>-1383.1110000000001</v>
      </c>
      <c r="H900">
        <v>6462.63</v>
      </c>
      <c r="I900">
        <v>-4930.84</v>
      </c>
    </row>
    <row r="901" spans="1:9" x14ac:dyDescent="0.25">
      <c r="A901" t="s">
        <v>9</v>
      </c>
      <c r="B901" t="s">
        <v>207</v>
      </c>
      <c r="C901" t="s">
        <v>3</v>
      </c>
      <c r="D901">
        <v>841.77</v>
      </c>
      <c r="E901">
        <v>0</v>
      </c>
      <c r="F901">
        <v>-256.13</v>
      </c>
      <c r="G901">
        <v>-1383.1110000000001</v>
      </c>
      <c r="H901">
        <v>7367.1480000000001</v>
      </c>
      <c r="I901">
        <v>-5050.6419999999998</v>
      </c>
    </row>
    <row r="902" spans="1:9" x14ac:dyDescent="0.25">
      <c r="A902" t="s">
        <v>9</v>
      </c>
      <c r="B902" t="s">
        <v>208</v>
      </c>
      <c r="C902" t="s">
        <v>143</v>
      </c>
      <c r="D902">
        <v>821.81</v>
      </c>
      <c r="E902">
        <v>0</v>
      </c>
      <c r="F902">
        <v>256.13</v>
      </c>
      <c r="G902">
        <v>1690.4690000000001</v>
      </c>
      <c r="H902">
        <v>3399.049</v>
      </c>
      <c r="I902">
        <v>-4930.84</v>
      </c>
    </row>
    <row r="903" spans="1:9" x14ac:dyDescent="0.25">
      <c r="A903" t="s">
        <v>9</v>
      </c>
      <c r="B903" t="s">
        <v>208</v>
      </c>
      <c r="C903" t="s">
        <v>3</v>
      </c>
      <c r="D903">
        <v>841.77</v>
      </c>
      <c r="E903">
        <v>0</v>
      </c>
      <c r="F903">
        <v>256.13</v>
      </c>
      <c r="G903">
        <v>1690.4690000000001</v>
      </c>
      <c r="H903">
        <v>2734.136</v>
      </c>
      <c r="I903">
        <v>-5050.6419999999998</v>
      </c>
    </row>
    <row r="904" spans="1:9" x14ac:dyDescent="0.25">
      <c r="A904" t="s">
        <v>9</v>
      </c>
      <c r="B904" t="s">
        <v>209</v>
      </c>
      <c r="C904" t="s">
        <v>143</v>
      </c>
      <c r="D904">
        <v>821.81</v>
      </c>
      <c r="E904">
        <v>0</v>
      </c>
      <c r="F904">
        <v>256.13</v>
      </c>
      <c r="G904">
        <v>1383.1110000000001</v>
      </c>
      <c r="H904">
        <v>3399.049</v>
      </c>
      <c r="I904">
        <v>-4930.84</v>
      </c>
    </row>
    <row r="905" spans="1:9" x14ac:dyDescent="0.25">
      <c r="A905" t="s">
        <v>9</v>
      </c>
      <c r="B905" t="s">
        <v>209</v>
      </c>
      <c r="C905" t="s">
        <v>3</v>
      </c>
      <c r="D905">
        <v>841.77</v>
      </c>
      <c r="E905">
        <v>0</v>
      </c>
      <c r="F905">
        <v>256.13</v>
      </c>
      <c r="G905">
        <v>1383.1110000000001</v>
      </c>
      <c r="H905">
        <v>2734.136</v>
      </c>
      <c r="I905">
        <v>-5050.6419999999998</v>
      </c>
    </row>
    <row r="906" spans="1:9" x14ac:dyDescent="0.25">
      <c r="A906" t="s">
        <v>9</v>
      </c>
      <c r="B906" t="s">
        <v>210</v>
      </c>
      <c r="C906" t="s">
        <v>143</v>
      </c>
      <c r="D906">
        <v>1009.24</v>
      </c>
      <c r="E906">
        <v>-76.84</v>
      </c>
      <c r="F906">
        <v>0</v>
      </c>
      <c r="G906">
        <v>507.14100000000002</v>
      </c>
      <c r="H906">
        <v>6055.4170000000004</v>
      </c>
      <c r="I906">
        <v>-6514.9539999999997</v>
      </c>
    </row>
    <row r="907" spans="1:9" x14ac:dyDescent="0.25">
      <c r="A907" t="s">
        <v>9</v>
      </c>
      <c r="B907" t="s">
        <v>210</v>
      </c>
      <c r="C907" t="s">
        <v>3</v>
      </c>
      <c r="D907">
        <v>1033.76</v>
      </c>
      <c r="E907">
        <v>-76.84</v>
      </c>
      <c r="F907">
        <v>0</v>
      </c>
      <c r="G907">
        <v>507.14100000000002</v>
      </c>
      <c r="H907">
        <v>6202.5429999999997</v>
      </c>
      <c r="I907">
        <v>-6897.4939999999997</v>
      </c>
    </row>
    <row r="908" spans="1:9" x14ac:dyDescent="0.25">
      <c r="A908" t="s">
        <v>9</v>
      </c>
      <c r="B908" t="s">
        <v>211</v>
      </c>
      <c r="C908" t="s">
        <v>143</v>
      </c>
      <c r="D908">
        <v>1009.24</v>
      </c>
      <c r="E908">
        <v>-76.84</v>
      </c>
      <c r="F908">
        <v>0</v>
      </c>
      <c r="G908">
        <v>414.93299999999999</v>
      </c>
      <c r="H908">
        <v>6055.4170000000004</v>
      </c>
      <c r="I908">
        <v>-6514.9539999999997</v>
      </c>
    </row>
    <row r="909" spans="1:9" x14ac:dyDescent="0.25">
      <c r="A909" t="s">
        <v>9</v>
      </c>
      <c r="B909" t="s">
        <v>211</v>
      </c>
      <c r="C909" t="s">
        <v>3</v>
      </c>
      <c r="D909">
        <v>1033.76</v>
      </c>
      <c r="E909">
        <v>-76.84</v>
      </c>
      <c r="F909">
        <v>0</v>
      </c>
      <c r="G909">
        <v>414.93299999999999</v>
      </c>
      <c r="H909">
        <v>6202.5429999999997</v>
      </c>
      <c r="I909">
        <v>-6897.4939999999997</v>
      </c>
    </row>
    <row r="910" spans="1:9" x14ac:dyDescent="0.25">
      <c r="A910" t="s">
        <v>9</v>
      </c>
      <c r="B910" t="s">
        <v>212</v>
      </c>
      <c r="C910" t="s">
        <v>143</v>
      </c>
      <c r="D910">
        <v>1009.24</v>
      </c>
      <c r="E910">
        <v>76.84</v>
      </c>
      <c r="F910">
        <v>0</v>
      </c>
      <c r="G910">
        <v>-507.14100000000002</v>
      </c>
      <c r="H910">
        <v>6055.4170000000004</v>
      </c>
      <c r="I910">
        <v>-5595.88</v>
      </c>
    </row>
    <row r="911" spans="1:9" x14ac:dyDescent="0.25">
      <c r="A911" t="s">
        <v>9</v>
      </c>
      <c r="B911" t="s">
        <v>212</v>
      </c>
      <c r="C911" t="s">
        <v>3</v>
      </c>
      <c r="D911">
        <v>1033.76</v>
      </c>
      <c r="E911">
        <v>76.84</v>
      </c>
      <c r="F911">
        <v>0</v>
      </c>
      <c r="G911">
        <v>-507.14100000000002</v>
      </c>
      <c r="H911">
        <v>6202.5429999999997</v>
      </c>
      <c r="I911">
        <v>-5507.5910000000003</v>
      </c>
    </row>
    <row r="912" spans="1:9" x14ac:dyDescent="0.25">
      <c r="A912" t="s">
        <v>9</v>
      </c>
      <c r="B912" t="s">
        <v>213</v>
      </c>
      <c r="C912" t="s">
        <v>143</v>
      </c>
      <c r="D912">
        <v>1009.24</v>
      </c>
      <c r="E912">
        <v>76.84</v>
      </c>
      <c r="F912">
        <v>0</v>
      </c>
      <c r="G912">
        <v>-414.93299999999999</v>
      </c>
      <c r="H912">
        <v>6055.4170000000004</v>
      </c>
      <c r="I912">
        <v>-5595.88</v>
      </c>
    </row>
    <row r="913" spans="1:9" x14ac:dyDescent="0.25">
      <c r="A913" t="s">
        <v>9</v>
      </c>
      <c r="B913" t="s">
        <v>213</v>
      </c>
      <c r="C913" t="s">
        <v>3</v>
      </c>
      <c r="D913">
        <v>1033.76</v>
      </c>
      <c r="E913">
        <v>76.84</v>
      </c>
      <c r="F913">
        <v>0</v>
      </c>
      <c r="G913">
        <v>-414.93299999999999</v>
      </c>
      <c r="H913">
        <v>6202.5429999999997</v>
      </c>
      <c r="I913">
        <v>-5507.5910000000003</v>
      </c>
    </row>
    <row r="914" spans="1:9" x14ac:dyDescent="0.25">
      <c r="A914" t="s">
        <v>9</v>
      </c>
      <c r="B914" t="s">
        <v>214</v>
      </c>
      <c r="C914" t="s">
        <v>143</v>
      </c>
      <c r="D914">
        <v>1009.24</v>
      </c>
      <c r="E914">
        <v>0</v>
      </c>
      <c r="F914">
        <v>-76.84</v>
      </c>
      <c r="G914">
        <v>-507.14100000000002</v>
      </c>
      <c r="H914">
        <v>6514.9539999999997</v>
      </c>
      <c r="I914">
        <v>-6055.4170000000004</v>
      </c>
    </row>
    <row r="915" spans="1:9" x14ac:dyDescent="0.25">
      <c r="A915" t="s">
        <v>9</v>
      </c>
      <c r="B915" t="s">
        <v>214</v>
      </c>
      <c r="C915" t="s">
        <v>3</v>
      </c>
      <c r="D915">
        <v>1033.76</v>
      </c>
      <c r="E915">
        <v>0</v>
      </c>
      <c r="F915">
        <v>-76.84</v>
      </c>
      <c r="G915">
        <v>-507.14100000000002</v>
      </c>
      <c r="H915">
        <v>6897.4939999999997</v>
      </c>
      <c r="I915">
        <v>-6202.5429999999997</v>
      </c>
    </row>
    <row r="916" spans="1:9" x14ac:dyDescent="0.25">
      <c r="A916" t="s">
        <v>9</v>
      </c>
      <c r="B916" t="s">
        <v>215</v>
      </c>
      <c r="C916" t="s">
        <v>143</v>
      </c>
      <c r="D916">
        <v>1009.24</v>
      </c>
      <c r="E916">
        <v>0</v>
      </c>
      <c r="F916">
        <v>-76.84</v>
      </c>
      <c r="G916">
        <v>-414.93299999999999</v>
      </c>
      <c r="H916">
        <v>6514.9539999999997</v>
      </c>
      <c r="I916">
        <v>-6055.4170000000004</v>
      </c>
    </row>
    <row r="917" spans="1:9" x14ac:dyDescent="0.25">
      <c r="A917" t="s">
        <v>9</v>
      </c>
      <c r="B917" t="s">
        <v>215</v>
      </c>
      <c r="C917" t="s">
        <v>3</v>
      </c>
      <c r="D917">
        <v>1033.76</v>
      </c>
      <c r="E917">
        <v>0</v>
      </c>
      <c r="F917">
        <v>-76.84</v>
      </c>
      <c r="G917">
        <v>-414.93299999999999</v>
      </c>
      <c r="H917">
        <v>6897.4939999999997</v>
      </c>
      <c r="I917">
        <v>-6202.5429999999997</v>
      </c>
    </row>
    <row r="918" spans="1:9" x14ac:dyDescent="0.25">
      <c r="A918" t="s">
        <v>9</v>
      </c>
      <c r="B918" t="s">
        <v>216</v>
      </c>
      <c r="C918" t="s">
        <v>143</v>
      </c>
      <c r="D918">
        <v>1009.24</v>
      </c>
      <c r="E918">
        <v>0</v>
      </c>
      <c r="F918">
        <v>76.84</v>
      </c>
      <c r="G918">
        <v>507.14100000000002</v>
      </c>
      <c r="H918">
        <v>5595.88</v>
      </c>
      <c r="I918">
        <v>-6055.4170000000004</v>
      </c>
    </row>
    <row r="919" spans="1:9" x14ac:dyDescent="0.25">
      <c r="A919" t="s">
        <v>9</v>
      </c>
      <c r="B919" t="s">
        <v>216</v>
      </c>
      <c r="C919" t="s">
        <v>3</v>
      </c>
      <c r="D919">
        <v>1033.76</v>
      </c>
      <c r="E919">
        <v>0</v>
      </c>
      <c r="F919">
        <v>76.84</v>
      </c>
      <c r="G919">
        <v>507.14100000000002</v>
      </c>
      <c r="H919">
        <v>5507.5910000000003</v>
      </c>
      <c r="I919">
        <v>-6202.5429999999997</v>
      </c>
    </row>
    <row r="920" spans="1:9" x14ac:dyDescent="0.25">
      <c r="A920" t="s">
        <v>9</v>
      </c>
      <c r="B920" t="s">
        <v>217</v>
      </c>
      <c r="C920" t="s">
        <v>143</v>
      </c>
      <c r="D920">
        <v>1009.24</v>
      </c>
      <c r="E920">
        <v>0</v>
      </c>
      <c r="F920">
        <v>76.84</v>
      </c>
      <c r="G920">
        <v>414.93299999999999</v>
      </c>
      <c r="H920">
        <v>5595.88</v>
      </c>
      <c r="I920">
        <v>-6055.4170000000004</v>
      </c>
    </row>
    <row r="921" spans="1:9" x14ac:dyDescent="0.25">
      <c r="A921" t="s">
        <v>9</v>
      </c>
      <c r="B921" t="s">
        <v>217</v>
      </c>
      <c r="C921" t="s">
        <v>3</v>
      </c>
      <c r="D921">
        <v>1033.76</v>
      </c>
      <c r="E921">
        <v>0</v>
      </c>
      <c r="F921">
        <v>76.84</v>
      </c>
      <c r="G921">
        <v>414.93299999999999</v>
      </c>
      <c r="H921">
        <v>5507.5910000000003</v>
      </c>
      <c r="I921">
        <v>-6202.5429999999997</v>
      </c>
    </row>
    <row r="922" spans="1:9" x14ac:dyDescent="0.25">
      <c r="A922" t="s">
        <v>9</v>
      </c>
      <c r="B922" t="s">
        <v>218</v>
      </c>
      <c r="C922" t="s">
        <v>143</v>
      </c>
      <c r="D922">
        <v>720.88</v>
      </c>
      <c r="E922">
        <v>-76.84</v>
      </c>
      <c r="F922">
        <v>0</v>
      </c>
      <c r="G922">
        <v>507.14100000000002</v>
      </c>
      <c r="H922">
        <v>4325.2979999999998</v>
      </c>
      <c r="I922">
        <v>-4784.835</v>
      </c>
    </row>
    <row r="923" spans="1:9" x14ac:dyDescent="0.25">
      <c r="A923" t="s">
        <v>9</v>
      </c>
      <c r="B923" t="s">
        <v>218</v>
      </c>
      <c r="C923" t="s">
        <v>3</v>
      </c>
      <c r="D923">
        <v>738.4</v>
      </c>
      <c r="E923">
        <v>-76.84</v>
      </c>
      <c r="F923">
        <v>0</v>
      </c>
      <c r="G923">
        <v>507.14100000000002</v>
      </c>
      <c r="H923">
        <v>4430.3879999999999</v>
      </c>
      <c r="I923">
        <v>-5125.3389999999999</v>
      </c>
    </row>
    <row r="924" spans="1:9" x14ac:dyDescent="0.25">
      <c r="A924" t="s">
        <v>9</v>
      </c>
      <c r="B924" t="s">
        <v>219</v>
      </c>
      <c r="C924" t="s">
        <v>143</v>
      </c>
      <c r="D924">
        <v>720.88</v>
      </c>
      <c r="E924">
        <v>-76.84</v>
      </c>
      <c r="F924">
        <v>0</v>
      </c>
      <c r="G924">
        <v>414.93299999999999</v>
      </c>
      <c r="H924">
        <v>4325.2979999999998</v>
      </c>
      <c r="I924">
        <v>-4784.835</v>
      </c>
    </row>
    <row r="925" spans="1:9" x14ac:dyDescent="0.25">
      <c r="A925" t="s">
        <v>9</v>
      </c>
      <c r="B925" t="s">
        <v>219</v>
      </c>
      <c r="C925" t="s">
        <v>3</v>
      </c>
      <c r="D925">
        <v>738.4</v>
      </c>
      <c r="E925">
        <v>-76.84</v>
      </c>
      <c r="F925">
        <v>0</v>
      </c>
      <c r="G925">
        <v>414.93299999999999</v>
      </c>
      <c r="H925">
        <v>4430.3879999999999</v>
      </c>
      <c r="I925">
        <v>-5125.3389999999999</v>
      </c>
    </row>
    <row r="926" spans="1:9" x14ac:dyDescent="0.25">
      <c r="A926" t="s">
        <v>9</v>
      </c>
      <c r="B926" t="s">
        <v>220</v>
      </c>
      <c r="C926" t="s">
        <v>143</v>
      </c>
      <c r="D926">
        <v>720.88</v>
      </c>
      <c r="E926">
        <v>76.84</v>
      </c>
      <c r="F926">
        <v>0</v>
      </c>
      <c r="G926">
        <v>-507.14100000000002</v>
      </c>
      <c r="H926">
        <v>4325.2979999999998</v>
      </c>
      <c r="I926">
        <v>-3865.761</v>
      </c>
    </row>
    <row r="927" spans="1:9" x14ac:dyDescent="0.25">
      <c r="A927" t="s">
        <v>9</v>
      </c>
      <c r="B927" t="s">
        <v>220</v>
      </c>
      <c r="C927" t="s">
        <v>3</v>
      </c>
      <c r="D927">
        <v>738.4</v>
      </c>
      <c r="E927">
        <v>76.84</v>
      </c>
      <c r="F927">
        <v>0</v>
      </c>
      <c r="G927">
        <v>-507.14100000000002</v>
      </c>
      <c r="H927">
        <v>4430.3879999999999</v>
      </c>
      <c r="I927">
        <v>-3735.4360000000001</v>
      </c>
    </row>
    <row r="928" spans="1:9" x14ac:dyDescent="0.25">
      <c r="A928" t="s">
        <v>9</v>
      </c>
      <c r="B928" t="s">
        <v>221</v>
      </c>
      <c r="C928" t="s">
        <v>143</v>
      </c>
      <c r="D928">
        <v>720.88</v>
      </c>
      <c r="E928">
        <v>76.84</v>
      </c>
      <c r="F928">
        <v>0</v>
      </c>
      <c r="G928">
        <v>-414.93299999999999</v>
      </c>
      <c r="H928">
        <v>4325.2979999999998</v>
      </c>
      <c r="I928">
        <v>-3865.761</v>
      </c>
    </row>
    <row r="929" spans="1:9" x14ac:dyDescent="0.25">
      <c r="A929" t="s">
        <v>9</v>
      </c>
      <c r="B929" t="s">
        <v>221</v>
      </c>
      <c r="C929" t="s">
        <v>3</v>
      </c>
      <c r="D929">
        <v>738.4</v>
      </c>
      <c r="E929">
        <v>76.84</v>
      </c>
      <c r="F929">
        <v>0</v>
      </c>
      <c r="G929">
        <v>-414.93299999999999</v>
      </c>
      <c r="H929">
        <v>4430.3879999999999</v>
      </c>
      <c r="I929">
        <v>-3735.4360000000001</v>
      </c>
    </row>
    <row r="930" spans="1:9" x14ac:dyDescent="0.25">
      <c r="A930" t="s">
        <v>9</v>
      </c>
      <c r="B930" t="s">
        <v>222</v>
      </c>
      <c r="C930" t="s">
        <v>143</v>
      </c>
      <c r="D930">
        <v>720.88</v>
      </c>
      <c r="E930">
        <v>0</v>
      </c>
      <c r="F930">
        <v>-76.84</v>
      </c>
      <c r="G930">
        <v>-507.14100000000002</v>
      </c>
      <c r="H930">
        <v>4784.835</v>
      </c>
      <c r="I930">
        <v>-4325.2979999999998</v>
      </c>
    </row>
    <row r="931" spans="1:9" x14ac:dyDescent="0.25">
      <c r="A931" t="s">
        <v>9</v>
      </c>
      <c r="B931" t="s">
        <v>222</v>
      </c>
      <c r="C931" t="s">
        <v>3</v>
      </c>
      <c r="D931">
        <v>738.4</v>
      </c>
      <c r="E931">
        <v>0</v>
      </c>
      <c r="F931">
        <v>-76.84</v>
      </c>
      <c r="G931">
        <v>-507.14100000000002</v>
      </c>
      <c r="H931">
        <v>5125.3389999999999</v>
      </c>
      <c r="I931">
        <v>-4430.3879999999999</v>
      </c>
    </row>
    <row r="932" spans="1:9" x14ac:dyDescent="0.25">
      <c r="A932" t="s">
        <v>9</v>
      </c>
      <c r="B932" t="s">
        <v>223</v>
      </c>
      <c r="C932" t="s">
        <v>143</v>
      </c>
      <c r="D932">
        <v>720.88</v>
      </c>
      <c r="E932">
        <v>0</v>
      </c>
      <c r="F932">
        <v>-76.84</v>
      </c>
      <c r="G932">
        <v>-414.93299999999999</v>
      </c>
      <c r="H932">
        <v>4784.835</v>
      </c>
      <c r="I932">
        <v>-4325.2979999999998</v>
      </c>
    </row>
    <row r="933" spans="1:9" x14ac:dyDescent="0.25">
      <c r="A933" t="s">
        <v>9</v>
      </c>
      <c r="B933" t="s">
        <v>223</v>
      </c>
      <c r="C933" t="s">
        <v>3</v>
      </c>
      <c r="D933">
        <v>738.4</v>
      </c>
      <c r="E933">
        <v>0</v>
      </c>
      <c r="F933">
        <v>-76.84</v>
      </c>
      <c r="G933">
        <v>-414.93299999999999</v>
      </c>
      <c r="H933">
        <v>5125.3389999999999</v>
      </c>
      <c r="I933">
        <v>-4430.3879999999999</v>
      </c>
    </row>
    <row r="934" spans="1:9" x14ac:dyDescent="0.25">
      <c r="A934" t="s">
        <v>9</v>
      </c>
      <c r="B934" t="s">
        <v>224</v>
      </c>
      <c r="C934" t="s">
        <v>143</v>
      </c>
      <c r="D934">
        <v>720.88</v>
      </c>
      <c r="E934">
        <v>0</v>
      </c>
      <c r="F934">
        <v>76.84</v>
      </c>
      <c r="G934">
        <v>507.14100000000002</v>
      </c>
      <c r="H934">
        <v>3865.761</v>
      </c>
      <c r="I934">
        <v>-4325.2979999999998</v>
      </c>
    </row>
    <row r="935" spans="1:9" x14ac:dyDescent="0.25">
      <c r="A935" t="s">
        <v>9</v>
      </c>
      <c r="B935" t="s">
        <v>224</v>
      </c>
      <c r="C935" t="s">
        <v>3</v>
      </c>
      <c r="D935">
        <v>738.4</v>
      </c>
      <c r="E935">
        <v>0</v>
      </c>
      <c r="F935">
        <v>76.84</v>
      </c>
      <c r="G935">
        <v>507.14100000000002</v>
      </c>
      <c r="H935">
        <v>3735.4360000000001</v>
      </c>
      <c r="I935">
        <v>-4430.3879999999999</v>
      </c>
    </row>
    <row r="936" spans="1:9" x14ac:dyDescent="0.25">
      <c r="A936" t="s">
        <v>9</v>
      </c>
      <c r="B936" t="s">
        <v>225</v>
      </c>
      <c r="C936" t="s">
        <v>143</v>
      </c>
      <c r="D936">
        <v>720.88</v>
      </c>
      <c r="E936">
        <v>0</v>
      </c>
      <c r="F936">
        <v>76.84</v>
      </c>
      <c r="G936">
        <v>414.93299999999999</v>
      </c>
      <c r="H936">
        <v>3865.761</v>
      </c>
      <c r="I936">
        <v>-4325.2979999999998</v>
      </c>
    </row>
    <row r="937" spans="1:9" x14ac:dyDescent="0.25">
      <c r="A937" t="s">
        <v>9</v>
      </c>
      <c r="B937" t="s">
        <v>225</v>
      </c>
      <c r="C937" t="s">
        <v>3</v>
      </c>
      <c r="D937">
        <v>738.4</v>
      </c>
      <c r="E937">
        <v>0</v>
      </c>
      <c r="F937">
        <v>76.84</v>
      </c>
      <c r="G937">
        <v>414.93299999999999</v>
      </c>
      <c r="H937">
        <v>3735.4360000000001</v>
      </c>
      <c r="I937">
        <v>-4430.3879999999999</v>
      </c>
    </row>
    <row r="938" spans="1:9" x14ac:dyDescent="0.25">
      <c r="A938" t="s">
        <v>9</v>
      </c>
      <c r="B938" t="s">
        <v>226</v>
      </c>
      <c r="C938" t="s">
        <v>143</v>
      </c>
      <c r="D938">
        <v>1283.07</v>
      </c>
      <c r="E938">
        <v>289.55</v>
      </c>
      <c r="F938">
        <v>0</v>
      </c>
      <c r="G938">
        <v>1916.9390000000001</v>
      </c>
      <c r="H938">
        <v>7698.3950000000004</v>
      </c>
      <c r="I938">
        <v>-6166.9030000000002</v>
      </c>
    </row>
    <row r="939" spans="1:9" x14ac:dyDescent="0.25">
      <c r="A939" t="s">
        <v>9</v>
      </c>
      <c r="B939" t="s">
        <v>226</v>
      </c>
      <c r="C939" t="s">
        <v>3</v>
      </c>
      <c r="D939">
        <v>1312.14</v>
      </c>
      <c r="E939">
        <v>289.55</v>
      </c>
      <c r="F939">
        <v>0</v>
      </c>
      <c r="G939">
        <v>1916.9390000000001</v>
      </c>
      <c r="H939">
        <v>7872.8440000000001</v>
      </c>
      <c r="I939">
        <v>-5460.5010000000002</v>
      </c>
    </row>
    <row r="940" spans="1:9" x14ac:dyDescent="0.25">
      <c r="A940" t="s">
        <v>9</v>
      </c>
      <c r="B940" t="s">
        <v>227</v>
      </c>
      <c r="C940" t="s">
        <v>143</v>
      </c>
      <c r="D940">
        <v>1283.07</v>
      </c>
      <c r="E940">
        <v>-289.55</v>
      </c>
      <c r="F940">
        <v>0</v>
      </c>
      <c r="G940">
        <v>-1916.9390000000001</v>
      </c>
      <c r="H940">
        <v>7698.3950000000004</v>
      </c>
      <c r="I940">
        <v>-9229.8860000000004</v>
      </c>
    </row>
    <row r="941" spans="1:9" x14ac:dyDescent="0.25">
      <c r="A941" t="s">
        <v>9</v>
      </c>
      <c r="B941" t="s">
        <v>227</v>
      </c>
      <c r="C941" t="s">
        <v>3</v>
      </c>
      <c r="D941">
        <v>1312.14</v>
      </c>
      <c r="E941">
        <v>-289.55</v>
      </c>
      <c r="F941">
        <v>0</v>
      </c>
      <c r="G941">
        <v>-1916.9390000000001</v>
      </c>
      <c r="H941">
        <v>7872.8440000000001</v>
      </c>
      <c r="I941">
        <v>-10285.186</v>
      </c>
    </row>
    <row r="942" spans="1:9" x14ac:dyDescent="0.25">
      <c r="A942" t="s">
        <v>9</v>
      </c>
      <c r="B942" t="s">
        <v>228</v>
      </c>
      <c r="C942" t="s">
        <v>143</v>
      </c>
      <c r="D942">
        <v>1196.56</v>
      </c>
      <c r="E942">
        <v>289.55</v>
      </c>
      <c r="F942">
        <v>0</v>
      </c>
      <c r="G942">
        <v>1916.9390000000001</v>
      </c>
      <c r="H942">
        <v>7179.3590000000004</v>
      </c>
      <c r="I942">
        <v>-5647.8670000000002</v>
      </c>
    </row>
    <row r="943" spans="1:9" x14ac:dyDescent="0.25">
      <c r="A943" t="s">
        <v>9</v>
      </c>
      <c r="B943" t="s">
        <v>228</v>
      </c>
      <c r="C943" t="s">
        <v>3</v>
      </c>
      <c r="D943">
        <v>1223.53</v>
      </c>
      <c r="E943">
        <v>289.55</v>
      </c>
      <c r="F943">
        <v>0</v>
      </c>
      <c r="G943">
        <v>1916.9390000000001</v>
      </c>
      <c r="H943">
        <v>7341.1970000000001</v>
      </c>
      <c r="I943">
        <v>-4928.8549999999996</v>
      </c>
    </row>
    <row r="944" spans="1:9" x14ac:dyDescent="0.25">
      <c r="A944" t="s">
        <v>9</v>
      </c>
      <c r="B944" t="s">
        <v>229</v>
      </c>
      <c r="C944" t="s">
        <v>143</v>
      </c>
      <c r="D944">
        <v>1196.56</v>
      </c>
      <c r="E944">
        <v>-289.55</v>
      </c>
      <c r="F944">
        <v>0</v>
      </c>
      <c r="G944">
        <v>-1916.9390000000001</v>
      </c>
      <c r="H944">
        <v>7179.3590000000004</v>
      </c>
      <c r="I944">
        <v>-8710.8510000000006</v>
      </c>
    </row>
    <row r="945" spans="1:9" x14ac:dyDescent="0.25">
      <c r="A945" t="s">
        <v>9</v>
      </c>
      <c r="B945" t="s">
        <v>229</v>
      </c>
      <c r="C945" t="s">
        <v>3</v>
      </c>
      <c r="D945">
        <v>1223.53</v>
      </c>
      <c r="E945">
        <v>-289.55</v>
      </c>
      <c r="F945">
        <v>0</v>
      </c>
      <c r="G945">
        <v>-1916.9390000000001</v>
      </c>
      <c r="H945">
        <v>7341.1970000000001</v>
      </c>
      <c r="I945">
        <v>-9753.5400000000009</v>
      </c>
    </row>
    <row r="946" spans="1:9" x14ac:dyDescent="0.25">
      <c r="A946" t="s">
        <v>9</v>
      </c>
      <c r="B946" t="s">
        <v>230</v>
      </c>
      <c r="C946" t="s">
        <v>143</v>
      </c>
      <c r="D946">
        <v>1283.07</v>
      </c>
      <c r="E946">
        <v>0</v>
      </c>
      <c r="F946">
        <v>265.42</v>
      </c>
      <c r="G946">
        <v>1757.194</v>
      </c>
      <c r="H946">
        <v>9102.2620000000006</v>
      </c>
      <c r="I946">
        <v>-7698.3950000000004</v>
      </c>
    </row>
    <row r="947" spans="1:9" x14ac:dyDescent="0.25">
      <c r="A947" t="s">
        <v>9</v>
      </c>
      <c r="B947" t="s">
        <v>230</v>
      </c>
      <c r="C947" t="s">
        <v>3</v>
      </c>
      <c r="D947">
        <v>1312.14</v>
      </c>
      <c r="E947">
        <v>0</v>
      </c>
      <c r="F947">
        <v>265.42</v>
      </c>
      <c r="G947">
        <v>1757.194</v>
      </c>
      <c r="H947">
        <v>10084.156999999999</v>
      </c>
      <c r="I947">
        <v>-7872.8440000000001</v>
      </c>
    </row>
    <row r="948" spans="1:9" x14ac:dyDescent="0.25">
      <c r="A948" t="s">
        <v>9</v>
      </c>
      <c r="B948" t="s">
        <v>231</v>
      </c>
      <c r="C948" t="s">
        <v>143</v>
      </c>
      <c r="D948">
        <v>1283.07</v>
      </c>
      <c r="E948">
        <v>0</v>
      </c>
      <c r="F948">
        <v>-265.42</v>
      </c>
      <c r="G948">
        <v>-1757.194</v>
      </c>
      <c r="H948">
        <v>6294.527</v>
      </c>
      <c r="I948">
        <v>-7698.3950000000004</v>
      </c>
    </row>
    <row r="949" spans="1:9" x14ac:dyDescent="0.25">
      <c r="A949" t="s">
        <v>9</v>
      </c>
      <c r="B949" t="s">
        <v>231</v>
      </c>
      <c r="C949" t="s">
        <v>3</v>
      </c>
      <c r="D949">
        <v>1312.14</v>
      </c>
      <c r="E949">
        <v>0</v>
      </c>
      <c r="F949">
        <v>-265.42</v>
      </c>
      <c r="G949">
        <v>-1757.194</v>
      </c>
      <c r="H949">
        <v>5661.53</v>
      </c>
      <c r="I949">
        <v>-7872.8440000000001</v>
      </c>
    </row>
    <row r="950" spans="1:9" x14ac:dyDescent="0.25">
      <c r="A950" t="s">
        <v>9</v>
      </c>
      <c r="B950" t="s">
        <v>232</v>
      </c>
      <c r="C950" t="s">
        <v>143</v>
      </c>
      <c r="D950">
        <v>1196.56</v>
      </c>
      <c r="E950">
        <v>0</v>
      </c>
      <c r="F950">
        <v>265.42</v>
      </c>
      <c r="G950">
        <v>1757.194</v>
      </c>
      <c r="H950">
        <v>8583.2260000000006</v>
      </c>
      <c r="I950">
        <v>-7179.3590000000004</v>
      </c>
    </row>
    <row r="951" spans="1:9" x14ac:dyDescent="0.25">
      <c r="A951" t="s">
        <v>9</v>
      </c>
      <c r="B951" t="s">
        <v>232</v>
      </c>
      <c r="C951" t="s">
        <v>3</v>
      </c>
      <c r="D951">
        <v>1223.53</v>
      </c>
      <c r="E951">
        <v>0</v>
      </c>
      <c r="F951">
        <v>265.42</v>
      </c>
      <c r="G951">
        <v>1757.194</v>
      </c>
      <c r="H951">
        <v>9552.5110000000004</v>
      </c>
      <c r="I951">
        <v>-7341.1970000000001</v>
      </c>
    </row>
    <row r="952" spans="1:9" x14ac:dyDescent="0.25">
      <c r="A952" t="s">
        <v>9</v>
      </c>
      <c r="B952" t="s">
        <v>233</v>
      </c>
      <c r="C952" t="s">
        <v>143</v>
      </c>
      <c r="D952">
        <v>1196.56</v>
      </c>
      <c r="E952">
        <v>0</v>
      </c>
      <c r="F952">
        <v>-265.42</v>
      </c>
      <c r="G952">
        <v>-1757.194</v>
      </c>
      <c r="H952">
        <v>5775.491</v>
      </c>
      <c r="I952">
        <v>-7179.3590000000004</v>
      </c>
    </row>
    <row r="953" spans="1:9" x14ac:dyDescent="0.25">
      <c r="A953" t="s">
        <v>9</v>
      </c>
      <c r="B953" t="s">
        <v>233</v>
      </c>
      <c r="C953" t="s">
        <v>3</v>
      </c>
      <c r="D953">
        <v>1223.53</v>
      </c>
      <c r="E953">
        <v>0</v>
      </c>
      <c r="F953">
        <v>-265.42</v>
      </c>
      <c r="G953">
        <v>-1757.194</v>
      </c>
      <c r="H953">
        <v>5129.8829999999998</v>
      </c>
      <c r="I953">
        <v>-7341.1970000000001</v>
      </c>
    </row>
    <row r="954" spans="1:9" x14ac:dyDescent="0.25">
      <c r="A954" t="s">
        <v>9</v>
      </c>
      <c r="B954" t="s">
        <v>234</v>
      </c>
      <c r="C954" t="s">
        <v>143</v>
      </c>
      <c r="D954">
        <v>1383.99</v>
      </c>
      <c r="E954">
        <v>86.86</v>
      </c>
      <c r="F954">
        <v>0</v>
      </c>
      <c r="G954">
        <v>575.08199999999999</v>
      </c>
      <c r="H954">
        <v>8303.9359999999997</v>
      </c>
      <c r="I954">
        <v>-7844.4889999999996</v>
      </c>
    </row>
    <row r="955" spans="1:9" x14ac:dyDescent="0.25">
      <c r="A955" t="s">
        <v>9</v>
      </c>
      <c r="B955" t="s">
        <v>234</v>
      </c>
      <c r="C955" t="s">
        <v>3</v>
      </c>
      <c r="D955">
        <v>1415.52</v>
      </c>
      <c r="E955">
        <v>86.86</v>
      </c>
      <c r="F955">
        <v>0</v>
      </c>
      <c r="G955">
        <v>575.08199999999999</v>
      </c>
      <c r="H955">
        <v>8493.098</v>
      </c>
      <c r="I955">
        <v>-7769.3950000000004</v>
      </c>
    </row>
    <row r="956" spans="1:9" x14ac:dyDescent="0.25">
      <c r="A956" t="s">
        <v>9</v>
      </c>
      <c r="B956" t="s">
        <v>235</v>
      </c>
      <c r="C956" t="s">
        <v>143</v>
      </c>
      <c r="D956">
        <v>1383.99</v>
      </c>
      <c r="E956">
        <v>-86.86</v>
      </c>
      <c r="F956">
        <v>0</v>
      </c>
      <c r="G956">
        <v>-575.08199999999999</v>
      </c>
      <c r="H956">
        <v>8303.9359999999997</v>
      </c>
      <c r="I956">
        <v>-8763.384</v>
      </c>
    </row>
    <row r="957" spans="1:9" x14ac:dyDescent="0.25">
      <c r="A957" t="s">
        <v>9</v>
      </c>
      <c r="B957" t="s">
        <v>235</v>
      </c>
      <c r="C957" t="s">
        <v>3</v>
      </c>
      <c r="D957">
        <v>1415.52</v>
      </c>
      <c r="E957">
        <v>-86.86</v>
      </c>
      <c r="F957">
        <v>0</v>
      </c>
      <c r="G957">
        <v>-575.08199999999999</v>
      </c>
      <c r="H957">
        <v>8493.098</v>
      </c>
      <c r="I957">
        <v>-9216.8009999999995</v>
      </c>
    </row>
    <row r="958" spans="1:9" x14ac:dyDescent="0.25">
      <c r="A958" t="s">
        <v>9</v>
      </c>
      <c r="B958" t="s">
        <v>236</v>
      </c>
      <c r="C958" t="s">
        <v>143</v>
      </c>
      <c r="D958">
        <v>1095.6400000000001</v>
      </c>
      <c r="E958">
        <v>86.86</v>
      </c>
      <c r="F958">
        <v>0</v>
      </c>
      <c r="G958">
        <v>575.08199999999999</v>
      </c>
      <c r="H958">
        <v>6573.817</v>
      </c>
      <c r="I958">
        <v>-6114.37</v>
      </c>
    </row>
    <row r="959" spans="1:9" x14ac:dyDescent="0.25">
      <c r="A959" t="s">
        <v>9</v>
      </c>
      <c r="B959" t="s">
        <v>236</v>
      </c>
      <c r="C959" t="s">
        <v>3</v>
      </c>
      <c r="D959">
        <v>1120.1600000000001</v>
      </c>
      <c r="E959">
        <v>86.86</v>
      </c>
      <c r="F959">
        <v>0</v>
      </c>
      <c r="G959">
        <v>575.08199999999999</v>
      </c>
      <c r="H959">
        <v>6720.9430000000002</v>
      </c>
      <c r="I959">
        <v>-5997.24</v>
      </c>
    </row>
    <row r="960" spans="1:9" x14ac:dyDescent="0.25">
      <c r="A960" t="s">
        <v>9</v>
      </c>
      <c r="B960" t="s">
        <v>237</v>
      </c>
      <c r="C960" t="s">
        <v>143</v>
      </c>
      <c r="D960">
        <v>1095.6400000000001</v>
      </c>
      <c r="E960">
        <v>-86.86</v>
      </c>
      <c r="F960">
        <v>0</v>
      </c>
      <c r="G960">
        <v>-575.08199999999999</v>
      </c>
      <c r="H960">
        <v>6573.817</v>
      </c>
      <c r="I960">
        <v>-7033.2650000000003</v>
      </c>
    </row>
    <row r="961" spans="1:9" x14ac:dyDescent="0.25">
      <c r="A961" t="s">
        <v>9</v>
      </c>
      <c r="B961" t="s">
        <v>237</v>
      </c>
      <c r="C961" t="s">
        <v>3</v>
      </c>
      <c r="D961">
        <v>1120.1600000000001</v>
      </c>
      <c r="E961">
        <v>-86.86</v>
      </c>
      <c r="F961">
        <v>0</v>
      </c>
      <c r="G961">
        <v>-575.08199999999999</v>
      </c>
      <c r="H961">
        <v>6720.9430000000002</v>
      </c>
      <c r="I961">
        <v>-7444.6450000000004</v>
      </c>
    </row>
    <row r="962" spans="1:9" x14ac:dyDescent="0.25">
      <c r="A962" t="s">
        <v>9</v>
      </c>
      <c r="B962" t="s">
        <v>238</v>
      </c>
      <c r="C962" t="s">
        <v>143</v>
      </c>
      <c r="D962">
        <v>1383.99</v>
      </c>
      <c r="E962">
        <v>0</v>
      </c>
      <c r="F962">
        <v>79.62</v>
      </c>
      <c r="G962">
        <v>527.15800000000002</v>
      </c>
      <c r="H962">
        <v>8725.0969999999998</v>
      </c>
      <c r="I962">
        <v>-8303.9359999999997</v>
      </c>
    </row>
    <row r="963" spans="1:9" x14ac:dyDescent="0.25">
      <c r="A963" t="s">
        <v>9</v>
      </c>
      <c r="B963" t="s">
        <v>238</v>
      </c>
      <c r="C963" t="s">
        <v>3</v>
      </c>
      <c r="D963">
        <v>1415.52</v>
      </c>
      <c r="E963">
        <v>0</v>
      </c>
      <c r="F963">
        <v>79.62</v>
      </c>
      <c r="G963">
        <v>527.15800000000002</v>
      </c>
      <c r="H963">
        <v>9156.4920000000002</v>
      </c>
      <c r="I963">
        <v>-8493.098</v>
      </c>
    </row>
    <row r="964" spans="1:9" x14ac:dyDescent="0.25">
      <c r="A964" t="s">
        <v>9</v>
      </c>
      <c r="B964" t="s">
        <v>239</v>
      </c>
      <c r="C964" t="s">
        <v>143</v>
      </c>
      <c r="D964">
        <v>1383.99</v>
      </c>
      <c r="E964">
        <v>0</v>
      </c>
      <c r="F964">
        <v>-79.62</v>
      </c>
      <c r="G964">
        <v>-527.15800000000002</v>
      </c>
      <c r="H964">
        <v>7882.7759999999998</v>
      </c>
      <c r="I964">
        <v>-8303.9359999999997</v>
      </c>
    </row>
    <row r="965" spans="1:9" x14ac:dyDescent="0.25">
      <c r="A965" t="s">
        <v>9</v>
      </c>
      <c r="B965" t="s">
        <v>239</v>
      </c>
      <c r="C965" t="s">
        <v>3</v>
      </c>
      <c r="D965">
        <v>1415.52</v>
      </c>
      <c r="E965">
        <v>0</v>
      </c>
      <c r="F965">
        <v>-79.62</v>
      </c>
      <c r="G965">
        <v>-527.15800000000002</v>
      </c>
      <c r="H965">
        <v>7829.7039999999997</v>
      </c>
      <c r="I965">
        <v>-8493.098</v>
      </c>
    </row>
    <row r="966" spans="1:9" x14ac:dyDescent="0.25">
      <c r="A966" t="s">
        <v>9</v>
      </c>
      <c r="B966" t="s">
        <v>240</v>
      </c>
      <c r="C966" t="s">
        <v>143</v>
      </c>
      <c r="D966">
        <v>1095.6400000000001</v>
      </c>
      <c r="E966">
        <v>0</v>
      </c>
      <c r="F966">
        <v>79.62</v>
      </c>
      <c r="G966">
        <v>527.15800000000002</v>
      </c>
      <c r="H966">
        <v>6994.9769999999999</v>
      </c>
      <c r="I966">
        <v>-6573.817</v>
      </c>
    </row>
    <row r="967" spans="1:9" x14ac:dyDescent="0.25">
      <c r="A967" t="s">
        <v>9</v>
      </c>
      <c r="B967" t="s">
        <v>240</v>
      </c>
      <c r="C967" t="s">
        <v>3</v>
      </c>
      <c r="D967">
        <v>1120.1600000000001</v>
      </c>
      <c r="E967">
        <v>0</v>
      </c>
      <c r="F967">
        <v>79.62</v>
      </c>
      <c r="G967">
        <v>527.15800000000002</v>
      </c>
      <c r="H967">
        <v>7384.3370000000004</v>
      </c>
      <c r="I967">
        <v>-6720.9430000000002</v>
      </c>
    </row>
    <row r="968" spans="1:9" x14ac:dyDescent="0.25">
      <c r="A968" t="s">
        <v>9</v>
      </c>
      <c r="B968" t="s">
        <v>241</v>
      </c>
      <c r="C968" t="s">
        <v>143</v>
      </c>
      <c r="D968">
        <v>1095.6400000000001</v>
      </c>
      <c r="E968">
        <v>0</v>
      </c>
      <c r="F968">
        <v>-79.62</v>
      </c>
      <c r="G968">
        <v>-527.15800000000002</v>
      </c>
      <c r="H968">
        <v>6152.6570000000002</v>
      </c>
      <c r="I968">
        <v>-6573.817</v>
      </c>
    </row>
    <row r="969" spans="1:9" x14ac:dyDescent="0.25">
      <c r="A969" t="s">
        <v>9</v>
      </c>
      <c r="B969" t="s">
        <v>241</v>
      </c>
      <c r="C969" t="s">
        <v>3</v>
      </c>
      <c r="D969">
        <v>1120.1600000000001</v>
      </c>
      <c r="E969">
        <v>0</v>
      </c>
      <c r="F969">
        <v>-79.62</v>
      </c>
      <c r="G969">
        <v>-527.15800000000002</v>
      </c>
      <c r="H969">
        <v>6057.549</v>
      </c>
      <c r="I969">
        <v>-6720.9430000000002</v>
      </c>
    </row>
    <row r="970" spans="1:9" x14ac:dyDescent="0.25">
      <c r="A970" t="s">
        <v>9</v>
      </c>
      <c r="B970" t="s">
        <v>242</v>
      </c>
      <c r="C970" t="s">
        <v>143</v>
      </c>
      <c r="D970">
        <v>908.31</v>
      </c>
      <c r="E970">
        <v>289.55</v>
      </c>
      <c r="F970">
        <v>0</v>
      </c>
      <c r="G970">
        <v>1916.9390000000001</v>
      </c>
      <c r="H970">
        <v>5449.875</v>
      </c>
      <c r="I970">
        <v>-3918.384</v>
      </c>
    </row>
    <row r="971" spans="1:9" x14ac:dyDescent="0.25">
      <c r="A971" t="s">
        <v>9</v>
      </c>
      <c r="B971" t="s">
        <v>242</v>
      </c>
      <c r="C971" t="s">
        <v>3</v>
      </c>
      <c r="D971">
        <v>930.38</v>
      </c>
      <c r="E971">
        <v>289.55</v>
      </c>
      <c r="F971">
        <v>0</v>
      </c>
      <c r="G971">
        <v>1916.9390000000001</v>
      </c>
      <c r="H971">
        <v>5582.2879999999996</v>
      </c>
      <c r="I971">
        <v>-3169.9459999999999</v>
      </c>
    </row>
    <row r="972" spans="1:9" x14ac:dyDescent="0.25">
      <c r="A972" t="s">
        <v>9</v>
      </c>
      <c r="B972" t="s">
        <v>243</v>
      </c>
      <c r="C972" t="s">
        <v>143</v>
      </c>
      <c r="D972">
        <v>908.31</v>
      </c>
      <c r="E972">
        <v>-289.55</v>
      </c>
      <c r="F972">
        <v>0</v>
      </c>
      <c r="G972">
        <v>-1916.9390000000001</v>
      </c>
      <c r="H972">
        <v>5449.875</v>
      </c>
      <c r="I972">
        <v>-6981.3670000000002</v>
      </c>
    </row>
    <row r="973" spans="1:9" x14ac:dyDescent="0.25">
      <c r="A973" t="s">
        <v>9</v>
      </c>
      <c r="B973" t="s">
        <v>243</v>
      </c>
      <c r="C973" t="s">
        <v>3</v>
      </c>
      <c r="D973">
        <v>930.38</v>
      </c>
      <c r="E973">
        <v>-289.55</v>
      </c>
      <c r="F973">
        <v>0</v>
      </c>
      <c r="G973">
        <v>-1916.9390000000001</v>
      </c>
      <c r="H973">
        <v>5582.2879999999996</v>
      </c>
      <c r="I973">
        <v>-7994.6310000000003</v>
      </c>
    </row>
    <row r="974" spans="1:9" x14ac:dyDescent="0.25">
      <c r="A974" t="s">
        <v>9</v>
      </c>
      <c r="B974" t="s">
        <v>244</v>
      </c>
      <c r="C974" t="s">
        <v>143</v>
      </c>
      <c r="D974">
        <v>821.81</v>
      </c>
      <c r="E974">
        <v>289.55</v>
      </c>
      <c r="F974">
        <v>0</v>
      </c>
      <c r="G974">
        <v>1916.9390000000001</v>
      </c>
      <c r="H974">
        <v>4930.84</v>
      </c>
      <c r="I974">
        <v>-3399.348</v>
      </c>
    </row>
    <row r="975" spans="1:9" x14ac:dyDescent="0.25">
      <c r="A975" t="s">
        <v>9</v>
      </c>
      <c r="B975" t="s">
        <v>244</v>
      </c>
      <c r="C975" t="s">
        <v>3</v>
      </c>
      <c r="D975">
        <v>841.77</v>
      </c>
      <c r="E975">
        <v>289.55</v>
      </c>
      <c r="F975">
        <v>0</v>
      </c>
      <c r="G975">
        <v>1916.9390000000001</v>
      </c>
      <c r="H975">
        <v>5050.6419999999998</v>
      </c>
      <c r="I975">
        <v>-2638.299</v>
      </c>
    </row>
    <row r="976" spans="1:9" x14ac:dyDescent="0.25">
      <c r="A976" t="s">
        <v>9</v>
      </c>
      <c r="B976" t="s">
        <v>245</v>
      </c>
      <c r="C976" t="s">
        <v>143</v>
      </c>
      <c r="D976">
        <v>821.81</v>
      </c>
      <c r="E976">
        <v>-289.55</v>
      </c>
      <c r="F976">
        <v>0</v>
      </c>
      <c r="G976">
        <v>-1916.9390000000001</v>
      </c>
      <c r="H976">
        <v>4930.84</v>
      </c>
      <c r="I976">
        <v>-6462.3310000000001</v>
      </c>
    </row>
    <row r="977" spans="1:9" x14ac:dyDescent="0.25">
      <c r="A977" t="s">
        <v>9</v>
      </c>
      <c r="B977" t="s">
        <v>245</v>
      </c>
      <c r="C977" t="s">
        <v>3</v>
      </c>
      <c r="D977">
        <v>841.77</v>
      </c>
      <c r="E977">
        <v>-289.55</v>
      </c>
      <c r="F977">
        <v>0</v>
      </c>
      <c r="G977">
        <v>-1916.9390000000001</v>
      </c>
      <c r="H977">
        <v>5050.6419999999998</v>
      </c>
      <c r="I977">
        <v>-7462.9840000000004</v>
      </c>
    </row>
    <row r="978" spans="1:9" x14ac:dyDescent="0.25">
      <c r="A978" t="s">
        <v>9</v>
      </c>
      <c r="B978" t="s">
        <v>246</v>
      </c>
      <c r="C978" t="s">
        <v>143</v>
      </c>
      <c r="D978">
        <v>908.31</v>
      </c>
      <c r="E978">
        <v>0</v>
      </c>
      <c r="F978">
        <v>265.42</v>
      </c>
      <c r="G978">
        <v>1757.194</v>
      </c>
      <c r="H978">
        <v>6853.7430000000004</v>
      </c>
      <c r="I978">
        <v>-5449.875</v>
      </c>
    </row>
    <row r="979" spans="1:9" x14ac:dyDescent="0.25">
      <c r="A979" t="s">
        <v>9</v>
      </c>
      <c r="B979" t="s">
        <v>246</v>
      </c>
      <c r="C979" t="s">
        <v>3</v>
      </c>
      <c r="D979">
        <v>930.38</v>
      </c>
      <c r="E979">
        <v>0</v>
      </c>
      <c r="F979">
        <v>265.42</v>
      </c>
      <c r="G979">
        <v>1757.194</v>
      </c>
      <c r="H979">
        <v>7793.6019999999999</v>
      </c>
      <c r="I979">
        <v>-5582.2879999999996</v>
      </c>
    </row>
    <row r="980" spans="1:9" x14ac:dyDescent="0.25">
      <c r="A980" t="s">
        <v>9</v>
      </c>
      <c r="B980" t="s">
        <v>247</v>
      </c>
      <c r="C980" t="s">
        <v>143</v>
      </c>
      <c r="D980">
        <v>908.31</v>
      </c>
      <c r="E980">
        <v>0</v>
      </c>
      <c r="F980">
        <v>-265.42</v>
      </c>
      <c r="G980">
        <v>-1757.194</v>
      </c>
      <c r="H980">
        <v>4046.0079999999998</v>
      </c>
      <c r="I980">
        <v>-5449.875</v>
      </c>
    </row>
    <row r="981" spans="1:9" x14ac:dyDescent="0.25">
      <c r="A981" t="s">
        <v>9</v>
      </c>
      <c r="B981" t="s">
        <v>247</v>
      </c>
      <c r="C981" t="s">
        <v>3</v>
      </c>
      <c r="D981">
        <v>930.38</v>
      </c>
      <c r="E981">
        <v>0</v>
      </c>
      <c r="F981">
        <v>-265.42</v>
      </c>
      <c r="G981">
        <v>-1757.194</v>
      </c>
      <c r="H981">
        <v>3370.9740000000002</v>
      </c>
      <c r="I981">
        <v>-5582.2879999999996</v>
      </c>
    </row>
    <row r="982" spans="1:9" x14ac:dyDescent="0.25">
      <c r="A982" t="s">
        <v>9</v>
      </c>
      <c r="B982" t="s">
        <v>248</v>
      </c>
      <c r="C982" t="s">
        <v>143</v>
      </c>
      <c r="D982">
        <v>821.81</v>
      </c>
      <c r="E982">
        <v>0</v>
      </c>
      <c r="F982">
        <v>265.42</v>
      </c>
      <c r="G982">
        <v>1757.194</v>
      </c>
      <c r="H982">
        <v>6334.7070000000003</v>
      </c>
      <c r="I982">
        <v>-4930.84</v>
      </c>
    </row>
    <row r="983" spans="1:9" x14ac:dyDescent="0.25">
      <c r="A983" t="s">
        <v>9</v>
      </c>
      <c r="B983" t="s">
        <v>248</v>
      </c>
      <c r="C983" t="s">
        <v>3</v>
      </c>
      <c r="D983">
        <v>841.77</v>
      </c>
      <c r="E983">
        <v>0</v>
      </c>
      <c r="F983">
        <v>265.42</v>
      </c>
      <c r="G983">
        <v>1757.194</v>
      </c>
      <c r="H983">
        <v>7261.9560000000001</v>
      </c>
      <c r="I983">
        <v>-5050.6419999999998</v>
      </c>
    </row>
    <row r="984" spans="1:9" x14ac:dyDescent="0.25">
      <c r="A984" t="s">
        <v>9</v>
      </c>
      <c r="B984" t="s">
        <v>249</v>
      </c>
      <c r="C984" t="s">
        <v>143</v>
      </c>
      <c r="D984">
        <v>821.81</v>
      </c>
      <c r="E984">
        <v>0</v>
      </c>
      <c r="F984">
        <v>-265.42</v>
      </c>
      <c r="G984">
        <v>-1757.194</v>
      </c>
      <c r="H984">
        <v>3526.9720000000002</v>
      </c>
      <c r="I984">
        <v>-4930.84</v>
      </c>
    </row>
    <row r="985" spans="1:9" x14ac:dyDescent="0.25">
      <c r="A985" t="s">
        <v>9</v>
      </c>
      <c r="B985" t="s">
        <v>249</v>
      </c>
      <c r="C985" t="s">
        <v>3</v>
      </c>
      <c r="D985">
        <v>841.77</v>
      </c>
      <c r="E985">
        <v>0</v>
      </c>
      <c r="F985">
        <v>-265.42</v>
      </c>
      <c r="G985">
        <v>-1757.194</v>
      </c>
      <c r="H985">
        <v>2839.328</v>
      </c>
      <c r="I985">
        <v>-5050.6419999999998</v>
      </c>
    </row>
    <row r="986" spans="1:9" x14ac:dyDescent="0.25">
      <c r="A986" t="s">
        <v>9</v>
      </c>
      <c r="B986" t="s">
        <v>250</v>
      </c>
      <c r="C986" t="s">
        <v>143</v>
      </c>
      <c r="D986">
        <v>1009.24</v>
      </c>
      <c r="E986">
        <v>86.86</v>
      </c>
      <c r="F986">
        <v>0</v>
      </c>
      <c r="G986">
        <v>575.08199999999999</v>
      </c>
      <c r="H986">
        <v>6055.4170000000004</v>
      </c>
      <c r="I986">
        <v>-5595.97</v>
      </c>
    </row>
    <row r="987" spans="1:9" x14ac:dyDescent="0.25">
      <c r="A987" t="s">
        <v>9</v>
      </c>
      <c r="B987" t="s">
        <v>250</v>
      </c>
      <c r="C987" t="s">
        <v>3</v>
      </c>
      <c r="D987">
        <v>1033.76</v>
      </c>
      <c r="E987">
        <v>86.86</v>
      </c>
      <c r="F987">
        <v>0</v>
      </c>
      <c r="G987">
        <v>575.08199999999999</v>
      </c>
      <c r="H987">
        <v>6202.5429999999997</v>
      </c>
      <c r="I987">
        <v>-5478.84</v>
      </c>
    </row>
    <row r="988" spans="1:9" x14ac:dyDescent="0.25">
      <c r="A988" t="s">
        <v>9</v>
      </c>
      <c r="B988" t="s">
        <v>251</v>
      </c>
      <c r="C988" t="s">
        <v>143</v>
      </c>
      <c r="D988">
        <v>1009.24</v>
      </c>
      <c r="E988">
        <v>-86.86</v>
      </c>
      <c r="F988">
        <v>0</v>
      </c>
      <c r="G988">
        <v>-575.08199999999999</v>
      </c>
      <c r="H988">
        <v>6055.4170000000004</v>
      </c>
      <c r="I988">
        <v>-6514.8649999999998</v>
      </c>
    </row>
    <row r="989" spans="1:9" x14ac:dyDescent="0.25">
      <c r="A989" t="s">
        <v>9</v>
      </c>
      <c r="B989" t="s">
        <v>251</v>
      </c>
      <c r="C989" t="s">
        <v>3</v>
      </c>
      <c r="D989">
        <v>1033.76</v>
      </c>
      <c r="E989">
        <v>-86.86</v>
      </c>
      <c r="F989">
        <v>0</v>
      </c>
      <c r="G989">
        <v>-575.08199999999999</v>
      </c>
      <c r="H989">
        <v>6202.5429999999997</v>
      </c>
      <c r="I989">
        <v>-6926.2449999999999</v>
      </c>
    </row>
    <row r="990" spans="1:9" x14ac:dyDescent="0.25">
      <c r="A990" t="s">
        <v>9</v>
      </c>
      <c r="B990" t="s">
        <v>252</v>
      </c>
      <c r="C990" t="s">
        <v>143</v>
      </c>
      <c r="D990">
        <v>720.88</v>
      </c>
      <c r="E990">
        <v>86.86</v>
      </c>
      <c r="F990">
        <v>0</v>
      </c>
      <c r="G990">
        <v>575.08199999999999</v>
      </c>
      <c r="H990">
        <v>4325.2979999999998</v>
      </c>
      <c r="I990">
        <v>-3865.85</v>
      </c>
    </row>
    <row r="991" spans="1:9" x14ac:dyDescent="0.25">
      <c r="A991" t="s">
        <v>9</v>
      </c>
      <c r="B991" t="s">
        <v>252</v>
      </c>
      <c r="C991" t="s">
        <v>3</v>
      </c>
      <c r="D991">
        <v>738.4</v>
      </c>
      <c r="E991">
        <v>86.86</v>
      </c>
      <c r="F991">
        <v>0</v>
      </c>
      <c r="G991">
        <v>575.08199999999999</v>
      </c>
      <c r="H991">
        <v>4430.3879999999999</v>
      </c>
      <c r="I991">
        <v>-3706.6849999999999</v>
      </c>
    </row>
    <row r="992" spans="1:9" x14ac:dyDescent="0.25">
      <c r="A992" t="s">
        <v>9</v>
      </c>
      <c r="B992" t="s">
        <v>253</v>
      </c>
      <c r="C992" t="s">
        <v>143</v>
      </c>
      <c r="D992">
        <v>720.88</v>
      </c>
      <c r="E992">
        <v>-86.86</v>
      </c>
      <c r="F992">
        <v>0</v>
      </c>
      <c r="G992">
        <v>-575.08199999999999</v>
      </c>
      <c r="H992">
        <v>4325.2979999999998</v>
      </c>
      <c r="I992">
        <v>-4784.7449999999999</v>
      </c>
    </row>
    <row r="993" spans="1:9" x14ac:dyDescent="0.25">
      <c r="A993" t="s">
        <v>9</v>
      </c>
      <c r="B993" t="s">
        <v>253</v>
      </c>
      <c r="C993" t="s">
        <v>3</v>
      </c>
      <c r="D993">
        <v>738.4</v>
      </c>
      <c r="E993">
        <v>-86.86</v>
      </c>
      <c r="F993">
        <v>0</v>
      </c>
      <c r="G993">
        <v>-575.08199999999999</v>
      </c>
      <c r="H993">
        <v>4430.3879999999999</v>
      </c>
      <c r="I993">
        <v>-5154.09</v>
      </c>
    </row>
    <row r="994" spans="1:9" x14ac:dyDescent="0.25">
      <c r="A994" t="s">
        <v>9</v>
      </c>
      <c r="B994" t="s">
        <v>254</v>
      </c>
      <c r="C994" t="s">
        <v>143</v>
      </c>
      <c r="D994">
        <v>1009.24</v>
      </c>
      <c r="E994">
        <v>0</v>
      </c>
      <c r="F994">
        <v>79.62</v>
      </c>
      <c r="G994">
        <v>527.15800000000002</v>
      </c>
      <c r="H994">
        <v>6476.5770000000002</v>
      </c>
      <c r="I994">
        <v>-6055.4170000000004</v>
      </c>
    </row>
    <row r="995" spans="1:9" x14ac:dyDescent="0.25">
      <c r="A995" t="s">
        <v>9</v>
      </c>
      <c r="B995" t="s">
        <v>254</v>
      </c>
      <c r="C995" t="s">
        <v>3</v>
      </c>
      <c r="D995">
        <v>1033.76</v>
      </c>
      <c r="E995">
        <v>0</v>
      </c>
      <c r="F995">
        <v>79.62</v>
      </c>
      <c r="G995">
        <v>527.15800000000002</v>
      </c>
      <c r="H995">
        <v>6865.9369999999999</v>
      </c>
      <c r="I995">
        <v>-6202.5429999999997</v>
      </c>
    </row>
    <row r="996" spans="1:9" x14ac:dyDescent="0.25">
      <c r="A996" t="s">
        <v>9</v>
      </c>
      <c r="B996" t="s">
        <v>255</v>
      </c>
      <c r="C996" t="s">
        <v>143</v>
      </c>
      <c r="D996">
        <v>1009.24</v>
      </c>
      <c r="E996">
        <v>0</v>
      </c>
      <c r="F996">
        <v>-79.62</v>
      </c>
      <c r="G996">
        <v>-527.15800000000002</v>
      </c>
      <c r="H996">
        <v>5634.2569999999996</v>
      </c>
      <c r="I996">
        <v>-6055.4170000000004</v>
      </c>
    </row>
    <row r="997" spans="1:9" x14ac:dyDescent="0.25">
      <c r="A997" t="s">
        <v>9</v>
      </c>
      <c r="B997" t="s">
        <v>255</v>
      </c>
      <c r="C997" t="s">
        <v>3</v>
      </c>
      <c r="D997">
        <v>1033.76</v>
      </c>
      <c r="E997">
        <v>0</v>
      </c>
      <c r="F997">
        <v>-79.62</v>
      </c>
      <c r="G997">
        <v>-527.15800000000002</v>
      </c>
      <c r="H997">
        <v>5539.1490000000003</v>
      </c>
      <c r="I997">
        <v>-6202.5429999999997</v>
      </c>
    </row>
    <row r="998" spans="1:9" x14ac:dyDescent="0.25">
      <c r="A998" t="s">
        <v>9</v>
      </c>
      <c r="B998" t="s">
        <v>256</v>
      </c>
      <c r="C998" t="s">
        <v>143</v>
      </c>
      <c r="D998">
        <v>720.88</v>
      </c>
      <c r="E998">
        <v>0</v>
      </c>
      <c r="F998">
        <v>79.62</v>
      </c>
      <c r="G998">
        <v>527.15800000000002</v>
      </c>
      <c r="H998">
        <v>4746.4579999999996</v>
      </c>
      <c r="I998">
        <v>-4325.2979999999998</v>
      </c>
    </row>
    <row r="999" spans="1:9" x14ac:dyDescent="0.25">
      <c r="A999" t="s">
        <v>9</v>
      </c>
      <c r="B999" t="s">
        <v>256</v>
      </c>
      <c r="C999" t="s">
        <v>3</v>
      </c>
      <c r="D999">
        <v>738.4</v>
      </c>
      <c r="E999">
        <v>0</v>
      </c>
      <c r="F999">
        <v>79.62</v>
      </c>
      <c r="G999">
        <v>527.15800000000002</v>
      </c>
      <c r="H999">
        <v>5093.7820000000002</v>
      </c>
      <c r="I999">
        <v>-4430.3879999999999</v>
      </c>
    </row>
    <row r="1000" spans="1:9" x14ac:dyDescent="0.25">
      <c r="A1000" t="s">
        <v>9</v>
      </c>
      <c r="B1000" t="s">
        <v>257</v>
      </c>
      <c r="C1000" t="s">
        <v>143</v>
      </c>
      <c r="D1000">
        <v>720.88</v>
      </c>
      <c r="E1000">
        <v>0</v>
      </c>
      <c r="F1000">
        <v>-79.62</v>
      </c>
      <c r="G1000">
        <v>-527.15800000000002</v>
      </c>
      <c r="H1000">
        <v>3904.1379999999999</v>
      </c>
      <c r="I1000">
        <v>-4325.2979999999998</v>
      </c>
    </row>
    <row r="1001" spans="1:9" x14ac:dyDescent="0.25">
      <c r="A1001" t="s">
        <v>9</v>
      </c>
      <c r="B1001" t="s">
        <v>257</v>
      </c>
      <c r="C1001" t="s">
        <v>3</v>
      </c>
      <c r="D1001">
        <v>738.4</v>
      </c>
      <c r="E1001">
        <v>0</v>
      </c>
      <c r="F1001">
        <v>-79.62</v>
      </c>
      <c r="G1001">
        <v>-527.15800000000002</v>
      </c>
      <c r="H1001">
        <v>3766.9929999999999</v>
      </c>
      <c r="I1001">
        <v>-4430.3879999999999</v>
      </c>
    </row>
    <row r="1002" spans="1:9" x14ac:dyDescent="0.25">
      <c r="A1002" t="s">
        <v>10</v>
      </c>
      <c r="B1002" t="s">
        <v>2</v>
      </c>
      <c r="C1002" t="s">
        <v>143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</row>
    <row r="1003" spans="1:9" x14ac:dyDescent="0.25">
      <c r="A1003" t="s">
        <v>10</v>
      </c>
      <c r="B1003" t="s">
        <v>2</v>
      </c>
      <c r="C1003" t="s">
        <v>3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</row>
    <row r="1004" spans="1:9" x14ac:dyDescent="0.25">
      <c r="A1004" t="s">
        <v>10</v>
      </c>
      <c r="B1004" t="s">
        <v>144</v>
      </c>
      <c r="C1004" t="s">
        <v>143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</row>
    <row r="1005" spans="1:9" x14ac:dyDescent="0.25">
      <c r="A1005" t="s">
        <v>10</v>
      </c>
      <c r="B1005" t="s">
        <v>144</v>
      </c>
      <c r="C1005" t="s">
        <v>3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</row>
    <row r="1006" spans="1:9" x14ac:dyDescent="0.25">
      <c r="A1006" t="s">
        <v>10</v>
      </c>
      <c r="B1006" t="s">
        <v>12</v>
      </c>
      <c r="C1006" t="s">
        <v>143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</row>
    <row r="1007" spans="1:9" x14ac:dyDescent="0.25">
      <c r="A1007" t="s">
        <v>10</v>
      </c>
      <c r="B1007" t="s">
        <v>12</v>
      </c>
      <c r="C1007" t="s">
        <v>3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</row>
    <row r="1008" spans="1:9" x14ac:dyDescent="0.25">
      <c r="A1008" t="s">
        <v>10</v>
      </c>
      <c r="B1008" t="s">
        <v>13</v>
      </c>
      <c r="C1008" t="s">
        <v>143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</row>
    <row r="1009" spans="1:9" x14ac:dyDescent="0.25">
      <c r="A1009" t="s">
        <v>10</v>
      </c>
      <c r="B1009" t="s">
        <v>13</v>
      </c>
      <c r="C1009" t="s">
        <v>3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</row>
    <row r="1010" spans="1:9" x14ac:dyDescent="0.25">
      <c r="A1010" t="s">
        <v>10</v>
      </c>
      <c r="B1010" t="s">
        <v>14</v>
      </c>
      <c r="C1010" t="s">
        <v>143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</row>
    <row r="1011" spans="1:9" x14ac:dyDescent="0.25">
      <c r="A1011" t="s">
        <v>10</v>
      </c>
      <c r="B1011" t="s">
        <v>14</v>
      </c>
      <c r="C1011" t="s">
        <v>3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</row>
    <row r="1012" spans="1:9" x14ac:dyDescent="0.25">
      <c r="A1012" t="s">
        <v>10</v>
      </c>
      <c r="B1012" t="s">
        <v>15</v>
      </c>
      <c r="C1012" t="s">
        <v>143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</row>
    <row r="1013" spans="1:9" x14ac:dyDescent="0.25">
      <c r="A1013" t="s">
        <v>10</v>
      </c>
      <c r="B1013" t="s">
        <v>15</v>
      </c>
      <c r="C1013" t="s">
        <v>3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</row>
    <row r="1014" spans="1:9" x14ac:dyDescent="0.25">
      <c r="A1014" t="s">
        <v>10</v>
      </c>
      <c r="B1014" t="s">
        <v>145</v>
      </c>
      <c r="C1014" t="s">
        <v>143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</row>
    <row r="1015" spans="1:9" x14ac:dyDescent="0.25">
      <c r="A1015" t="s">
        <v>10</v>
      </c>
      <c r="B1015" t="s">
        <v>145</v>
      </c>
      <c r="C1015" t="s">
        <v>3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</row>
    <row r="1016" spans="1:9" x14ac:dyDescent="0.25">
      <c r="A1016" t="s">
        <v>10</v>
      </c>
      <c r="B1016" t="s">
        <v>146</v>
      </c>
      <c r="C1016" t="s">
        <v>143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</row>
    <row r="1017" spans="1:9" x14ac:dyDescent="0.25">
      <c r="A1017" t="s">
        <v>10</v>
      </c>
      <c r="B1017" t="s">
        <v>146</v>
      </c>
      <c r="C1017" t="s">
        <v>3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</row>
    <row r="1018" spans="1:9" x14ac:dyDescent="0.25">
      <c r="A1018" t="s">
        <v>10</v>
      </c>
      <c r="B1018" t="s">
        <v>147</v>
      </c>
      <c r="C1018" t="s">
        <v>143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</row>
    <row r="1019" spans="1:9" x14ac:dyDescent="0.25">
      <c r="A1019" t="s">
        <v>10</v>
      </c>
      <c r="B1019" t="s">
        <v>147</v>
      </c>
      <c r="C1019" t="s">
        <v>3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</row>
    <row r="1020" spans="1:9" x14ac:dyDescent="0.25">
      <c r="A1020" t="s">
        <v>10</v>
      </c>
      <c r="B1020" t="s">
        <v>148</v>
      </c>
      <c r="C1020" t="s">
        <v>143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</row>
    <row r="1021" spans="1:9" x14ac:dyDescent="0.25">
      <c r="A1021" t="s">
        <v>10</v>
      </c>
      <c r="B1021" t="s">
        <v>148</v>
      </c>
      <c r="C1021" t="s">
        <v>3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</row>
    <row r="1022" spans="1:9" x14ac:dyDescent="0.25">
      <c r="A1022" t="s">
        <v>10</v>
      </c>
      <c r="B1022" t="s">
        <v>149</v>
      </c>
      <c r="C1022" t="s">
        <v>143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</row>
    <row r="1023" spans="1:9" x14ac:dyDescent="0.25">
      <c r="A1023" t="s">
        <v>10</v>
      </c>
      <c r="B1023" t="s">
        <v>149</v>
      </c>
      <c r="C1023" t="s">
        <v>3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</row>
    <row r="1024" spans="1:9" x14ac:dyDescent="0.25">
      <c r="A1024" t="s">
        <v>10</v>
      </c>
      <c r="B1024" t="s">
        <v>150</v>
      </c>
      <c r="C1024" t="s">
        <v>143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</row>
    <row r="1025" spans="1:9" x14ac:dyDescent="0.25">
      <c r="A1025" t="s">
        <v>10</v>
      </c>
      <c r="B1025" t="s">
        <v>150</v>
      </c>
      <c r="C1025" t="s">
        <v>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</row>
    <row r="1026" spans="1:9" x14ac:dyDescent="0.25">
      <c r="A1026" t="s">
        <v>10</v>
      </c>
      <c r="B1026" t="s">
        <v>16</v>
      </c>
      <c r="C1026" t="s">
        <v>143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</row>
    <row r="1027" spans="1:9" x14ac:dyDescent="0.25">
      <c r="A1027" t="s">
        <v>10</v>
      </c>
      <c r="B1027" t="s">
        <v>16</v>
      </c>
      <c r="C1027" t="s">
        <v>3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</row>
    <row r="1028" spans="1:9" x14ac:dyDescent="0.25">
      <c r="A1028" t="s">
        <v>10</v>
      </c>
      <c r="B1028" t="s">
        <v>151</v>
      </c>
      <c r="C1028" t="s">
        <v>143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</row>
    <row r="1029" spans="1:9" x14ac:dyDescent="0.25">
      <c r="A1029" t="s">
        <v>10</v>
      </c>
      <c r="B1029" t="s">
        <v>151</v>
      </c>
      <c r="C1029" t="s">
        <v>3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</row>
    <row r="1030" spans="1:9" x14ac:dyDescent="0.25">
      <c r="A1030" t="s">
        <v>10</v>
      </c>
      <c r="B1030" t="s">
        <v>152</v>
      </c>
      <c r="C1030" t="s">
        <v>143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</row>
    <row r="1031" spans="1:9" x14ac:dyDescent="0.25">
      <c r="A1031" t="s">
        <v>10</v>
      </c>
      <c r="B1031" t="s">
        <v>152</v>
      </c>
      <c r="C1031" t="s">
        <v>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</row>
    <row r="1032" spans="1:9" x14ac:dyDescent="0.25">
      <c r="A1032" t="s">
        <v>10</v>
      </c>
      <c r="B1032" t="s">
        <v>153</v>
      </c>
      <c r="C1032" t="s">
        <v>143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</row>
    <row r="1033" spans="1:9" x14ac:dyDescent="0.25">
      <c r="A1033" t="s">
        <v>10</v>
      </c>
      <c r="B1033" t="s">
        <v>153</v>
      </c>
      <c r="C1033" t="s">
        <v>3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</row>
    <row r="1034" spans="1:9" x14ac:dyDescent="0.25">
      <c r="A1034" t="s">
        <v>10</v>
      </c>
      <c r="B1034" t="s">
        <v>154</v>
      </c>
      <c r="C1034" t="s">
        <v>143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</row>
    <row r="1035" spans="1:9" x14ac:dyDescent="0.25">
      <c r="A1035" t="s">
        <v>10</v>
      </c>
      <c r="B1035" t="s">
        <v>154</v>
      </c>
      <c r="C1035" t="s">
        <v>3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</row>
    <row r="1036" spans="1:9" x14ac:dyDescent="0.25">
      <c r="A1036" t="s">
        <v>10</v>
      </c>
      <c r="B1036" t="s">
        <v>155</v>
      </c>
      <c r="C1036" t="s">
        <v>143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</row>
    <row r="1037" spans="1:9" x14ac:dyDescent="0.25">
      <c r="A1037" t="s">
        <v>10</v>
      </c>
      <c r="B1037" t="s">
        <v>155</v>
      </c>
      <c r="C1037" t="s">
        <v>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</row>
    <row r="1038" spans="1:9" x14ac:dyDescent="0.25">
      <c r="A1038" t="s">
        <v>10</v>
      </c>
      <c r="B1038" t="s">
        <v>156</v>
      </c>
      <c r="C1038" t="s">
        <v>143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</row>
    <row r="1039" spans="1:9" x14ac:dyDescent="0.25">
      <c r="A1039" t="s">
        <v>10</v>
      </c>
      <c r="B1039" t="s">
        <v>156</v>
      </c>
      <c r="C1039" t="s">
        <v>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</row>
    <row r="1040" spans="1:9" x14ac:dyDescent="0.25">
      <c r="A1040" t="s">
        <v>10</v>
      </c>
      <c r="B1040" t="s">
        <v>4</v>
      </c>
      <c r="C1040" t="s">
        <v>143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</row>
    <row r="1041" spans="1:9" x14ac:dyDescent="0.25">
      <c r="A1041" t="s">
        <v>10</v>
      </c>
      <c r="B1041" t="s">
        <v>4</v>
      </c>
      <c r="C1041" t="s">
        <v>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</row>
    <row r="1042" spans="1:9" x14ac:dyDescent="0.25">
      <c r="A1042" t="s">
        <v>10</v>
      </c>
      <c r="B1042" t="s">
        <v>5</v>
      </c>
      <c r="C1042" t="s">
        <v>143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</row>
    <row r="1043" spans="1:9" x14ac:dyDescent="0.25">
      <c r="A1043" t="s">
        <v>10</v>
      </c>
      <c r="B1043" t="s">
        <v>5</v>
      </c>
      <c r="C1043" t="s">
        <v>3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</row>
    <row r="1044" spans="1:9" x14ac:dyDescent="0.25">
      <c r="A1044" t="s">
        <v>10</v>
      </c>
      <c r="B1044" t="s">
        <v>6</v>
      </c>
      <c r="C1044" t="s">
        <v>143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</row>
    <row r="1045" spans="1:9" x14ac:dyDescent="0.25">
      <c r="A1045" t="s">
        <v>10</v>
      </c>
      <c r="B1045" t="s">
        <v>6</v>
      </c>
      <c r="C1045" t="s">
        <v>3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</row>
    <row r="1046" spans="1:9" x14ac:dyDescent="0.25">
      <c r="A1046" t="s">
        <v>10</v>
      </c>
      <c r="B1046" t="s">
        <v>7</v>
      </c>
      <c r="C1046" t="s">
        <v>143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</row>
    <row r="1047" spans="1:9" x14ac:dyDescent="0.25">
      <c r="A1047" t="s">
        <v>10</v>
      </c>
      <c r="B1047" t="s">
        <v>7</v>
      </c>
      <c r="C1047" t="s">
        <v>3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</row>
    <row r="1048" spans="1:9" x14ac:dyDescent="0.25">
      <c r="A1048" t="s">
        <v>10</v>
      </c>
      <c r="B1048" t="s">
        <v>157</v>
      </c>
      <c r="C1048" t="s">
        <v>143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</row>
    <row r="1049" spans="1:9" x14ac:dyDescent="0.25">
      <c r="A1049" t="s">
        <v>10</v>
      </c>
      <c r="B1049" t="s">
        <v>157</v>
      </c>
      <c r="C1049" t="s">
        <v>3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</row>
    <row r="1050" spans="1:9" x14ac:dyDescent="0.25">
      <c r="A1050" t="s">
        <v>10</v>
      </c>
      <c r="B1050" t="s">
        <v>8</v>
      </c>
      <c r="C1050" t="s">
        <v>143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</row>
    <row r="1051" spans="1:9" x14ac:dyDescent="0.25">
      <c r="A1051" t="s">
        <v>10</v>
      </c>
      <c r="B1051" t="s">
        <v>8</v>
      </c>
      <c r="C1051" t="s">
        <v>3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</row>
    <row r="1052" spans="1:9" x14ac:dyDescent="0.25">
      <c r="A1052" t="s">
        <v>10</v>
      </c>
      <c r="B1052" t="s">
        <v>158</v>
      </c>
      <c r="C1052" t="s">
        <v>143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</row>
    <row r="1053" spans="1:9" x14ac:dyDescent="0.25">
      <c r="A1053" t="s">
        <v>10</v>
      </c>
      <c r="B1053" t="s">
        <v>158</v>
      </c>
      <c r="C1053" t="s">
        <v>3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</row>
    <row r="1054" spans="1:9" x14ac:dyDescent="0.25">
      <c r="A1054" t="s">
        <v>10</v>
      </c>
      <c r="B1054" t="s">
        <v>159</v>
      </c>
      <c r="C1054" t="s">
        <v>143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</row>
    <row r="1055" spans="1:9" x14ac:dyDescent="0.25">
      <c r="A1055" t="s">
        <v>10</v>
      </c>
      <c r="B1055" t="s">
        <v>159</v>
      </c>
      <c r="C1055" t="s">
        <v>3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</row>
    <row r="1056" spans="1:9" x14ac:dyDescent="0.25">
      <c r="A1056" t="s">
        <v>10</v>
      </c>
      <c r="B1056" t="s">
        <v>160</v>
      </c>
      <c r="C1056" t="s">
        <v>143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</row>
    <row r="1057" spans="1:9" x14ac:dyDescent="0.25">
      <c r="A1057" t="s">
        <v>10</v>
      </c>
      <c r="B1057" t="s">
        <v>160</v>
      </c>
      <c r="C1057" t="s">
        <v>3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</row>
    <row r="1058" spans="1:9" x14ac:dyDescent="0.25">
      <c r="A1058" t="s">
        <v>10</v>
      </c>
      <c r="B1058" t="s">
        <v>161</v>
      </c>
      <c r="C1058" t="s">
        <v>143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</row>
    <row r="1059" spans="1:9" x14ac:dyDescent="0.25">
      <c r="A1059" t="s">
        <v>10</v>
      </c>
      <c r="B1059" t="s">
        <v>161</v>
      </c>
      <c r="C1059" t="s">
        <v>3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</row>
    <row r="1060" spans="1:9" x14ac:dyDescent="0.25">
      <c r="A1060" t="s">
        <v>10</v>
      </c>
      <c r="B1060" t="s">
        <v>162</v>
      </c>
      <c r="C1060" t="s">
        <v>143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</row>
    <row r="1061" spans="1:9" x14ac:dyDescent="0.25">
      <c r="A1061" t="s">
        <v>10</v>
      </c>
      <c r="B1061" t="s">
        <v>162</v>
      </c>
      <c r="C1061" t="s">
        <v>3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</row>
    <row r="1062" spans="1:9" x14ac:dyDescent="0.25">
      <c r="A1062" t="s">
        <v>10</v>
      </c>
      <c r="B1062" t="s">
        <v>163</v>
      </c>
      <c r="C1062" t="s">
        <v>143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</row>
    <row r="1063" spans="1:9" x14ac:dyDescent="0.25">
      <c r="A1063" t="s">
        <v>10</v>
      </c>
      <c r="B1063" t="s">
        <v>163</v>
      </c>
      <c r="C1063" t="s">
        <v>3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</row>
    <row r="1064" spans="1:9" x14ac:dyDescent="0.25">
      <c r="A1064" t="s">
        <v>10</v>
      </c>
      <c r="B1064" t="s">
        <v>164</v>
      </c>
      <c r="C1064" t="s">
        <v>143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</row>
    <row r="1065" spans="1:9" x14ac:dyDescent="0.25">
      <c r="A1065" t="s">
        <v>10</v>
      </c>
      <c r="B1065" t="s">
        <v>164</v>
      </c>
      <c r="C1065" t="s">
        <v>3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</row>
    <row r="1066" spans="1:9" x14ac:dyDescent="0.25">
      <c r="A1066" t="s">
        <v>10</v>
      </c>
      <c r="B1066" t="s">
        <v>165</v>
      </c>
      <c r="C1066" t="s">
        <v>143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</row>
    <row r="1067" spans="1:9" x14ac:dyDescent="0.25">
      <c r="A1067" t="s">
        <v>10</v>
      </c>
      <c r="B1067" t="s">
        <v>165</v>
      </c>
      <c r="C1067" t="s">
        <v>3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</row>
    <row r="1068" spans="1:9" x14ac:dyDescent="0.25">
      <c r="A1068" t="s">
        <v>10</v>
      </c>
      <c r="B1068" t="s">
        <v>166</v>
      </c>
      <c r="C1068" t="s">
        <v>143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</row>
    <row r="1069" spans="1:9" x14ac:dyDescent="0.25">
      <c r="A1069" t="s">
        <v>10</v>
      </c>
      <c r="B1069" t="s">
        <v>166</v>
      </c>
      <c r="C1069" t="s">
        <v>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</row>
    <row r="1070" spans="1:9" x14ac:dyDescent="0.25">
      <c r="A1070" t="s">
        <v>10</v>
      </c>
      <c r="B1070" t="s">
        <v>167</v>
      </c>
      <c r="C1070" t="s">
        <v>143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</row>
    <row r="1071" spans="1:9" x14ac:dyDescent="0.25">
      <c r="A1071" t="s">
        <v>10</v>
      </c>
      <c r="B1071" t="s">
        <v>167</v>
      </c>
      <c r="C1071" t="s">
        <v>3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</row>
    <row r="1072" spans="1:9" x14ac:dyDescent="0.25">
      <c r="A1072" t="s">
        <v>10</v>
      </c>
      <c r="B1072" t="s">
        <v>168</v>
      </c>
      <c r="C1072" t="s">
        <v>143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</row>
    <row r="1073" spans="1:9" x14ac:dyDescent="0.25">
      <c r="A1073" t="s">
        <v>10</v>
      </c>
      <c r="B1073" t="s">
        <v>168</v>
      </c>
      <c r="C1073" t="s">
        <v>3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</row>
    <row r="1074" spans="1:9" x14ac:dyDescent="0.25">
      <c r="A1074" t="s">
        <v>10</v>
      </c>
      <c r="B1074" t="s">
        <v>169</v>
      </c>
      <c r="C1074" t="s">
        <v>143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</row>
    <row r="1075" spans="1:9" x14ac:dyDescent="0.25">
      <c r="A1075" t="s">
        <v>10</v>
      </c>
      <c r="B1075" t="s">
        <v>169</v>
      </c>
      <c r="C1075" t="s">
        <v>3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</row>
    <row r="1076" spans="1:9" x14ac:dyDescent="0.25">
      <c r="A1076" t="s">
        <v>10</v>
      </c>
      <c r="B1076" t="s">
        <v>170</v>
      </c>
      <c r="C1076" t="s">
        <v>143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</row>
    <row r="1077" spans="1:9" x14ac:dyDescent="0.25">
      <c r="A1077" t="s">
        <v>10</v>
      </c>
      <c r="B1077" t="s">
        <v>170</v>
      </c>
      <c r="C1077" t="s">
        <v>3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</row>
    <row r="1078" spans="1:9" x14ac:dyDescent="0.25">
      <c r="A1078" t="s">
        <v>10</v>
      </c>
      <c r="B1078" t="s">
        <v>171</v>
      </c>
      <c r="C1078" t="s">
        <v>143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</row>
    <row r="1079" spans="1:9" x14ac:dyDescent="0.25">
      <c r="A1079" t="s">
        <v>10</v>
      </c>
      <c r="B1079" t="s">
        <v>171</v>
      </c>
      <c r="C1079" t="s">
        <v>3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</row>
    <row r="1080" spans="1:9" x14ac:dyDescent="0.25">
      <c r="A1080" t="s">
        <v>10</v>
      </c>
      <c r="B1080" t="s">
        <v>172</v>
      </c>
      <c r="C1080" t="s">
        <v>143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</row>
    <row r="1081" spans="1:9" x14ac:dyDescent="0.25">
      <c r="A1081" t="s">
        <v>10</v>
      </c>
      <c r="B1081" t="s">
        <v>172</v>
      </c>
      <c r="C1081" t="s">
        <v>3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</row>
    <row r="1082" spans="1:9" x14ac:dyDescent="0.25">
      <c r="A1082" t="s">
        <v>10</v>
      </c>
      <c r="B1082" t="s">
        <v>173</v>
      </c>
      <c r="C1082" t="s">
        <v>143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</row>
    <row r="1083" spans="1:9" x14ac:dyDescent="0.25">
      <c r="A1083" t="s">
        <v>10</v>
      </c>
      <c r="B1083" t="s">
        <v>173</v>
      </c>
      <c r="C1083" t="s">
        <v>3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</row>
    <row r="1084" spans="1:9" x14ac:dyDescent="0.25">
      <c r="A1084" t="s">
        <v>10</v>
      </c>
      <c r="B1084" t="s">
        <v>174</v>
      </c>
      <c r="C1084" t="s">
        <v>143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</row>
    <row r="1085" spans="1:9" x14ac:dyDescent="0.25">
      <c r="A1085" t="s">
        <v>10</v>
      </c>
      <c r="B1085" t="s">
        <v>174</v>
      </c>
      <c r="C1085" t="s">
        <v>3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</row>
    <row r="1086" spans="1:9" x14ac:dyDescent="0.25">
      <c r="A1086" t="s">
        <v>10</v>
      </c>
      <c r="B1086" t="s">
        <v>175</v>
      </c>
      <c r="C1086" t="s">
        <v>143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</row>
    <row r="1087" spans="1:9" x14ac:dyDescent="0.25">
      <c r="A1087" t="s">
        <v>10</v>
      </c>
      <c r="B1087" t="s">
        <v>175</v>
      </c>
      <c r="C1087" t="s">
        <v>3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</row>
    <row r="1088" spans="1:9" x14ac:dyDescent="0.25">
      <c r="A1088" t="s">
        <v>10</v>
      </c>
      <c r="B1088" t="s">
        <v>176</v>
      </c>
      <c r="C1088" t="s">
        <v>143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</row>
    <row r="1089" spans="1:9" x14ac:dyDescent="0.25">
      <c r="A1089" t="s">
        <v>10</v>
      </c>
      <c r="B1089" t="s">
        <v>176</v>
      </c>
      <c r="C1089" t="s">
        <v>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</row>
    <row r="1090" spans="1:9" x14ac:dyDescent="0.25">
      <c r="A1090" t="s">
        <v>10</v>
      </c>
      <c r="B1090" t="s">
        <v>177</v>
      </c>
      <c r="C1090" t="s">
        <v>143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</row>
    <row r="1091" spans="1:9" x14ac:dyDescent="0.25">
      <c r="A1091" t="s">
        <v>10</v>
      </c>
      <c r="B1091" t="s">
        <v>177</v>
      </c>
      <c r="C1091" t="s">
        <v>3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</row>
    <row r="1092" spans="1:9" x14ac:dyDescent="0.25">
      <c r="A1092" t="s">
        <v>10</v>
      </c>
      <c r="B1092" t="s">
        <v>178</v>
      </c>
      <c r="C1092" t="s">
        <v>143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</row>
    <row r="1093" spans="1:9" x14ac:dyDescent="0.25">
      <c r="A1093" t="s">
        <v>10</v>
      </c>
      <c r="B1093" t="s">
        <v>178</v>
      </c>
      <c r="C1093" t="s">
        <v>3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</row>
    <row r="1094" spans="1:9" x14ac:dyDescent="0.25">
      <c r="A1094" t="s">
        <v>10</v>
      </c>
      <c r="B1094" t="s">
        <v>179</v>
      </c>
      <c r="C1094" t="s">
        <v>143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</row>
    <row r="1095" spans="1:9" x14ac:dyDescent="0.25">
      <c r="A1095" t="s">
        <v>10</v>
      </c>
      <c r="B1095" t="s">
        <v>179</v>
      </c>
      <c r="C1095" t="s">
        <v>3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</row>
    <row r="1096" spans="1:9" x14ac:dyDescent="0.25">
      <c r="A1096" t="s">
        <v>10</v>
      </c>
      <c r="B1096" t="s">
        <v>180</v>
      </c>
      <c r="C1096" t="s">
        <v>143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</row>
    <row r="1097" spans="1:9" x14ac:dyDescent="0.25">
      <c r="A1097" t="s">
        <v>10</v>
      </c>
      <c r="B1097" t="s">
        <v>180</v>
      </c>
      <c r="C1097" t="s">
        <v>3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</row>
    <row r="1098" spans="1:9" x14ac:dyDescent="0.25">
      <c r="A1098" t="s">
        <v>10</v>
      </c>
      <c r="B1098" t="s">
        <v>181</v>
      </c>
      <c r="C1098" t="s">
        <v>143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</row>
    <row r="1099" spans="1:9" x14ac:dyDescent="0.25">
      <c r="A1099" t="s">
        <v>10</v>
      </c>
      <c r="B1099" t="s">
        <v>181</v>
      </c>
      <c r="C1099" t="s">
        <v>3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</row>
    <row r="1100" spans="1:9" x14ac:dyDescent="0.25">
      <c r="A1100" t="s">
        <v>10</v>
      </c>
      <c r="B1100" t="s">
        <v>182</v>
      </c>
      <c r="C1100" t="s">
        <v>143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</row>
    <row r="1101" spans="1:9" x14ac:dyDescent="0.25">
      <c r="A1101" t="s">
        <v>10</v>
      </c>
      <c r="B1101" t="s">
        <v>182</v>
      </c>
      <c r="C1101" t="s">
        <v>3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</row>
    <row r="1102" spans="1:9" x14ac:dyDescent="0.25">
      <c r="A1102" t="s">
        <v>10</v>
      </c>
      <c r="B1102" t="s">
        <v>183</v>
      </c>
      <c r="C1102" t="s">
        <v>143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</row>
    <row r="1103" spans="1:9" x14ac:dyDescent="0.25">
      <c r="A1103" t="s">
        <v>10</v>
      </c>
      <c r="B1103" t="s">
        <v>183</v>
      </c>
      <c r="C1103" t="s">
        <v>3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</row>
    <row r="1104" spans="1:9" x14ac:dyDescent="0.25">
      <c r="A1104" t="s">
        <v>10</v>
      </c>
      <c r="B1104" t="s">
        <v>184</v>
      </c>
      <c r="C1104" t="s">
        <v>143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</row>
    <row r="1105" spans="1:9" x14ac:dyDescent="0.25">
      <c r="A1105" t="s">
        <v>10</v>
      </c>
      <c r="B1105" t="s">
        <v>184</v>
      </c>
      <c r="C1105" t="s">
        <v>3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</row>
    <row r="1106" spans="1:9" x14ac:dyDescent="0.25">
      <c r="A1106" t="s">
        <v>10</v>
      </c>
      <c r="B1106" t="s">
        <v>185</v>
      </c>
      <c r="C1106" t="s">
        <v>143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</row>
    <row r="1107" spans="1:9" x14ac:dyDescent="0.25">
      <c r="A1107" t="s">
        <v>10</v>
      </c>
      <c r="B1107" t="s">
        <v>185</v>
      </c>
      <c r="C1107" t="s">
        <v>3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</row>
    <row r="1108" spans="1:9" x14ac:dyDescent="0.25">
      <c r="A1108" t="s">
        <v>10</v>
      </c>
      <c r="B1108" t="s">
        <v>186</v>
      </c>
      <c r="C1108" t="s">
        <v>143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</row>
    <row r="1109" spans="1:9" x14ac:dyDescent="0.25">
      <c r="A1109" t="s">
        <v>10</v>
      </c>
      <c r="B1109" t="s">
        <v>186</v>
      </c>
      <c r="C1109" t="s">
        <v>3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</row>
    <row r="1110" spans="1:9" x14ac:dyDescent="0.25">
      <c r="A1110" t="s">
        <v>10</v>
      </c>
      <c r="B1110" t="s">
        <v>187</v>
      </c>
      <c r="C1110" t="s">
        <v>143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</row>
    <row r="1111" spans="1:9" x14ac:dyDescent="0.25">
      <c r="A1111" t="s">
        <v>10</v>
      </c>
      <c r="B1111" t="s">
        <v>187</v>
      </c>
      <c r="C1111" t="s">
        <v>3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</row>
    <row r="1112" spans="1:9" x14ac:dyDescent="0.25">
      <c r="A1112" t="s">
        <v>10</v>
      </c>
      <c r="B1112" t="s">
        <v>188</v>
      </c>
      <c r="C1112" t="s">
        <v>143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</row>
    <row r="1113" spans="1:9" x14ac:dyDescent="0.25">
      <c r="A1113" t="s">
        <v>10</v>
      </c>
      <c r="B1113" t="s">
        <v>188</v>
      </c>
      <c r="C1113" t="s">
        <v>3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</row>
    <row r="1114" spans="1:9" x14ac:dyDescent="0.25">
      <c r="A1114" t="s">
        <v>10</v>
      </c>
      <c r="B1114" t="s">
        <v>189</v>
      </c>
      <c r="C1114" t="s">
        <v>143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</row>
    <row r="1115" spans="1:9" x14ac:dyDescent="0.25">
      <c r="A1115" t="s">
        <v>10</v>
      </c>
      <c r="B1115" t="s">
        <v>189</v>
      </c>
      <c r="C1115" t="s">
        <v>3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</row>
    <row r="1116" spans="1:9" x14ac:dyDescent="0.25">
      <c r="A1116" t="s">
        <v>10</v>
      </c>
      <c r="B1116" t="s">
        <v>190</v>
      </c>
      <c r="C1116" t="s">
        <v>143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</row>
    <row r="1117" spans="1:9" x14ac:dyDescent="0.25">
      <c r="A1117" t="s">
        <v>10</v>
      </c>
      <c r="B1117" t="s">
        <v>190</v>
      </c>
      <c r="C1117" t="s">
        <v>3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</row>
    <row r="1118" spans="1:9" x14ac:dyDescent="0.25">
      <c r="A1118" t="s">
        <v>10</v>
      </c>
      <c r="B1118" t="s">
        <v>191</v>
      </c>
      <c r="C1118" t="s">
        <v>143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</row>
    <row r="1119" spans="1:9" x14ac:dyDescent="0.25">
      <c r="A1119" t="s">
        <v>10</v>
      </c>
      <c r="B1119" t="s">
        <v>191</v>
      </c>
      <c r="C1119" t="s">
        <v>3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</row>
    <row r="1120" spans="1:9" x14ac:dyDescent="0.25">
      <c r="A1120" t="s">
        <v>10</v>
      </c>
      <c r="B1120" t="s">
        <v>192</v>
      </c>
      <c r="C1120" t="s">
        <v>143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</row>
    <row r="1121" spans="1:9" x14ac:dyDescent="0.25">
      <c r="A1121" t="s">
        <v>10</v>
      </c>
      <c r="B1121" t="s">
        <v>192</v>
      </c>
      <c r="C1121" t="s">
        <v>3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</row>
    <row r="1122" spans="1:9" x14ac:dyDescent="0.25">
      <c r="A1122" t="s">
        <v>10</v>
      </c>
      <c r="B1122" t="s">
        <v>193</v>
      </c>
      <c r="C1122" t="s">
        <v>143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</row>
    <row r="1123" spans="1:9" x14ac:dyDescent="0.25">
      <c r="A1123" t="s">
        <v>10</v>
      </c>
      <c r="B1123" t="s">
        <v>193</v>
      </c>
      <c r="C1123" t="s">
        <v>3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</row>
    <row r="1124" spans="1:9" x14ac:dyDescent="0.25">
      <c r="A1124" t="s">
        <v>10</v>
      </c>
      <c r="B1124" t="s">
        <v>194</v>
      </c>
      <c r="C1124" t="s">
        <v>143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</row>
    <row r="1125" spans="1:9" x14ac:dyDescent="0.25">
      <c r="A1125" t="s">
        <v>10</v>
      </c>
      <c r="B1125" t="s">
        <v>194</v>
      </c>
      <c r="C1125" t="s">
        <v>3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</row>
    <row r="1126" spans="1:9" x14ac:dyDescent="0.25">
      <c r="A1126" t="s">
        <v>10</v>
      </c>
      <c r="B1126" t="s">
        <v>195</v>
      </c>
      <c r="C1126" t="s">
        <v>143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</row>
    <row r="1127" spans="1:9" x14ac:dyDescent="0.25">
      <c r="A1127" t="s">
        <v>10</v>
      </c>
      <c r="B1127" t="s">
        <v>195</v>
      </c>
      <c r="C1127" t="s">
        <v>3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</row>
    <row r="1128" spans="1:9" x14ac:dyDescent="0.25">
      <c r="A1128" t="s">
        <v>10</v>
      </c>
      <c r="B1128" t="s">
        <v>196</v>
      </c>
      <c r="C1128" t="s">
        <v>143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</row>
    <row r="1129" spans="1:9" x14ac:dyDescent="0.25">
      <c r="A1129" t="s">
        <v>10</v>
      </c>
      <c r="B1129" t="s">
        <v>196</v>
      </c>
      <c r="C1129" t="s">
        <v>3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</row>
    <row r="1130" spans="1:9" x14ac:dyDescent="0.25">
      <c r="A1130" t="s">
        <v>10</v>
      </c>
      <c r="B1130" t="s">
        <v>197</v>
      </c>
      <c r="C1130" t="s">
        <v>143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</row>
    <row r="1131" spans="1:9" x14ac:dyDescent="0.25">
      <c r="A1131" t="s">
        <v>10</v>
      </c>
      <c r="B1131" t="s">
        <v>197</v>
      </c>
      <c r="C1131" t="s">
        <v>3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</row>
    <row r="1132" spans="1:9" x14ac:dyDescent="0.25">
      <c r="A1132" t="s">
        <v>10</v>
      </c>
      <c r="B1132" t="s">
        <v>198</v>
      </c>
      <c r="C1132" t="s">
        <v>143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</row>
    <row r="1133" spans="1:9" x14ac:dyDescent="0.25">
      <c r="A1133" t="s">
        <v>10</v>
      </c>
      <c r="B1133" t="s">
        <v>198</v>
      </c>
      <c r="C1133" t="s">
        <v>3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</row>
    <row r="1134" spans="1:9" x14ac:dyDescent="0.25">
      <c r="A1134" t="s">
        <v>10</v>
      </c>
      <c r="B1134" t="s">
        <v>199</v>
      </c>
      <c r="C1134" t="s">
        <v>143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</row>
    <row r="1135" spans="1:9" x14ac:dyDescent="0.25">
      <c r="A1135" t="s">
        <v>10</v>
      </c>
      <c r="B1135" t="s">
        <v>199</v>
      </c>
      <c r="C1135" t="s">
        <v>3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</row>
    <row r="1136" spans="1:9" x14ac:dyDescent="0.25">
      <c r="A1136" t="s">
        <v>10</v>
      </c>
      <c r="B1136" t="s">
        <v>200</v>
      </c>
      <c r="C1136" t="s">
        <v>143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</row>
    <row r="1137" spans="1:9" x14ac:dyDescent="0.25">
      <c r="A1137" t="s">
        <v>10</v>
      </c>
      <c r="B1137" t="s">
        <v>200</v>
      </c>
      <c r="C1137" t="s">
        <v>3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</row>
    <row r="1138" spans="1:9" x14ac:dyDescent="0.25">
      <c r="A1138" t="s">
        <v>10</v>
      </c>
      <c r="B1138" t="s">
        <v>201</v>
      </c>
      <c r="C1138" t="s">
        <v>143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</row>
    <row r="1139" spans="1:9" x14ac:dyDescent="0.25">
      <c r="A1139" t="s">
        <v>10</v>
      </c>
      <c r="B1139" t="s">
        <v>201</v>
      </c>
      <c r="C1139" t="s">
        <v>3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</row>
    <row r="1140" spans="1:9" x14ac:dyDescent="0.25">
      <c r="A1140" t="s">
        <v>10</v>
      </c>
      <c r="B1140" t="s">
        <v>202</v>
      </c>
      <c r="C1140" t="s">
        <v>143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</row>
    <row r="1141" spans="1:9" x14ac:dyDescent="0.25">
      <c r="A1141" t="s">
        <v>10</v>
      </c>
      <c r="B1141" t="s">
        <v>202</v>
      </c>
      <c r="C1141" t="s">
        <v>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</row>
    <row r="1142" spans="1:9" x14ac:dyDescent="0.25">
      <c r="A1142" t="s">
        <v>10</v>
      </c>
      <c r="B1142" t="s">
        <v>203</v>
      </c>
      <c r="C1142" t="s">
        <v>143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</row>
    <row r="1143" spans="1:9" x14ac:dyDescent="0.25">
      <c r="A1143" t="s">
        <v>10</v>
      </c>
      <c r="B1143" t="s">
        <v>203</v>
      </c>
      <c r="C1143" t="s">
        <v>3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</row>
    <row r="1144" spans="1:9" x14ac:dyDescent="0.25">
      <c r="A1144" t="s">
        <v>10</v>
      </c>
      <c r="B1144" t="s">
        <v>204</v>
      </c>
      <c r="C1144" t="s">
        <v>143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</row>
    <row r="1145" spans="1:9" x14ac:dyDescent="0.25">
      <c r="A1145" t="s">
        <v>10</v>
      </c>
      <c r="B1145" t="s">
        <v>204</v>
      </c>
      <c r="C1145" t="s">
        <v>3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</row>
    <row r="1146" spans="1:9" x14ac:dyDescent="0.25">
      <c r="A1146" t="s">
        <v>10</v>
      </c>
      <c r="B1146" t="s">
        <v>205</v>
      </c>
      <c r="C1146" t="s">
        <v>143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</row>
    <row r="1147" spans="1:9" x14ac:dyDescent="0.25">
      <c r="A1147" t="s">
        <v>10</v>
      </c>
      <c r="B1147" t="s">
        <v>205</v>
      </c>
      <c r="C1147" t="s">
        <v>3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</row>
    <row r="1148" spans="1:9" x14ac:dyDescent="0.25">
      <c r="A1148" t="s">
        <v>10</v>
      </c>
      <c r="B1148" t="s">
        <v>206</v>
      </c>
      <c r="C1148" t="s">
        <v>143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</row>
    <row r="1149" spans="1:9" x14ac:dyDescent="0.25">
      <c r="A1149" t="s">
        <v>10</v>
      </c>
      <c r="B1149" t="s">
        <v>206</v>
      </c>
      <c r="C1149" t="s">
        <v>3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</row>
    <row r="1150" spans="1:9" x14ac:dyDescent="0.25">
      <c r="A1150" t="s">
        <v>10</v>
      </c>
      <c r="B1150" t="s">
        <v>207</v>
      </c>
      <c r="C1150" t="s">
        <v>143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</row>
    <row r="1151" spans="1:9" x14ac:dyDescent="0.25">
      <c r="A1151" t="s">
        <v>10</v>
      </c>
      <c r="B1151" t="s">
        <v>207</v>
      </c>
      <c r="C1151" t="s">
        <v>3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</row>
    <row r="1152" spans="1:9" x14ac:dyDescent="0.25">
      <c r="A1152" t="s">
        <v>10</v>
      </c>
      <c r="B1152" t="s">
        <v>208</v>
      </c>
      <c r="C1152" t="s">
        <v>143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</row>
    <row r="1153" spans="1:9" x14ac:dyDescent="0.25">
      <c r="A1153" t="s">
        <v>10</v>
      </c>
      <c r="B1153" t="s">
        <v>208</v>
      </c>
      <c r="C1153" t="s">
        <v>3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</row>
    <row r="1154" spans="1:9" x14ac:dyDescent="0.25">
      <c r="A1154" t="s">
        <v>10</v>
      </c>
      <c r="B1154" t="s">
        <v>209</v>
      </c>
      <c r="C1154" t="s">
        <v>143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</row>
    <row r="1155" spans="1:9" x14ac:dyDescent="0.25">
      <c r="A1155" t="s">
        <v>10</v>
      </c>
      <c r="B1155" t="s">
        <v>209</v>
      </c>
      <c r="C1155" t="s">
        <v>3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</row>
    <row r="1156" spans="1:9" x14ac:dyDescent="0.25">
      <c r="A1156" t="s">
        <v>10</v>
      </c>
      <c r="B1156" t="s">
        <v>210</v>
      </c>
      <c r="C1156" t="s">
        <v>143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</row>
    <row r="1157" spans="1:9" x14ac:dyDescent="0.25">
      <c r="A1157" t="s">
        <v>10</v>
      </c>
      <c r="B1157" t="s">
        <v>210</v>
      </c>
      <c r="C1157" t="s">
        <v>3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</row>
    <row r="1158" spans="1:9" x14ac:dyDescent="0.25">
      <c r="A1158" t="s">
        <v>10</v>
      </c>
      <c r="B1158" t="s">
        <v>211</v>
      </c>
      <c r="C1158" t="s">
        <v>143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</row>
    <row r="1159" spans="1:9" x14ac:dyDescent="0.25">
      <c r="A1159" t="s">
        <v>10</v>
      </c>
      <c r="B1159" t="s">
        <v>211</v>
      </c>
      <c r="C1159" t="s">
        <v>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</row>
    <row r="1160" spans="1:9" x14ac:dyDescent="0.25">
      <c r="A1160" t="s">
        <v>10</v>
      </c>
      <c r="B1160" t="s">
        <v>212</v>
      </c>
      <c r="C1160" t="s">
        <v>143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</row>
    <row r="1161" spans="1:9" x14ac:dyDescent="0.25">
      <c r="A1161" t="s">
        <v>10</v>
      </c>
      <c r="B1161" t="s">
        <v>212</v>
      </c>
      <c r="C1161" t="s">
        <v>3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</row>
    <row r="1162" spans="1:9" x14ac:dyDescent="0.25">
      <c r="A1162" t="s">
        <v>10</v>
      </c>
      <c r="B1162" t="s">
        <v>213</v>
      </c>
      <c r="C1162" t="s">
        <v>143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</row>
    <row r="1163" spans="1:9" x14ac:dyDescent="0.25">
      <c r="A1163" t="s">
        <v>10</v>
      </c>
      <c r="B1163" t="s">
        <v>213</v>
      </c>
      <c r="C1163" t="s">
        <v>3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</row>
    <row r="1164" spans="1:9" x14ac:dyDescent="0.25">
      <c r="A1164" t="s">
        <v>10</v>
      </c>
      <c r="B1164" t="s">
        <v>214</v>
      </c>
      <c r="C1164" t="s">
        <v>143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</row>
    <row r="1165" spans="1:9" x14ac:dyDescent="0.25">
      <c r="A1165" t="s">
        <v>10</v>
      </c>
      <c r="B1165" t="s">
        <v>214</v>
      </c>
      <c r="C1165" t="s">
        <v>3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</row>
    <row r="1166" spans="1:9" x14ac:dyDescent="0.25">
      <c r="A1166" t="s">
        <v>10</v>
      </c>
      <c r="B1166" t="s">
        <v>215</v>
      </c>
      <c r="C1166" t="s">
        <v>143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</row>
    <row r="1167" spans="1:9" x14ac:dyDescent="0.25">
      <c r="A1167" t="s">
        <v>10</v>
      </c>
      <c r="B1167" t="s">
        <v>215</v>
      </c>
      <c r="C1167" t="s">
        <v>3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</row>
    <row r="1168" spans="1:9" x14ac:dyDescent="0.25">
      <c r="A1168" t="s">
        <v>10</v>
      </c>
      <c r="B1168" t="s">
        <v>216</v>
      </c>
      <c r="C1168" t="s">
        <v>143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</row>
    <row r="1169" spans="1:9" x14ac:dyDescent="0.25">
      <c r="A1169" t="s">
        <v>10</v>
      </c>
      <c r="B1169" t="s">
        <v>216</v>
      </c>
      <c r="C1169" t="s">
        <v>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</row>
    <row r="1170" spans="1:9" x14ac:dyDescent="0.25">
      <c r="A1170" t="s">
        <v>10</v>
      </c>
      <c r="B1170" t="s">
        <v>217</v>
      </c>
      <c r="C1170" t="s">
        <v>143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</row>
    <row r="1171" spans="1:9" x14ac:dyDescent="0.25">
      <c r="A1171" t="s">
        <v>10</v>
      </c>
      <c r="B1171" t="s">
        <v>217</v>
      </c>
      <c r="C1171" t="s">
        <v>3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</row>
    <row r="1172" spans="1:9" x14ac:dyDescent="0.25">
      <c r="A1172" t="s">
        <v>10</v>
      </c>
      <c r="B1172" t="s">
        <v>218</v>
      </c>
      <c r="C1172" t="s">
        <v>143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</row>
    <row r="1173" spans="1:9" x14ac:dyDescent="0.25">
      <c r="A1173" t="s">
        <v>10</v>
      </c>
      <c r="B1173" t="s">
        <v>218</v>
      </c>
      <c r="C1173" t="s">
        <v>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</row>
    <row r="1174" spans="1:9" x14ac:dyDescent="0.25">
      <c r="A1174" t="s">
        <v>10</v>
      </c>
      <c r="B1174" t="s">
        <v>219</v>
      </c>
      <c r="C1174" t="s">
        <v>143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</row>
    <row r="1175" spans="1:9" x14ac:dyDescent="0.25">
      <c r="A1175" t="s">
        <v>10</v>
      </c>
      <c r="B1175" t="s">
        <v>219</v>
      </c>
      <c r="C1175" t="s">
        <v>3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</row>
    <row r="1176" spans="1:9" x14ac:dyDescent="0.25">
      <c r="A1176" t="s">
        <v>10</v>
      </c>
      <c r="B1176" t="s">
        <v>220</v>
      </c>
      <c r="C1176" t="s">
        <v>143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</row>
    <row r="1177" spans="1:9" x14ac:dyDescent="0.25">
      <c r="A1177" t="s">
        <v>10</v>
      </c>
      <c r="B1177" t="s">
        <v>220</v>
      </c>
      <c r="C1177" t="s">
        <v>3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</row>
    <row r="1178" spans="1:9" x14ac:dyDescent="0.25">
      <c r="A1178" t="s">
        <v>10</v>
      </c>
      <c r="B1178" t="s">
        <v>221</v>
      </c>
      <c r="C1178" t="s">
        <v>143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</row>
    <row r="1179" spans="1:9" x14ac:dyDescent="0.25">
      <c r="A1179" t="s">
        <v>10</v>
      </c>
      <c r="B1179" t="s">
        <v>221</v>
      </c>
      <c r="C1179" t="s">
        <v>3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</row>
    <row r="1180" spans="1:9" x14ac:dyDescent="0.25">
      <c r="A1180" t="s">
        <v>10</v>
      </c>
      <c r="B1180" t="s">
        <v>222</v>
      </c>
      <c r="C1180" t="s">
        <v>143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</row>
    <row r="1181" spans="1:9" x14ac:dyDescent="0.25">
      <c r="A1181" t="s">
        <v>10</v>
      </c>
      <c r="B1181" t="s">
        <v>222</v>
      </c>
      <c r="C1181" t="s">
        <v>3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</row>
    <row r="1182" spans="1:9" x14ac:dyDescent="0.25">
      <c r="A1182" t="s">
        <v>10</v>
      </c>
      <c r="B1182" t="s">
        <v>223</v>
      </c>
      <c r="C1182" t="s">
        <v>143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</row>
    <row r="1183" spans="1:9" x14ac:dyDescent="0.25">
      <c r="A1183" t="s">
        <v>10</v>
      </c>
      <c r="B1183" t="s">
        <v>223</v>
      </c>
      <c r="C1183" t="s">
        <v>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</row>
    <row r="1184" spans="1:9" x14ac:dyDescent="0.25">
      <c r="A1184" t="s">
        <v>10</v>
      </c>
      <c r="B1184" t="s">
        <v>224</v>
      </c>
      <c r="C1184" t="s">
        <v>143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</row>
    <row r="1185" spans="1:9" x14ac:dyDescent="0.25">
      <c r="A1185" t="s">
        <v>10</v>
      </c>
      <c r="B1185" t="s">
        <v>224</v>
      </c>
      <c r="C1185" t="s">
        <v>3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</row>
    <row r="1186" spans="1:9" x14ac:dyDescent="0.25">
      <c r="A1186" t="s">
        <v>10</v>
      </c>
      <c r="B1186" t="s">
        <v>225</v>
      </c>
      <c r="C1186" t="s">
        <v>143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</row>
    <row r="1187" spans="1:9" x14ac:dyDescent="0.25">
      <c r="A1187" t="s">
        <v>10</v>
      </c>
      <c r="B1187" t="s">
        <v>225</v>
      </c>
      <c r="C1187" t="s">
        <v>3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</row>
    <row r="1188" spans="1:9" x14ac:dyDescent="0.25">
      <c r="A1188" t="s">
        <v>10</v>
      </c>
      <c r="B1188" t="s">
        <v>226</v>
      </c>
      <c r="C1188" t="s">
        <v>143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</row>
    <row r="1189" spans="1:9" x14ac:dyDescent="0.25">
      <c r="A1189" t="s">
        <v>10</v>
      </c>
      <c r="B1189" t="s">
        <v>226</v>
      </c>
      <c r="C1189" t="s">
        <v>3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</row>
    <row r="1190" spans="1:9" x14ac:dyDescent="0.25">
      <c r="A1190" t="s">
        <v>10</v>
      </c>
      <c r="B1190" t="s">
        <v>227</v>
      </c>
      <c r="C1190" t="s">
        <v>143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</row>
    <row r="1191" spans="1:9" x14ac:dyDescent="0.25">
      <c r="A1191" t="s">
        <v>10</v>
      </c>
      <c r="B1191" t="s">
        <v>227</v>
      </c>
      <c r="C1191" t="s">
        <v>3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</row>
    <row r="1192" spans="1:9" x14ac:dyDescent="0.25">
      <c r="A1192" t="s">
        <v>10</v>
      </c>
      <c r="B1192" t="s">
        <v>228</v>
      </c>
      <c r="C1192" t="s">
        <v>143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</row>
    <row r="1193" spans="1:9" x14ac:dyDescent="0.25">
      <c r="A1193" t="s">
        <v>10</v>
      </c>
      <c r="B1193" t="s">
        <v>228</v>
      </c>
      <c r="C1193" t="s">
        <v>3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</row>
    <row r="1194" spans="1:9" x14ac:dyDescent="0.25">
      <c r="A1194" t="s">
        <v>10</v>
      </c>
      <c r="B1194" t="s">
        <v>229</v>
      </c>
      <c r="C1194" t="s">
        <v>143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</row>
    <row r="1195" spans="1:9" x14ac:dyDescent="0.25">
      <c r="A1195" t="s">
        <v>10</v>
      </c>
      <c r="B1195" t="s">
        <v>229</v>
      </c>
      <c r="C1195" t="s">
        <v>3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</row>
    <row r="1196" spans="1:9" x14ac:dyDescent="0.25">
      <c r="A1196" t="s">
        <v>10</v>
      </c>
      <c r="B1196" t="s">
        <v>230</v>
      </c>
      <c r="C1196" t="s">
        <v>143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</row>
    <row r="1197" spans="1:9" x14ac:dyDescent="0.25">
      <c r="A1197" t="s">
        <v>10</v>
      </c>
      <c r="B1197" t="s">
        <v>230</v>
      </c>
      <c r="C1197" t="s">
        <v>3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</row>
    <row r="1198" spans="1:9" x14ac:dyDescent="0.25">
      <c r="A1198" t="s">
        <v>10</v>
      </c>
      <c r="B1198" t="s">
        <v>231</v>
      </c>
      <c r="C1198" t="s">
        <v>143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</row>
    <row r="1199" spans="1:9" x14ac:dyDescent="0.25">
      <c r="A1199" t="s">
        <v>10</v>
      </c>
      <c r="B1199" t="s">
        <v>231</v>
      </c>
      <c r="C1199" t="s">
        <v>3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</row>
    <row r="1200" spans="1:9" x14ac:dyDescent="0.25">
      <c r="A1200" t="s">
        <v>10</v>
      </c>
      <c r="B1200" t="s">
        <v>232</v>
      </c>
      <c r="C1200" t="s">
        <v>143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</row>
    <row r="1201" spans="1:9" x14ac:dyDescent="0.25">
      <c r="A1201" t="s">
        <v>10</v>
      </c>
      <c r="B1201" t="s">
        <v>232</v>
      </c>
      <c r="C1201" t="s">
        <v>3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</row>
    <row r="1202" spans="1:9" x14ac:dyDescent="0.25">
      <c r="A1202" t="s">
        <v>10</v>
      </c>
      <c r="B1202" t="s">
        <v>233</v>
      </c>
      <c r="C1202" t="s">
        <v>143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</row>
    <row r="1203" spans="1:9" x14ac:dyDescent="0.25">
      <c r="A1203" t="s">
        <v>10</v>
      </c>
      <c r="B1203" t="s">
        <v>233</v>
      </c>
      <c r="C1203" t="s">
        <v>3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</row>
    <row r="1204" spans="1:9" x14ac:dyDescent="0.25">
      <c r="A1204" t="s">
        <v>10</v>
      </c>
      <c r="B1204" t="s">
        <v>234</v>
      </c>
      <c r="C1204" t="s">
        <v>143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</row>
    <row r="1205" spans="1:9" x14ac:dyDescent="0.25">
      <c r="A1205" t="s">
        <v>10</v>
      </c>
      <c r="B1205" t="s">
        <v>234</v>
      </c>
      <c r="C1205" t="s">
        <v>3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</row>
    <row r="1206" spans="1:9" x14ac:dyDescent="0.25">
      <c r="A1206" t="s">
        <v>10</v>
      </c>
      <c r="B1206" t="s">
        <v>235</v>
      </c>
      <c r="C1206" t="s">
        <v>143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</row>
    <row r="1207" spans="1:9" x14ac:dyDescent="0.25">
      <c r="A1207" t="s">
        <v>10</v>
      </c>
      <c r="B1207" t="s">
        <v>235</v>
      </c>
      <c r="C1207" t="s">
        <v>3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</row>
    <row r="1208" spans="1:9" x14ac:dyDescent="0.25">
      <c r="A1208" t="s">
        <v>10</v>
      </c>
      <c r="B1208" t="s">
        <v>236</v>
      </c>
      <c r="C1208" t="s">
        <v>143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</row>
    <row r="1209" spans="1:9" x14ac:dyDescent="0.25">
      <c r="A1209" t="s">
        <v>10</v>
      </c>
      <c r="B1209" t="s">
        <v>236</v>
      </c>
      <c r="C1209" t="s">
        <v>3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</row>
    <row r="1210" spans="1:9" x14ac:dyDescent="0.25">
      <c r="A1210" t="s">
        <v>10</v>
      </c>
      <c r="B1210" t="s">
        <v>237</v>
      </c>
      <c r="C1210" t="s">
        <v>143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</row>
    <row r="1211" spans="1:9" x14ac:dyDescent="0.25">
      <c r="A1211" t="s">
        <v>10</v>
      </c>
      <c r="B1211" t="s">
        <v>237</v>
      </c>
      <c r="C1211" t="s">
        <v>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</row>
    <row r="1212" spans="1:9" x14ac:dyDescent="0.25">
      <c r="A1212" t="s">
        <v>10</v>
      </c>
      <c r="B1212" t="s">
        <v>238</v>
      </c>
      <c r="C1212" t="s">
        <v>143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</row>
    <row r="1213" spans="1:9" x14ac:dyDescent="0.25">
      <c r="A1213" t="s">
        <v>10</v>
      </c>
      <c r="B1213" t="s">
        <v>238</v>
      </c>
      <c r="C1213" t="s">
        <v>3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</row>
    <row r="1214" spans="1:9" x14ac:dyDescent="0.25">
      <c r="A1214" t="s">
        <v>10</v>
      </c>
      <c r="B1214" t="s">
        <v>239</v>
      </c>
      <c r="C1214" t="s">
        <v>143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</row>
    <row r="1215" spans="1:9" x14ac:dyDescent="0.25">
      <c r="A1215" t="s">
        <v>10</v>
      </c>
      <c r="B1215" t="s">
        <v>239</v>
      </c>
      <c r="C1215" t="s">
        <v>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</row>
    <row r="1216" spans="1:9" x14ac:dyDescent="0.25">
      <c r="A1216" t="s">
        <v>10</v>
      </c>
      <c r="B1216" t="s">
        <v>240</v>
      </c>
      <c r="C1216" t="s">
        <v>143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</row>
    <row r="1217" spans="1:9" x14ac:dyDescent="0.25">
      <c r="A1217" t="s">
        <v>10</v>
      </c>
      <c r="B1217" t="s">
        <v>240</v>
      </c>
      <c r="C1217" t="s">
        <v>3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</row>
    <row r="1218" spans="1:9" x14ac:dyDescent="0.25">
      <c r="A1218" t="s">
        <v>10</v>
      </c>
      <c r="B1218" t="s">
        <v>241</v>
      </c>
      <c r="C1218" t="s">
        <v>143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</row>
    <row r="1219" spans="1:9" x14ac:dyDescent="0.25">
      <c r="A1219" t="s">
        <v>10</v>
      </c>
      <c r="B1219" t="s">
        <v>241</v>
      </c>
      <c r="C1219" t="s">
        <v>3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</row>
    <row r="1220" spans="1:9" x14ac:dyDescent="0.25">
      <c r="A1220" t="s">
        <v>10</v>
      </c>
      <c r="B1220" t="s">
        <v>242</v>
      </c>
      <c r="C1220" t="s">
        <v>143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</row>
    <row r="1221" spans="1:9" x14ac:dyDescent="0.25">
      <c r="A1221" t="s">
        <v>10</v>
      </c>
      <c r="B1221" t="s">
        <v>242</v>
      </c>
      <c r="C1221" t="s">
        <v>3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</row>
    <row r="1222" spans="1:9" x14ac:dyDescent="0.25">
      <c r="A1222" t="s">
        <v>10</v>
      </c>
      <c r="B1222" t="s">
        <v>243</v>
      </c>
      <c r="C1222" t="s">
        <v>143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</row>
    <row r="1223" spans="1:9" x14ac:dyDescent="0.25">
      <c r="A1223" t="s">
        <v>10</v>
      </c>
      <c r="B1223" t="s">
        <v>243</v>
      </c>
      <c r="C1223" t="s">
        <v>3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</row>
    <row r="1224" spans="1:9" x14ac:dyDescent="0.25">
      <c r="A1224" t="s">
        <v>10</v>
      </c>
      <c r="B1224" t="s">
        <v>244</v>
      </c>
      <c r="C1224" t="s">
        <v>143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</row>
    <row r="1225" spans="1:9" x14ac:dyDescent="0.25">
      <c r="A1225" t="s">
        <v>10</v>
      </c>
      <c r="B1225" t="s">
        <v>244</v>
      </c>
      <c r="C1225" t="s">
        <v>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</row>
    <row r="1226" spans="1:9" x14ac:dyDescent="0.25">
      <c r="A1226" t="s">
        <v>10</v>
      </c>
      <c r="B1226" t="s">
        <v>245</v>
      </c>
      <c r="C1226" t="s">
        <v>143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</row>
    <row r="1227" spans="1:9" x14ac:dyDescent="0.25">
      <c r="A1227" t="s">
        <v>10</v>
      </c>
      <c r="B1227" t="s">
        <v>245</v>
      </c>
      <c r="C1227" t="s">
        <v>3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</row>
    <row r="1228" spans="1:9" x14ac:dyDescent="0.25">
      <c r="A1228" t="s">
        <v>10</v>
      </c>
      <c r="B1228" t="s">
        <v>246</v>
      </c>
      <c r="C1228" t="s">
        <v>143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</row>
    <row r="1229" spans="1:9" x14ac:dyDescent="0.25">
      <c r="A1229" t="s">
        <v>10</v>
      </c>
      <c r="B1229" t="s">
        <v>246</v>
      </c>
      <c r="C1229" t="s">
        <v>3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</row>
    <row r="1230" spans="1:9" x14ac:dyDescent="0.25">
      <c r="A1230" t="s">
        <v>10</v>
      </c>
      <c r="B1230" t="s">
        <v>247</v>
      </c>
      <c r="C1230" t="s">
        <v>143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</row>
    <row r="1231" spans="1:9" x14ac:dyDescent="0.25">
      <c r="A1231" t="s">
        <v>10</v>
      </c>
      <c r="B1231" t="s">
        <v>247</v>
      </c>
      <c r="C1231" t="s">
        <v>3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</row>
    <row r="1232" spans="1:9" x14ac:dyDescent="0.25">
      <c r="A1232" t="s">
        <v>10</v>
      </c>
      <c r="B1232" t="s">
        <v>248</v>
      </c>
      <c r="C1232" t="s">
        <v>143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</row>
    <row r="1233" spans="1:9" x14ac:dyDescent="0.25">
      <c r="A1233" t="s">
        <v>10</v>
      </c>
      <c r="B1233" t="s">
        <v>248</v>
      </c>
      <c r="C1233" t="s">
        <v>3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</row>
    <row r="1234" spans="1:9" x14ac:dyDescent="0.25">
      <c r="A1234" t="s">
        <v>10</v>
      </c>
      <c r="B1234" t="s">
        <v>249</v>
      </c>
      <c r="C1234" t="s">
        <v>143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</row>
    <row r="1235" spans="1:9" x14ac:dyDescent="0.25">
      <c r="A1235" t="s">
        <v>10</v>
      </c>
      <c r="B1235" t="s">
        <v>249</v>
      </c>
      <c r="C1235" t="s">
        <v>3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</row>
    <row r="1236" spans="1:9" x14ac:dyDescent="0.25">
      <c r="A1236" t="s">
        <v>10</v>
      </c>
      <c r="B1236" t="s">
        <v>250</v>
      </c>
      <c r="C1236" t="s">
        <v>143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</row>
    <row r="1237" spans="1:9" x14ac:dyDescent="0.25">
      <c r="A1237" t="s">
        <v>10</v>
      </c>
      <c r="B1237" t="s">
        <v>250</v>
      </c>
      <c r="C1237" t="s">
        <v>3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</row>
    <row r="1238" spans="1:9" x14ac:dyDescent="0.25">
      <c r="A1238" t="s">
        <v>10</v>
      </c>
      <c r="B1238" t="s">
        <v>251</v>
      </c>
      <c r="C1238" t="s">
        <v>143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</row>
    <row r="1239" spans="1:9" x14ac:dyDescent="0.25">
      <c r="A1239" t="s">
        <v>10</v>
      </c>
      <c r="B1239" t="s">
        <v>251</v>
      </c>
      <c r="C1239" t="s">
        <v>3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</row>
    <row r="1240" spans="1:9" x14ac:dyDescent="0.25">
      <c r="A1240" t="s">
        <v>10</v>
      </c>
      <c r="B1240" t="s">
        <v>252</v>
      </c>
      <c r="C1240" t="s">
        <v>143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</row>
    <row r="1241" spans="1:9" x14ac:dyDescent="0.25">
      <c r="A1241" t="s">
        <v>10</v>
      </c>
      <c r="B1241" t="s">
        <v>252</v>
      </c>
      <c r="C1241" t="s">
        <v>3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</row>
    <row r="1242" spans="1:9" x14ac:dyDescent="0.25">
      <c r="A1242" t="s">
        <v>10</v>
      </c>
      <c r="B1242" t="s">
        <v>253</v>
      </c>
      <c r="C1242" t="s">
        <v>143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</row>
    <row r="1243" spans="1:9" x14ac:dyDescent="0.25">
      <c r="A1243" t="s">
        <v>10</v>
      </c>
      <c r="B1243" t="s">
        <v>253</v>
      </c>
      <c r="C1243" t="s">
        <v>3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</row>
    <row r="1244" spans="1:9" x14ac:dyDescent="0.25">
      <c r="A1244" t="s">
        <v>10</v>
      </c>
      <c r="B1244" t="s">
        <v>254</v>
      </c>
      <c r="C1244" t="s">
        <v>143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</row>
    <row r="1245" spans="1:9" x14ac:dyDescent="0.25">
      <c r="A1245" t="s">
        <v>10</v>
      </c>
      <c r="B1245" t="s">
        <v>254</v>
      </c>
      <c r="C1245" t="s">
        <v>3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</row>
    <row r="1246" spans="1:9" x14ac:dyDescent="0.25">
      <c r="A1246" t="s">
        <v>10</v>
      </c>
      <c r="B1246" t="s">
        <v>255</v>
      </c>
      <c r="C1246" t="s">
        <v>143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</row>
    <row r="1247" spans="1:9" x14ac:dyDescent="0.25">
      <c r="A1247" t="s">
        <v>10</v>
      </c>
      <c r="B1247" t="s">
        <v>255</v>
      </c>
      <c r="C1247" t="s">
        <v>3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</row>
    <row r="1248" spans="1:9" x14ac:dyDescent="0.25">
      <c r="A1248" t="s">
        <v>10</v>
      </c>
      <c r="B1248" t="s">
        <v>256</v>
      </c>
      <c r="C1248" t="s">
        <v>143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</row>
    <row r="1249" spans="1:9" x14ac:dyDescent="0.25">
      <c r="A1249" t="s">
        <v>10</v>
      </c>
      <c r="B1249" t="s">
        <v>256</v>
      </c>
      <c r="C1249" t="s">
        <v>3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</row>
    <row r="1250" spans="1:9" x14ac:dyDescent="0.25">
      <c r="A1250" t="s">
        <v>10</v>
      </c>
      <c r="B1250" t="s">
        <v>257</v>
      </c>
      <c r="C1250" t="s">
        <v>143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</row>
    <row r="1251" spans="1:9" x14ac:dyDescent="0.25">
      <c r="A1251" t="s">
        <v>10</v>
      </c>
      <c r="B1251" t="s">
        <v>257</v>
      </c>
      <c r="C1251" t="s">
        <v>3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topLeftCell="S1" workbookViewId="0">
      <selection activeCell="N25" sqref="N2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25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25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25">
      <c r="G5" s="22"/>
      <c r="H5" s="23">
        <v>2</v>
      </c>
      <c r="I5" s="25" t="s">
        <v>79</v>
      </c>
      <c r="J5" s="25"/>
      <c r="K5" s="25"/>
      <c r="L5" s="25"/>
      <c r="M5" s="25"/>
      <c r="N5" s="49"/>
      <c r="O5" s="25"/>
      <c r="P5" s="25"/>
      <c r="Q5" s="26"/>
    </row>
    <row r="6" spans="1:41" ht="18" customHeight="1" x14ac:dyDescent="0.25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25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25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25">
      <c r="G9" s="46" t="s">
        <v>109</v>
      </c>
      <c r="H9" s="47">
        <v>1</v>
      </c>
      <c r="I9" s="48" t="s">
        <v>110</v>
      </c>
      <c r="J9" s="25"/>
      <c r="K9" s="25"/>
      <c r="L9" s="25"/>
      <c r="M9" s="25"/>
      <c r="N9" s="25"/>
      <c r="O9" s="25"/>
      <c r="P9" s="25"/>
      <c r="Q9" s="26"/>
      <c r="AI9" s="54" t="s">
        <v>107</v>
      </c>
      <c r="AJ9" s="54"/>
    </row>
    <row r="10" spans="1:41" ht="18" customHeight="1" x14ac:dyDescent="0.25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51" t="s">
        <v>21</v>
      </c>
      <c r="X10" s="52">
        <f>-AA17/Z15</f>
        <v>0.2601545915309843</v>
      </c>
      <c r="AG10" s="54" t="s">
        <v>28</v>
      </c>
      <c r="AH10" s="54"/>
      <c r="AI10" s="56">
        <f>-AK19/SQRT(AK15^2+AL15^2)</f>
        <v>1.0615027560197272</v>
      </c>
      <c r="AJ10" s="56"/>
    </row>
    <row r="11" spans="1:41" ht="18" customHeight="1" x14ac:dyDescent="0.25">
      <c r="W11" s="51" t="s">
        <v>27</v>
      </c>
      <c r="X11" s="52">
        <f>-AB19/Z15</f>
        <v>0.2601545915309843</v>
      </c>
      <c r="AG11" s="54" t="s">
        <v>29</v>
      </c>
      <c r="AH11" s="54"/>
      <c r="AI11" s="56">
        <f>-AL21/SQRT(AK16^2+AL16^2)</f>
        <v>1.0615027560197272</v>
      </c>
      <c r="AJ11" s="56"/>
    </row>
    <row r="12" spans="1:41" ht="18" customHeight="1" x14ac:dyDescent="0.25">
      <c r="B12" s="54" t="s">
        <v>115</v>
      </c>
      <c r="C12" s="54"/>
      <c r="D12" s="54"/>
      <c r="E12" s="54"/>
      <c r="F12" s="54"/>
      <c r="G12" s="54"/>
      <c r="I12" s="54" t="s">
        <v>108</v>
      </c>
      <c r="J12" s="54"/>
      <c r="K12" s="54"/>
      <c r="L12" s="54"/>
      <c r="M12" s="54"/>
      <c r="N12" s="54"/>
    </row>
    <row r="13" spans="1:41" ht="18" customHeight="1" x14ac:dyDescent="0.25">
      <c r="B13" s="13" t="s">
        <v>22</v>
      </c>
      <c r="C13" s="51" t="s">
        <v>0</v>
      </c>
      <c r="D13" s="51" t="s">
        <v>24</v>
      </c>
      <c r="E13" s="51" t="s">
        <v>25</v>
      </c>
      <c r="F13" s="51" t="s">
        <v>30</v>
      </c>
      <c r="G13" s="51" t="s">
        <v>23</v>
      </c>
      <c r="H13" s="51"/>
      <c r="I13" s="13" t="s">
        <v>22</v>
      </c>
      <c r="J13" s="51" t="s">
        <v>0</v>
      </c>
      <c r="K13" s="51" t="s">
        <v>92</v>
      </c>
      <c r="L13" s="51" t="s">
        <v>25</v>
      </c>
      <c r="M13" s="51" t="s">
        <v>30</v>
      </c>
      <c r="N13" s="51" t="s">
        <v>31</v>
      </c>
      <c r="P13" s="13" t="s">
        <v>26</v>
      </c>
      <c r="Q13" s="51" t="s">
        <v>0</v>
      </c>
      <c r="R13" s="51" t="s">
        <v>1</v>
      </c>
      <c r="S13" s="51" t="s">
        <v>25</v>
      </c>
      <c r="T13" s="51" t="s">
        <v>11</v>
      </c>
      <c r="U13" s="51" t="s">
        <v>23</v>
      </c>
      <c r="W13" s="55" t="s">
        <v>47</v>
      </c>
      <c r="X13" s="55"/>
      <c r="AG13" s="55" t="s">
        <v>82</v>
      </c>
      <c r="AH13" s="55"/>
    </row>
    <row r="14" spans="1:41" ht="18" customHeight="1" x14ac:dyDescent="0.25">
      <c r="C14" s="53" t="s">
        <v>125</v>
      </c>
      <c r="D14" s="11">
        <v>23.290467</v>
      </c>
      <c r="E14" s="11">
        <f>IF(D14&gt;0,D14*9.80665,"")</f>
        <v>228.40145820554997</v>
      </c>
      <c r="F14" s="11">
        <v>144</v>
      </c>
      <c r="G14" s="33">
        <f>IFERROR(E14/F14,"")</f>
        <v>1.5861212375385414</v>
      </c>
      <c r="J14" s="53" t="s">
        <v>125</v>
      </c>
      <c r="K14" s="11">
        <v>246.13</v>
      </c>
      <c r="L14" s="11">
        <f>IF(K14&lt;&gt;"",K14,"")</f>
        <v>246.13</v>
      </c>
      <c r="M14" s="11">
        <v>144</v>
      </c>
      <c r="N14" s="33">
        <f t="shared" ref="N14:N20" si="0">IF((L14= "")+(M14=""),"",L14/M14)</f>
        <v>1.7092361111111112</v>
      </c>
      <c r="Q14" s="53" t="s">
        <v>125</v>
      </c>
      <c r="R14" s="11">
        <v>43.2</v>
      </c>
      <c r="S14" s="11">
        <f>IF(R14&lt;&gt;"",R14,"")</f>
        <v>43.2</v>
      </c>
      <c r="T14" s="11">
        <v>144</v>
      </c>
      <c r="U14" s="33">
        <f>IF((S14= "")+(T14=""),"",S14/T14)</f>
        <v>0.30000000000000004</v>
      </c>
      <c r="W14" s="53" t="s">
        <v>0</v>
      </c>
      <c r="X14" s="53" t="s">
        <v>100</v>
      </c>
      <c r="Y14" s="53" t="s">
        <v>101</v>
      </c>
      <c r="Z14" s="53" t="s">
        <v>1</v>
      </c>
      <c r="AA14" s="53" t="s">
        <v>102</v>
      </c>
      <c r="AB14" s="53" t="s">
        <v>103</v>
      </c>
      <c r="AC14" s="53" t="s">
        <v>104</v>
      </c>
      <c r="AD14" s="53" t="s">
        <v>105</v>
      </c>
      <c r="AE14" s="53" t="s">
        <v>106</v>
      </c>
      <c r="AG14" s="53" t="s">
        <v>0</v>
      </c>
      <c r="AH14" s="53" t="s">
        <v>100</v>
      </c>
      <c r="AI14" s="53" t="s">
        <v>101</v>
      </c>
      <c r="AJ14" s="53" t="s">
        <v>1</v>
      </c>
      <c r="AK14" s="53" t="s">
        <v>102</v>
      </c>
      <c r="AL14" s="53" t="s">
        <v>103</v>
      </c>
      <c r="AM14" s="53" t="s">
        <v>104</v>
      </c>
      <c r="AN14" s="53" t="s">
        <v>105</v>
      </c>
      <c r="AO14" s="53" t="s">
        <v>106</v>
      </c>
    </row>
    <row r="15" spans="1:41" ht="18" customHeight="1" x14ac:dyDescent="0.25">
      <c r="C15" s="53" t="s">
        <v>126</v>
      </c>
      <c r="D15" s="11">
        <v>24.481152000000002</v>
      </c>
      <c r="E15" s="11">
        <f t="shared" ref="E15:E78" si="1">IF(D15&gt;0,D15*9.80665,"")</f>
        <v>240.0780892608</v>
      </c>
      <c r="F15" s="11">
        <v>144</v>
      </c>
      <c r="G15" s="33">
        <f t="shared" ref="G15:G78" si="2">IFERROR(E15/F15,"")</f>
        <v>1.6672089532000001</v>
      </c>
      <c r="J15" s="53" t="s">
        <v>126</v>
      </c>
      <c r="K15" s="11">
        <v>492.27</v>
      </c>
      <c r="L15" s="11">
        <f>IF(K15-K14&gt;0,K15-K14,"")</f>
        <v>246.14</v>
      </c>
      <c r="M15" s="11">
        <v>144</v>
      </c>
      <c r="N15" s="33">
        <f t="shared" si="0"/>
        <v>1.7093055555555554</v>
      </c>
      <c r="Q15" s="53" t="s">
        <v>126</v>
      </c>
      <c r="R15" s="11">
        <v>86.4</v>
      </c>
      <c r="S15" s="11">
        <f>IF(R15-R14&gt;0,R15-R14,"")</f>
        <v>43.2</v>
      </c>
      <c r="T15" s="11">
        <v>144</v>
      </c>
      <c r="U15" s="33">
        <f t="shared" ref="U15:U78" si="3">IF((S15= "")+(T15=""),"",S15/T15)</f>
        <v>0.30000000000000004</v>
      </c>
      <c r="W15" s="53" t="s">
        <v>9</v>
      </c>
      <c r="X15" s="11" t="s">
        <v>2</v>
      </c>
      <c r="Y15" s="53" t="s">
        <v>3</v>
      </c>
      <c r="Z15" s="14">
        <v>984.53</v>
      </c>
      <c r="AA15" s="11">
        <v>0</v>
      </c>
      <c r="AB15" s="11">
        <v>0</v>
      </c>
      <c r="AC15" s="11">
        <v>0</v>
      </c>
      <c r="AD15" s="11">
        <v>5907.1840000000002</v>
      </c>
      <c r="AE15" s="11">
        <v>-5907.1840000000002</v>
      </c>
      <c r="AG15" s="53" t="s">
        <v>9</v>
      </c>
      <c r="AH15" s="11" t="s">
        <v>4</v>
      </c>
      <c r="AI15" s="53" t="s">
        <v>3</v>
      </c>
      <c r="AJ15" s="11">
        <v>0</v>
      </c>
      <c r="AK15" s="14">
        <v>241.29</v>
      </c>
      <c r="AL15" s="14">
        <v>0</v>
      </c>
      <c r="AM15" s="11">
        <v>1597.4490000000001</v>
      </c>
      <c r="AN15" s="11">
        <v>0</v>
      </c>
      <c r="AO15" s="11">
        <v>2010.2850000000001</v>
      </c>
    </row>
    <row r="16" spans="1:41" ht="18" customHeight="1" x14ac:dyDescent="0.25">
      <c r="C16" s="53" t="s">
        <v>127</v>
      </c>
      <c r="D16" s="11">
        <v>24.481152000000002</v>
      </c>
      <c r="E16" s="11">
        <f t="shared" si="1"/>
        <v>240.0780892608</v>
      </c>
      <c r="F16" s="11">
        <v>144</v>
      </c>
      <c r="G16" s="33">
        <f t="shared" si="2"/>
        <v>1.6672089532000001</v>
      </c>
      <c r="J16" s="53" t="s">
        <v>127</v>
      </c>
      <c r="K16" s="11">
        <v>738.4</v>
      </c>
      <c r="L16" s="11">
        <f t="shared" ref="L16:L79" si="4">IF(K16-K15&gt;0,K16-K15,"")</f>
        <v>246.13</v>
      </c>
      <c r="M16" s="11">
        <v>144</v>
      </c>
      <c r="N16" s="33">
        <f t="shared" si="0"/>
        <v>1.7092361111111112</v>
      </c>
      <c r="Q16" s="53" t="s">
        <v>127</v>
      </c>
      <c r="R16" s="11">
        <v>129.6</v>
      </c>
      <c r="S16" s="11">
        <f t="shared" ref="S16:S27" si="5">IF(R16-R15&gt;0,R16-R15,"")</f>
        <v>43.199999999999989</v>
      </c>
      <c r="T16" s="11">
        <v>144</v>
      </c>
      <c r="U16" s="33">
        <f t="shared" si="3"/>
        <v>0.29999999999999993</v>
      </c>
      <c r="W16" s="53" t="s">
        <v>9</v>
      </c>
      <c r="X16" s="11" t="s">
        <v>13</v>
      </c>
      <c r="Y16" s="53" t="s">
        <v>3</v>
      </c>
      <c r="Z16" s="11">
        <v>0</v>
      </c>
      <c r="AA16" s="14">
        <v>-256.13</v>
      </c>
      <c r="AB16" s="11">
        <v>0</v>
      </c>
      <c r="AC16" s="11">
        <v>1383.1110000000001</v>
      </c>
      <c r="AD16" s="11">
        <v>0</v>
      </c>
      <c r="AE16" s="11">
        <v>-2316.5059999999999</v>
      </c>
      <c r="AG16" s="53" t="s">
        <v>9</v>
      </c>
      <c r="AH16" s="11" t="s">
        <v>5</v>
      </c>
      <c r="AI16" s="53" t="s">
        <v>3</v>
      </c>
      <c r="AJ16" s="11">
        <v>0</v>
      </c>
      <c r="AK16" s="14">
        <v>0</v>
      </c>
      <c r="AL16" s="14">
        <v>241.29</v>
      </c>
      <c r="AM16" s="11">
        <v>1597.4490000000001</v>
      </c>
      <c r="AN16" s="11">
        <v>2010.2850000000001</v>
      </c>
      <c r="AO16" s="11">
        <v>0</v>
      </c>
    </row>
    <row r="17" spans="3:41" ht="18" customHeight="1" x14ac:dyDescent="0.25">
      <c r="C17" s="53" t="s">
        <v>9</v>
      </c>
      <c r="D17" s="11">
        <v>24.481152000000002</v>
      </c>
      <c r="E17" s="11">
        <f t="shared" si="1"/>
        <v>240.0780892608</v>
      </c>
      <c r="F17" s="11">
        <v>144</v>
      </c>
      <c r="G17" s="33">
        <f t="shared" si="2"/>
        <v>1.6672089532000001</v>
      </c>
      <c r="J17" s="53" t="s">
        <v>9</v>
      </c>
      <c r="K17" s="11">
        <v>984.53</v>
      </c>
      <c r="L17" s="11">
        <f t="shared" si="4"/>
        <v>246.13</v>
      </c>
      <c r="M17" s="11">
        <v>144</v>
      </c>
      <c r="N17" s="33">
        <f t="shared" si="0"/>
        <v>1.7092361111111112</v>
      </c>
      <c r="Q17" s="53" t="s">
        <v>9</v>
      </c>
      <c r="R17" s="11">
        <v>172.8</v>
      </c>
      <c r="S17" s="11">
        <f t="shared" si="5"/>
        <v>43.200000000000017</v>
      </c>
      <c r="T17" s="11">
        <v>144</v>
      </c>
      <c r="U17" s="33">
        <f t="shared" si="3"/>
        <v>0.3000000000000001</v>
      </c>
      <c r="W17" s="53" t="s">
        <v>9</v>
      </c>
      <c r="X17" s="11" t="s">
        <v>12</v>
      </c>
      <c r="Y17" s="53" t="s">
        <v>3</v>
      </c>
      <c r="Z17" s="11">
        <v>0</v>
      </c>
      <c r="AA17" s="14">
        <v>-256.13</v>
      </c>
      <c r="AB17" s="11">
        <v>0</v>
      </c>
      <c r="AC17" s="11">
        <v>1690.4690000000001</v>
      </c>
      <c r="AD17" s="11">
        <v>0</v>
      </c>
      <c r="AE17" s="11">
        <v>-2316.5059999999999</v>
      </c>
      <c r="AG17" s="53" t="s">
        <v>9</v>
      </c>
      <c r="AH17" s="11" t="s">
        <v>6</v>
      </c>
      <c r="AI17" s="53" t="s">
        <v>3</v>
      </c>
      <c r="AJ17" s="11">
        <v>147.68</v>
      </c>
      <c r="AK17" s="11">
        <v>0</v>
      </c>
      <c r="AL17" s="11">
        <v>0</v>
      </c>
      <c r="AM17" s="11">
        <v>0</v>
      </c>
      <c r="AN17" s="11">
        <v>886.07799999999997</v>
      </c>
      <c r="AO17" s="11">
        <v>-886.07799999999997</v>
      </c>
    </row>
    <row r="18" spans="3:41" ht="18" customHeight="1" x14ac:dyDescent="0.25">
      <c r="C18" s="53" t="s">
        <v>10</v>
      </c>
      <c r="D18" s="11">
        <v>1.190685</v>
      </c>
      <c r="E18" s="11">
        <f t="shared" si="1"/>
        <v>11.676631055249999</v>
      </c>
      <c r="G18" s="33" t="str">
        <f t="shared" si="2"/>
        <v/>
      </c>
      <c r="J18" s="53" t="s">
        <v>10</v>
      </c>
      <c r="K18" s="11">
        <v>0</v>
      </c>
      <c r="L18" s="11" t="str">
        <f t="shared" si="4"/>
        <v/>
      </c>
      <c r="N18" s="33" t="str">
        <f t="shared" si="0"/>
        <v/>
      </c>
      <c r="Q18" s="53" t="s">
        <v>10</v>
      </c>
      <c r="R18" s="11">
        <v>0</v>
      </c>
      <c r="S18" s="11" t="str">
        <f t="shared" si="5"/>
        <v/>
      </c>
      <c r="U18" s="33" t="str">
        <f t="shared" si="3"/>
        <v/>
      </c>
      <c r="W18" s="53" t="s">
        <v>9</v>
      </c>
      <c r="X18" s="11" t="s">
        <v>15</v>
      </c>
      <c r="Y18" s="53" t="s">
        <v>3</v>
      </c>
      <c r="Z18" s="11">
        <v>0</v>
      </c>
      <c r="AA18" s="11">
        <v>0</v>
      </c>
      <c r="AB18" s="14">
        <v>-256.13</v>
      </c>
      <c r="AC18" s="11">
        <v>-1383.1110000000001</v>
      </c>
      <c r="AD18" s="11">
        <v>2316.5059999999999</v>
      </c>
      <c r="AE18" s="11">
        <v>0</v>
      </c>
      <c r="AG18" s="53" t="s">
        <v>9</v>
      </c>
      <c r="AH18" s="11" t="s">
        <v>13</v>
      </c>
      <c r="AI18" s="53" t="s">
        <v>3</v>
      </c>
      <c r="AJ18" s="11">
        <v>0</v>
      </c>
      <c r="AK18" s="14">
        <v>-256.13</v>
      </c>
      <c r="AL18" s="11">
        <v>0</v>
      </c>
      <c r="AM18" s="11">
        <v>1383.1110000000001</v>
      </c>
      <c r="AN18" s="11">
        <v>0</v>
      </c>
      <c r="AO18" s="11">
        <v>-2316.5059999999999</v>
      </c>
    </row>
    <row r="19" spans="3:41" ht="18" customHeight="1" x14ac:dyDescent="0.25">
      <c r="C19" s="53" t="s">
        <v>129</v>
      </c>
      <c r="D19" s="11">
        <v>0</v>
      </c>
      <c r="E19" s="11" t="str">
        <f t="shared" si="1"/>
        <v/>
      </c>
      <c r="G19" s="33" t="str">
        <f t="shared" si="2"/>
        <v/>
      </c>
      <c r="J19" s="53" t="s">
        <v>129</v>
      </c>
      <c r="L19" s="11" t="str">
        <f t="shared" si="4"/>
        <v/>
      </c>
      <c r="N19" s="33" t="str">
        <f t="shared" si="0"/>
        <v/>
      </c>
      <c r="Q19" s="53" t="s">
        <v>129</v>
      </c>
      <c r="S19" s="11" t="str">
        <f t="shared" si="5"/>
        <v/>
      </c>
      <c r="U19" s="33" t="str">
        <f t="shared" si="3"/>
        <v/>
      </c>
      <c r="W19" s="53" t="s">
        <v>9</v>
      </c>
      <c r="X19" s="11" t="s">
        <v>14</v>
      </c>
      <c r="Y19" s="53" t="s">
        <v>3</v>
      </c>
      <c r="Z19" s="11">
        <v>0</v>
      </c>
      <c r="AA19" s="11">
        <v>0</v>
      </c>
      <c r="AB19" s="14">
        <v>-256.13</v>
      </c>
      <c r="AC19" s="11">
        <v>-1690.4690000000001</v>
      </c>
      <c r="AD19" s="11">
        <v>2316.5059999999999</v>
      </c>
      <c r="AE19" s="11">
        <v>0</v>
      </c>
      <c r="AG19" s="53" t="s">
        <v>9</v>
      </c>
      <c r="AH19" s="11" t="s">
        <v>12</v>
      </c>
      <c r="AI19" s="53" t="s">
        <v>3</v>
      </c>
      <c r="AJ19" s="11">
        <v>0</v>
      </c>
      <c r="AK19" s="14">
        <v>-256.13</v>
      </c>
      <c r="AL19" s="11">
        <v>0</v>
      </c>
      <c r="AM19" s="11">
        <v>1690.4690000000001</v>
      </c>
      <c r="AN19" s="11">
        <v>0</v>
      </c>
      <c r="AO19" s="11">
        <v>-2316.5059999999999</v>
      </c>
    </row>
    <row r="20" spans="3:41" ht="18" customHeight="1" x14ac:dyDescent="0.25">
      <c r="C20" s="53" t="s">
        <v>130</v>
      </c>
      <c r="D20" s="11">
        <v>97.924609000000004</v>
      </c>
      <c r="E20" s="11">
        <f t="shared" si="1"/>
        <v>960.31236684985004</v>
      </c>
      <c r="F20" s="11">
        <v>576</v>
      </c>
      <c r="G20" s="33">
        <f t="shared" si="2"/>
        <v>1.667208970225434</v>
      </c>
      <c r="J20" s="53" t="s">
        <v>130</v>
      </c>
      <c r="L20" s="11" t="str">
        <f t="shared" si="4"/>
        <v/>
      </c>
      <c r="M20" s="11">
        <v>576</v>
      </c>
      <c r="N20" s="33" t="str">
        <f t="shared" si="0"/>
        <v/>
      </c>
      <c r="Q20" s="53" t="s">
        <v>130</v>
      </c>
      <c r="S20" s="11" t="str">
        <f t="shared" si="5"/>
        <v/>
      </c>
      <c r="T20" s="11">
        <v>576</v>
      </c>
      <c r="U20" s="33" t="str">
        <f t="shared" si="3"/>
        <v/>
      </c>
      <c r="AG20" s="53" t="s">
        <v>9</v>
      </c>
      <c r="AH20" s="11" t="s">
        <v>15</v>
      </c>
      <c r="AI20" s="53" t="s">
        <v>3</v>
      </c>
      <c r="AJ20" s="11">
        <v>0</v>
      </c>
      <c r="AK20" s="11">
        <v>0</v>
      </c>
      <c r="AL20" s="14">
        <v>-256.13</v>
      </c>
      <c r="AM20" s="11">
        <v>-1383.1110000000001</v>
      </c>
      <c r="AN20" s="11">
        <v>2316.5059999999999</v>
      </c>
      <c r="AO20" s="11">
        <v>0</v>
      </c>
    </row>
    <row r="21" spans="3:41" ht="18" customHeight="1" x14ac:dyDescent="0.25">
      <c r="C21" s="51"/>
      <c r="E21" s="11" t="str">
        <f t="shared" si="1"/>
        <v/>
      </c>
      <c r="G21" s="33" t="str">
        <f t="shared" si="2"/>
        <v/>
      </c>
      <c r="J21" s="51"/>
      <c r="L21" s="11" t="str">
        <f t="shared" si="4"/>
        <v/>
      </c>
      <c r="N21" s="33" t="str">
        <f>IF((L21= "")+(M21=""),"",L21/M21)</f>
        <v/>
      </c>
      <c r="Q21" s="51"/>
      <c r="S21" s="11" t="str">
        <f t="shared" si="5"/>
        <v/>
      </c>
      <c r="U21" s="33" t="str">
        <f t="shared" si="3"/>
        <v/>
      </c>
      <c r="AG21" s="53" t="s">
        <v>9</v>
      </c>
      <c r="AH21" s="11" t="s">
        <v>14</v>
      </c>
      <c r="AI21" s="53" t="s">
        <v>3</v>
      </c>
      <c r="AJ21" s="11">
        <v>0</v>
      </c>
      <c r="AK21" s="11">
        <v>0</v>
      </c>
      <c r="AL21" s="14">
        <v>-256.13</v>
      </c>
      <c r="AM21" s="11">
        <v>-1690.4690000000001</v>
      </c>
      <c r="AN21" s="11">
        <v>2316.5059999999999</v>
      </c>
      <c r="AO21" s="11">
        <v>0</v>
      </c>
    </row>
    <row r="22" spans="3:41" ht="18" customHeight="1" x14ac:dyDescent="0.25">
      <c r="C22" s="51"/>
      <c r="E22" s="11" t="str">
        <f t="shared" si="1"/>
        <v/>
      </c>
      <c r="G22" s="33" t="str">
        <f t="shared" si="2"/>
        <v/>
      </c>
      <c r="J22" s="51"/>
      <c r="L22" s="11" t="str">
        <f t="shared" si="4"/>
        <v/>
      </c>
      <c r="N22" s="33" t="str">
        <f t="shared" ref="N22:N85" si="6">IF((L22= "")+(M22=""),"",L22/M22)</f>
        <v/>
      </c>
      <c r="Q22" s="51"/>
      <c r="S22" s="11" t="str">
        <f t="shared" si="5"/>
        <v/>
      </c>
      <c r="U22" s="33" t="str">
        <f t="shared" si="3"/>
        <v/>
      </c>
      <c r="AG22" s="53" t="s">
        <v>9</v>
      </c>
      <c r="AH22" s="11" t="s">
        <v>7</v>
      </c>
      <c r="AI22" s="53" t="s">
        <v>3</v>
      </c>
      <c r="AJ22" s="11">
        <v>0</v>
      </c>
      <c r="AK22" s="14">
        <v>289.55</v>
      </c>
      <c r="AL22" s="14">
        <v>0</v>
      </c>
      <c r="AM22" s="11">
        <v>1916.9390000000001</v>
      </c>
      <c r="AN22" s="11">
        <v>0</v>
      </c>
      <c r="AO22" s="11">
        <v>2412.3420000000001</v>
      </c>
    </row>
    <row r="23" spans="3:41" ht="18" customHeight="1" x14ac:dyDescent="0.25">
      <c r="C23" s="51"/>
      <c r="E23" s="11" t="str">
        <f t="shared" si="1"/>
        <v/>
      </c>
      <c r="G23" s="33" t="str">
        <f t="shared" si="2"/>
        <v/>
      </c>
      <c r="J23" s="51"/>
      <c r="L23" s="11" t="str">
        <f t="shared" si="4"/>
        <v/>
      </c>
      <c r="N23" s="33" t="str">
        <f t="shared" si="6"/>
        <v/>
      </c>
      <c r="Q23" s="51"/>
      <c r="S23" s="11" t="str">
        <f t="shared" si="5"/>
        <v/>
      </c>
      <c r="U23" s="33" t="str">
        <f t="shared" si="3"/>
        <v/>
      </c>
      <c r="AG23" s="53" t="s">
        <v>9</v>
      </c>
      <c r="AH23" s="11" t="s">
        <v>8</v>
      </c>
      <c r="AI23" s="53" t="s">
        <v>3</v>
      </c>
      <c r="AJ23" s="11">
        <v>0</v>
      </c>
      <c r="AK23" s="14">
        <v>0</v>
      </c>
      <c r="AL23" s="14">
        <v>265.42</v>
      </c>
      <c r="AM23" s="11">
        <v>1757.194</v>
      </c>
      <c r="AN23" s="11">
        <v>2211.3139999999999</v>
      </c>
      <c r="AO23" s="11">
        <v>0</v>
      </c>
    </row>
    <row r="24" spans="3:41" ht="18" customHeight="1" x14ac:dyDescent="0.25">
      <c r="C24" s="51"/>
      <c r="E24" s="11" t="str">
        <f t="shared" si="1"/>
        <v/>
      </c>
      <c r="G24" s="33" t="str">
        <f t="shared" si="2"/>
        <v/>
      </c>
      <c r="J24" s="51"/>
      <c r="L24" s="11" t="str">
        <f t="shared" si="4"/>
        <v/>
      </c>
      <c r="N24" s="33" t="str">
        <f t="shared" si="6"/>
        <v/>
      </c>
      <c r="Q24" s="51"/>
      <c r="S24" s="11" t="str">
        <f t="shared" si="5"/>
        <v/>
      </c>
      <c r="U24" s="33" t="str">
        <f t="shared" si="3"/>
        <v/>
      </c>
    </row>
    <row r="25" spans="3:41" ht="18" customHeight="1" x14ac:dyDescent="0.25">
      <c r="C25" s="51"/>
      <c r="E25" s="11" t="str">
        <f t="shared" si="1"/>
        <v/>
      </c>
      <c r="G25" s="33" t="str">
        <f t="shared" si="2"/>
        <v/>
      </c>
      <c r="J25" s="51"/>
      <c r="L25" s="11" t="str">
        <f t="shared" si="4"/>
        <v/>
      </c>
      <c r="N25" s="33" t="str">
        <f t="shared" si="6"/>
        <v/>
      </c>
      <c r="Q25" s="51"/>
      <c r="S25" s="11" t="str">
        <f t="shared" si="5"/>
        <v/>
      </c>
      <c r="U25" s="33" t="str">
        <f t="shared" si="3"/>
        <v/>
      </c>
    </row>
    <row r="26" spans="3:41" ht="18" customHeight="1" x14ac:dyDescent="0.25">
      <c r="C26" s="51"/>
      <c r="E26" s="11" t="str">
        <f t="shared" si="1"/>
        <v/>
      </c>
      <c r="G26" s="33" t="str">
        <f t="shared" si="2"/>
        <v/>
      </c>
      <c r="J26" s="51"/>
      <c r="L26" s="11" t="str">
        <f t="shared" si="4"/>
        <v/>
      </c>
      <c r="N26" s="33" t="str">
        <f t="shared" si="6"/>
        <v/>
      </c>
      <c r="Q26" s="51"/>
      <c r="S26" s="11" t="str">
        <f t="shared" si="5"/>
        <v/>
      </c>
      <c r="U26" s="33" t="str">
        <f t="shared" si="3"/>
        <v/>
      </c>
    </row>
    <row r="27" spans="3:41" ht="18" customHeight="1" x14ac:dyDescent="0.25">
      <c r="C27" s="51"/>
      <c r="E27" s="11" t="str">
        <f t="shared" si="1"/>
        <v/>
      </c>
      <c r="G27" s="33" t="str">
        <f t="shared" si="2"/>
        <v/>
      </c>
      <c r="J27" s="51"/>
      <c r="L27" s="11" t="str">
        <f t="shared" si="4"/>
        <v/>
      </c>
      <c r="N27" s="33" t="str">
        <f t="shared" si="6"/>
        <v/>
      </c>
      <c r="Q27" s="51"/>
      <c r="S27" s="11" t="str">
        <f t="shared" si="5"/>
        <v/>
      </c>
      <c r="U27" s="33" t="str">
        <f t="shared" si="3"/>
        <v/>
      </c>
    </row>
    <row r="28" spans="3:41" ht="18" customHeight="1" x14ac:dyDescent="0.25">
      <c r="C28" s="51"/>
      <c r="E28" s="11" t="str">
        <f t="shared" si="1"/>
        <v/>
      </c>
      <c r="G28" s="33" t="str">
        <f t="shared" si="2"/>
        <v/>
      </c>
      <c r="J28" s="51"/>
      <c r="L28" s="11" t="str">
        <f t="shared" si="4"/>
        <v/>
      </c>
      <c r="N28" s="33" t="str">
        <f t="shared" si="6"/>
        <v/>
      </c>
      <c r="Q28" s="51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25">
      <c r="C29" s="51"/>
      <c r="E29" s="11" t="str">
        <f t="shared" si="1"/>
        <v/>
      </c>
      <c r="G29" s="33" t="str">
        <f t="shared" si="2"/>
        <v/>
      </c>
      <c r="J29" s="51"/>
      <c r="L29" s="11" t="str">
        <f t="shared" si="4"/>
        <v/>
      </c>
      <c r="N29" s="33" t="str">
        <f t="shared" si="6"/>
        <v/>
      </c>
      <c r="Q29" s="51"/>
      <c r="S29" s="11" t="str">
        <f t="shared" si="7"/>
        <v/>
      </c>
      <c r="U29" s="33" t="str">
        <f t="shared" si="3"/>
        <v/>
      </c>
    </row>
    <row r="30" spans="3:41" ht="18" customHeight="1" x14ac:dyDescent="0.25">
      <c r="C30" s="51"/>
      <c r="E30" s="11" t="str">
        <f t="shared" si="1"/>
        <v/>
      </c>
      <c r="G30" s="33" t="str">
        <f t="shared" si="2"/>
        <v/>
      </c>
      <c r="J30" s="51"/>
      <c r="L30" s="11" t="str">
        <f t="shared" si="4"/>
        <v/>
      </c>
      <c r="N30" s="33" t="str">
        <f t="shared" si="6"/>
        <v/>
      </c>
      <c r="Q30" s="51"/>
      <c r="S30" s="11" t="str">
        <f t="shared" si="7"/>
        <v/>
      </c>
      <c r="U30" s="33" t="str">
        <f t="shared" si="3"/>
        <v/>
      </c>
    </row>
    <row r="31" spans="3:41" ht="18" customHeight="1" x14ac:dyDescent="0.25">
      <c r="C31" s="51"/>
      <c r="E31" s="11" t="str">
        <f t="shared" si="1"/>
        <v/>
      </c>
      <c r="G31" s="33" t="str">
        <f t="shared" si="2"/>
        <v/>
      </c>
      <c r="J31" s="51"/>
      <c r="L31" s="11" t="str">
        <f t="shared" si="4"/>
        <v/>
      </c>
      <c r="N31" s="33" t="str">
        <f t="shared" si="6"/>
        <v/>
      </c>
      <c r="Q31" s="51"/>
      <c r="S31" s="11" t="str">
        <f t="shared" si="7"/>
        <v/>
      </c>
      <c r="U31" s="33" t="str">
        <f t="shared" si="3"/>
        <v/>
      </c>
    </row>
    <row r="32" spans="3:41" ht="18" customHeight="1" x14ac:dyDescent="0.25">
      <c r="C32" s="51"/>
      <c r="E32" s="11" t="str">
        <f t="shared" si="1"/>
        <v/>
      </c>
      <c r="G32" s="33" t="str">
        <f t="shared" si="2"/>
        <v/>
      </c>
      <c r="J32" s="51"/>
      <c r="L32" s="11" t="str">
        <f t="shared" si="4"/>
        <v/>
      </c>
      <c r="N32" s="33" t="str">
        <f t="shared" si="6"/>
        <v/>
      </c>
      <c r="Q32" s="51"/>
      <c r="S32" s="11" t="str">
        <f t="shared" si="7"/>
        <v/>
      </c>
      <c r="U32" s="33" t="str">
        <f t="shared" si="3"/>
        <v/>
      </c>
    </row>
    <row r="33" spans="3:21" ht="18" customHeight="1" x14ac:dyDescent="0.25">
      <c r="C33" s="51"/>
      <c r="E33" s="11" t="str">
        <f t="shared" si="1"/>
        <v/>
      </c>
      <c r="G33" s="33" t="str">
        <f t="shared" si="2"/>
        <v/>
      </c>
      <c r="J33" s="51"/>
      <c r="L33" s="11" t="str">
        <f t="shared" si="4"/>
        <v/>
      </c>
      <c r="N33" s="33" t="str">
        <f t="shared" si="6"/>
        <v/>
      </c>
      <c r="Q33" s="51"/>
      <c r="S33" s="11" t="str">
        <f t="shared" si="7"/>
        <v/>
      </c>
      <c r="U33" s="33" t="str">
        <f t="shared" si="3"/>
        <v/>
      </c>
    </row>
    <row r="34" spans="3:21" ht="18" customHeight="1" x14ac:dyDescent="0.25">
      <c r="C34" s="51"/>
      <c r="E34" s="11" t="str">
        <f t="shared" si="1"/>
        <v/>
      </c>
      <c r="G34" s="33" t="str">
        <f t="shared" si="2"/>
        <v/>
      </c>
      <c r="J34" s="51"/>
      <c r="L34" s="11" t="str">
        <f t="shared" si="4"/>
        <v/>
      </c>
      <c r="N34" s="33" t="str">
        <f t="shared" si="6"/>
        <v/>
      </c>
      <c r="Q34" s="51"/>
      <c r="S34" s="11" t="str">
        <f t="shared" si="7"/>
        <v/>
      </c>
      <c r="U34" s="33" t="str">
        <f t="shared" si="3"/>
        <v/>
      </c>
    </row>
    <row r="35" spans="3:21" ht="18" customHeight="1" x14ac:dyDescent="0.25">
      <c r="C35" s="51"/>
      <c r="E35" s="11" t="str">
        <f t="shared" si="1"/>
        <v/>
      </c>
      <c r="G35" s="33" t="str">
        <f t="shared" si="2"/>
        <v/>
      </c>
      <c r="J35" s="51"/>
      <c r="L35" s="11" t="str">
        <f t="shared" si="4"/>
        <v/>
      </c>
      <c r="N35" s="33" t="str">
        <f t="shared" si="6"/>
        <v/>
      </c>
      <c r="Q35" s="51"/>
      <c r="S35" s="11" t="str">
        <f t="shared" si="7"/>
        <v/>
      </c>
      <c r="U35" s="33" t="str">
        <f t="shared" si="3"/>
        <v/>
      </c>
    </row>
    <row r="36" spans="3:21" ht="18" customHeight="1" x14ac:dyDescent="0.25">
      <c r="C36" s="51"/>
      <c r="E36" s="11" t="str">
        <f t="shared" si="1"/>
        <v/>
      </c>
      <c r="G36" s="33" t="str">
        <f t="shared" si="2"/>
        <v/>
      </c>
      <c r="J36" s="51"/>
      <c r="L36" s="11" t="str">
        <f t="shared" si="4"/>
        <v/>
      </c>
      <c r="N36" s="33" t="str">
        <f t="shared" si="6"/>
        <v/>
      </c>
      <c r="Q36" s="51"/>
      <c r="S36" s="11" t="str">
        <f t="shared" si="7"/>
        <v/>
      </c>
      <c r="U36" s="33" t="str">
        <f t="shared" si="3"/>
        <v/>
      </c>
    </row>
    <row r="37" spans="3:21" ht="18" customHeight="1" x14ac:dyDescent="0.25">
      <c r="C37" s="51"/>
      <c r="E37" s="11" t="str">
        <f t="shared" si="1"/>
        <v/>
      </c>
      <c r="G37" s="33" t="str">
        <f t="shared" si="2"/>
        <v/>
      </c>
      <c r="J37" s="51"/>
      <c r="L37" s="11" t="str">
        <f t="shared" si="4"/>
        <v/>
      </c>
      <c r="N37" s="33" t="str">
        <f t="shared" si="6"/>
        <v/>
      </c>
      <c r="Q37" s="51"/>
      <c r="S37" s="11" t="str">
        <f t="shared" si="7"/>
        <v/>
      </c>
      <c r="U37" s="33" t="str">
        <f t="shared" si="3"/>
        <v/>
      </c>
    </row>
    <row r="38" spans="3:21" ht="18" customHeight="1" x14ac:dyDescent="0.25">
      <c r="C38" s="51"/>
      <c r="E38" s="11" t="str">
        <f t="shared" si="1"/>
        <v/>
      </c>
      <c r="G38" s="33" t="str">
        <f t="shared" si="2"/>
        <v/>
      </c>
      <c r="J38" s="51"/>
      <c r="L38" s="11" t="str">
        <f t="shared" si="4"/>
        <v/>
      </c>
      <c r="N38" s="33" t="str">
        <f t="shared" si="6"/>
        <v/>
      </c>
      <c r="Q38" s="51"/>
      <c r="S38" s="11" t="str">
        <f t="shared" si="7"/>
        <v/>
      </c>
      <c r="U38" s="33" t="str">
        <f t="shared" si="3"/>
        <v/>
      </c>
    </row>
    <row r="39" spans="3:21" ht="18" customHeight="1" x14ac:dyDescent="0.25">
      <c r="C39" s="51"/>
      <c r="E39" s="11" t="str">
        <f t="shared" si="1"/>
        <v/>
      </c>
      <c r="G39" s="33" t="str">
        <f t="shared" si="2"/>
        <v/>
      </c>
      <c r="J39" s="51"/>
      <c r="L39" s="11" t="str">
        <f t="shared" si="4"/>
        <v/>
      </c>
      <c r="N39" s="33" t="str">
        <f t="shared" si="6"/>
        <v/>
      </c>
      <c r="Q39" s="51"/>
      <c r="S39" s="11" t="str">
        <f t="shared" si="7"/>
        <v/>
      </c>
      <c r="U39" s="33" t="str">
        <f t="shared" si="3"/>
        <v/>
      </c>
    </row>
    <row r="40" spans="3:21" ht="18" customHeight="1" x14ac:dyDescent="0.25">
      <c r="C40" s="51"/>
      <c r="E40" s="11" t="str">
        <f t="shared" si="1"/>
        <v/>
      </c>
      <c r="G40" s="33" t="str">
        <f t="shared" si="2"/>
        <v/>
      </c>
      <c r="J40" s="51"/>
      <c r="L40" s="11" t="str">
        <f t="shared" si="4"/>
        <v/>
      </c>
      <c r="N40" s="33" t="str">
        <f t="shared" si="6"/>
        <v/>
      </c>
      <c r="Q40" s="51"/>
      <c r="S40" s="11" t="str">
        <f t="shared" si="7"/>
        <v/>
      </c>
      <c r="U40" s="33" t="str">
        <f t="shared" si="3"/>
        <v/>
      </c>
    </row>
    <row r="41" spans="3:21" ht="18" customHeight="1" x14ac:dyDescent="0.25">
      <c r="C41" s="51"/>
      <c r="E41" s="11" t="str">
        <f t="shared" si="1"/>
        <v/>
      </c>
      <c r="G41" s="33" t="str">
        <f t="shared" si="2"/>
        <v/>
      </c>
      <c r="J41" s="51"/>
      <c r="L41" s="11" t="str">
        <f t="shared" si="4"/>
        <v/>
      </c>
      <c r="N41" s="33" t="str">
        <f t="shared" si="6"/>
        <v/>
      </c>
      <c r="Q41" s="51"/>
      <c r="S41" s="11" t="str">
        <f t="shared" si="7"/>
        <v/>
      </c>
      <c r="U41" s="33" t="str">
        <f t="shared" si="3"/>
        <v/>
      </c>
    </row>
    <row r="42" spans="3:21" ht="18" customHeight="1" x14ac:dyDescent="0.25">
      <c r="C42" s="51"/>
      <c r="E42" s="11" t="str">
        <f t="shared" si="1"/>
        <v/>
      </c>
      <c r="G42" s="33" t="str">
        <f t="shared" si="2"/>
        <v/>
      </c>
      <c r="J42" s="51"/>
      <c r="L42" s="11" t="str">
        <f t="shared" si="4"/>
        <v/>
      </c>
      <c r="N42" s="33" t="str">
        <f t="shared" si="6"/>
        <v/>
      </c>
      <c r="Q42" s="51"/>
      <c r="S42" s="11" t="str">
        <f t="shared" si="7"/>
        <v/>
      </c>
      <c r="U42" s="33" t="str">
        <f t="shared" si="3"/>
        <v/>
      </c>
    </row>
    <row r="43" spans="3:21" ht="18" customHeight="1" x14ac:dyDescent="0.25">
      <c r="C43" s="51"/>
      <c r="E43" s="11" t="str">
        <f t="shared" si="1"/>
        <v/>
      </c>
      <c r="G43" s="33" t="str">
        <f t="shared" si="2"/>
        <v/>
      </c>
      <c r="J43" s="51"/>
      <c r="L43" s="11" t="str">
        <f t="shared" si="4"/>
        <v/>
      </c>
      <c r="N43" s="33" t="str">
        <f t="shared" si="6"/>
        <v/>
      </c>
      <c r="Q43" s="51"/>
      <c r="S43" s="11" t="str">
        <f t="shared" si="7"/>
        <v/>
      </c>
      <c r="U43" s="33" t="str">
        <f t="shared" si="3"/>
        <v/>
      </c>
    </row>
    <row r="44" spans="3:21" ht="18" customHeight="1" x14ac:dyDescent="0.25">
      <c r="C44" s="51"/>
      <c r="E44" s="11" t="str">
        <f t="shared" si="1"/>
        <v/>
      </c>
      <c r="G44" s="33" t="str">
        <f t="shared" si="2"/>
        <v/>
      </c>
      <c r="J44" s="51"/>
      <c r="L44" s="11" t="str">
        <f t="shared" si="4"/>
        <v/>
      </c>
      <c r="N44" s="33" t="str">
        <f t="shared" si="6"/>
        <v/>
      </c>
      <c r="Q44" s="51"/>
      <c r="S44" s="11" t="str">
        <f t="shared" si="7"/>
        <v/>
      </c>
      <c r="U44" s="33" t="str">
        <f t="shared" si="3"/>
        <v/>
      </c>
    </row>
    <row r="45" spans="3:21" ht="18" customHeight="1" x14ac:dyDescent="0.25">
      <c r="C45" s="51"/>
      <c r="E45" s="11" t="str">
        <f t="shared" si="1"/>
        <v/>
      </c>
      <c r="G45" s="33" t="str">
        <f t="shared" si="2"/>
        <v/>
      </c>
      <c r="J45" s="51"/>
      <c r="L45" s="11" t="str">
        <f t="shared" si="4"/>
        <v/>
      </c>
      <c r="N45" s="33" t="str">
        <f t="shared" si="6"/>
        <v/>
      </c>
      <c r="Q45" s="51"/>
      <c r="S45" s="11" t="str">
        <f t="shared" si="7"/>
        <v/>
      </c>
      <c r="U45" s="33" t="str">
        <f t="shared" si="3"/>
        <v/>
      </c>
    </row>
    <row r="46" spans="3:21" ht="18" customHeight="1" x14ac:dyDescent="0.25">
      <c r="C46" s="51"/>
      <c r="E46" s="11" t="str">
        <f t="shared" si="1"/>
        <v/>
      </c>
      <c r="G46" s="33" t="str">
        <f t="shared" si="2"/>
        <v/>
      </c>
      <c r="J46" s="51"/>
      <c r="L46" s="11" t="str">
        <f t="shared" si="4"/>
        <v/>
      </c>
      <c r="N46" s="33" t="str">
        <f t="shared" si="6"/>
        <v/>
      </c>
      <c r="Q46" s="51"/>
      <c r="S46" s="11" t="str">
        <f t="shared" si="7"/>
        <v/>
      </c>
      <c r="U46" s="33" t="str">
        <f t="shared" si="3"/>
        <v/>
      </c>
    </row>
    <row r="47" spans="3:21" ht="18" customHeight="1" x14ac:dyDescent="0.25">
      <c r="C47" s="51"/>
      <c r="E47" s="11" t="str">
        <f t="shared" si="1"/>
        <v/>
      </c>
      <c r="G47" s="33" t="str">
        <f t="shared" si="2"/>
        <v/>
      </c>
      <c r="J47" s="51"/>
      <c r="L47" s="11" t="str">
        <f t="shared" si="4"/>
        <v/>
      </c>
      <c r="N47" s="33" t="str">
        <f t="shared" si="6"/>
        <v/>
      </c>
      <c r="Q47" s="51"/>
      <c r="S47" s="11" t="str">
        <f t="shared" si="7"/>
        <v/>
      </c>
      <c r="U47" s="33" t="str">
        <f t="shared" si="3"/>
        <v/>
      </c>
    </row>
    <row r="48" spans="3:21" ht="18" customHeight="1" x14ac:dyDescent="0.25">
      <c r="C48" s="51"/>
      <c r="E48" s="11" t="str">
        <f t="shared" si="1"/>
        <v/>
      </c>
      <c r="G48" s="33" t="str">
        <f t="shared" si="2"/>
        <v/>
      </c>
      <c r="J48" s="51"/>
      <c r="L48" s="11" t="str">
        <f t="shared" si="4"/>
        <v/>
      </c>
      <c r="N48" s="33" t="str">
        <f t="shared" si="6"/>
        <v/>
      </c>
      <c r="Q48" s="51"/>
      <c r="S48" s="11" t="str">
        <f t="shared" si="7"/>
        <v/>
      </c>
      <c r="U48" s="33" t="str">
        <f t="shared" si="3"/>
        <v/>
      </c>
    </row>
    <row r="49" spans="3:21" ht="18" customHeight="1" x14ac:dyDescent="0.25">
      <c r="C49" s="51"/>
      <c r="E49" s="11" t="str">
        <f t="shared" si="1"/>
        <v/>
      </c>
      <c r="G49" s="33" t="str">
        <f t="shared" si="2"/>
        <v/>
      </c>
      <c r="J49" s="51"/>
      <c r="L49" s="11" t="str">
        <f t="shared" si="4"/>
        <v/>
      </c>
      <c r="N49" s="33" t="str">
        <f t="shared" si="6"/>
        <v/>
      </c>
      <c r="Q49" s="51"/>
      <c r="S49" s="11" t="str">
        <f t="shared" si="7"/>
        <v/>
      </c>
      <c r="U49" s="33" t="str">
        <f t="shared" si="3"/>
        <v/>
      </c>
    </row>
    <row r="50" spans="3:21" ht="18" customHeight="1" x14ac:dyDescent="0.25">
      <c r="C50" s="51"/>
      <c r="E50" s="11" t="str">
        <f t="shared" si="1"/>
        <v/>
      </c>
      <c r="G50" s="33" t="str">
        <f t="shared" si="2"/>
        <v/>
      </c>
      <c r="J50" s="51"/>
      <c r="L50" s="11" t="str">
        <f t="shared" si="4"/>
        <v/>
      </c>
      <c r="N50" s="33" t="str">
        <f t="shared" si="6"/>
        <v/>
      </c>
      <c r="Q50" s="51"/>
      <c r="S50" s="11" t="str">
        <f t="shared" si="7"/>
        <v/>
      </c>
      <c r="U50" s="33" t="str">
        <f t="shared" si="3"/>
        <v/>
      </c>
    </row>
    <row r="51" spans="3:21" ht="18" customHeight="1" x14ac:dyDescent="0.25">
      <c r="C51" s="51"/>
      <c r="E51" s="11" t="str">
        <f t="shared" si="1"/>
        <v/>
      </c>
      <c r="G51" s="33" t="str">
        <f t="shared" si="2"/>
        <v/>
      </c>
      <c r="J51" s="51"/>
      <c r="L51" s="11" t="str">
        <f t="shared" si="4"/>
        <v/>
      </c>
      <c r="N51" s="33" t="str">
        <f t="shared" si="6"/>
        <v/>
      </c>
      <c r="Q51" s="51"/>
      <c r="S51" s="11" t="str">
        <f t="shared" si="7"/>
        <v/>
      </c>
      <c r="U51" s="33" t="str">
        <f t="shared" si="3"/>
        <v/>
      </c>
    </row>
    <row r="52" spans="3:21" ht="18" customHeight="1" x14ac:dyDescent="0.25">
      <c r="C52" s="51"/>
      <c r="E52" s="11" t="str">
        <f t="shared" si="1"/>
        <v/>
      </c>
      <c r="G52" s="33" t="str">
        <f t="shared" si="2"/>
        <v/>
      </c>
      <c r="J52" s="51"/>
      <c r="L52" s="11" t="str">
        <f t="shared" si="4"/>
        <v/>
      </c>
      <c r="N52" s="33" t="str">
        <f t="shared" si="6"/>
        <v/>
      </c>
      <c r="Q52" s="51"/>
      <c r="S52" s="11" t="str">
        <f t="shared" si="7"/>
        <v/>
      </c>
      <c r="U52" s="33" t="str">
        <f t="shared" si="3"/>
        <v/>
      </c>
    </row>
    <row r="53" spans="3:21" ht="18" customHeight="1" x14ac:dyDescent="0.25">
      <c r="C53" s="51"/>
      <c r="E53" s="11" t="str">
        <f t="shared" si="1"/>
        <v/>
      </c>
      <c r="G53" s="33" t="str">
        <f t="shared" si="2"/>
        <v/>
      </c>
      <c r="J53" s="51"/>
      <c r="L53" s="11" t="str">
        <f t="shared" si="4"/>
        <v/>
      </c>
      <c r="N53" s="33" t="str">
        <f t="shared" si="6"/>
        <v/>
      </c>
      <c r="Q53" s="51"/>
      <c r="S53" s="11" t="str">
        <f t="shared" si="7"/>
        <v/>
      </c>
      <c r="U53" s="33" t="str">
        <f t="shared" si="3"/>
        <v/>
      </c>
    </row>
    <row r="54" spans="3:21" ht="18" customHeight="1" x14ac:dyDescent="0.25">
      <c r="C54" s="51"/>
      <c r="E54" s="11" t="str">
        <f t="shared" si="1"/>
        <v/>
      </c>
      <c r="G54" s="33" t="str">
        <f t="shared" si="2"/>
        <v/>
      </c>
      <c r="J54" s="51"/>
      <c r="L54" s="11" t="str">
        <f t="shared" si="4"/>
        <v/>
      </c>
      <c r="N54" s="33" t="str">
        <f t="shared" si="6"/>
        <v/>
      </c>
      <c r="Q54" s="51"/>
      <c r="S54" s="11" t="str">
        <f t="shared" si="7"/>
        <v/>
      </c>
      <c r="U54" s="33" t="str">
        <f t="shared" si="3"/>
        <v/>
      </c>
    </row>
    <row r="55" spans="3:21" ht="18" customHeight="1" x14ac:dyDescent="0.25">
      <c r="C55" s="51"/>
      <c r="E55" s="11" t="str">
        <f t="shared" si="1"/>
        <v/>
      </c>
      <c r="G55" s="33" t="str">
        <f t="shared" si="2"/>
        <v/>
      </c>
      <c r="J55" s="51"/>
      <c r="L55" s="11" t="str">
        <f t="shared" si="4"/>
        <v/>
      </c>
      <c r="N55" s="33" t="str">
        <f t="shared" si="6"/>
        <v/>
      </c>
      <c r="Q55" s="51"/>
      <c r="S55" s="11" t="str">
        <f t="shared" si="7"/>
        <v/>
      </c>
      <c r="U55" s="33" t="str">
        <f t="shared" si="3"/>
        <v/>
      </c>
    </row>
    <row r="56" spans="3:21" ht="18" customHeight="1" x14ac:dyDescent="0.25">
      <c r="C56" s="51"/>
      <c r="E56" s="11" t="str">
        <f t="shared" si="1"/>
        <v/>
      </c>
      <c r="G56" s="33" t="str">
        <f t="shared" si="2"/>
        <v/>
      </c>
      <c r="J56" s="51"/>
      <c r="L56" s="11" t="str">
        <f t="shared" si="4"/>
        <v/>
      </c>
      <c r="N56" s="33" t="str">
        <f t="shared" si="6"/>
        <v/>
      </c>
      <c r="Q56" s="51"/>
      <c r="S56" s="11" t="str">
        <f t="shared" si="7"/>
        <v/>
      </c>
      <c r="U56" s="33" t="str">
        <f t="shared" si="3"/>
        <v/>
      </c>
    </row>
    <row r="57" spans="3:21" ht="18" customHeight="1" x14ac:dyDescent="0.25">
      <c r="C57" s="51"/>
      <c r="E57" s="11" t="str">
        <f t="shared" si="1"/>
        <v/>
      </c>
      <c r="G57" s="33" t="str">
        <f t="shared" si="2"/>
        <v/>
      </c>
      <c r="J57" s="51"/>
      <c r="L57" s="11" t="str">
        <f t="shared" si="4"/>
        <v/>
      </c>
      <c r="N57" s="33" t="str">
        <f t="shared" si="6"/>
        <v/>
      </c>
      <c r="Q57" s="51"/>
      <c r="S57" s="11" t="str">
        <f t="shared" si="7"/>
        <v/>
      </c>
      <c r="U57" s="33" t="str">
        <f t="shared" si="3"/>
        <v/>
      </c>
    </row>
    <row r="58" spans="3:21" ht="18" customHeight="1" x14ac:dyDescent="0.25">
      <c r="C58" s="51"/>
      <c r="E58" s="11" t="str">
        <f t="shared" si="1"/>
        <v/>
      </c>
      <c r="G58" s="33" t="str">
        <f t="shared" si="2"/>
        <v/>
      </c>
      <c r="J58" s="51"/>
      <c r="L58" s="11" t="str">
        <f t="shared" si="4"/>
        <v/>
      </c>
      <c r="N58" s="33" t="str">
        <f t="shared" si="6"/>
        <v/>
      </c>
      <c r="Q58" s="51"/>
      <c r="S58" s="11" t="str">
        <f t="shared" si="7"/>
        <v/>
      </c>
      <c r="U58" s="33" t="str">
        <f t="shared" si="3"/>
        <v/>
      </c>
    </row>
    <row r="59" spans="3:21" ht="18" customHeight="1" x14ac:dyDescent="0.25">
      <c r="C59" s="51"/>
      <c r="E59" s="11" t="str">
        <f t="shared" si="1"/>
        <v/>
      </c>
      <c r="G59" s="33" t="str">
        <f t="shared" si="2"/>
        <v/>
      </c>
      <c r="J59" s="51"/>
      <c r="L59" s="11" t="str">
        <f t="shared" si="4"/>
        <v/>
      </c>
      <c r="N59" s="33" t="str">
        <f t="shared" si="6"/>
        <v/>
      </c>
      <c r="Q59" s="51"/>
      <c r="S59" s="11" t="str">
        <f t="shared" si="7"/>
        <v/>
      </c>
      <c r="U59" s="33" t="str">
        <f t="shared" si="3"/>
        <v/>
      </c>
    </row>
    <row r="60" spans="3:21" ht="18" customHeight="1" x14ac:dyDescent="0.25">
      <c r="C60" s="51"/>
      <c r="E60" s="11" t="str">
        <f t="shared" si="1"/>
        <v/>
      </c>
      <c r="G60" s="33" t="str">
        <f t="shared" si="2"/>
        <v/>
      </c>
      <c r="J60" s="51"/>
      <c r="L60" s="11" t="str">
        <f t="shared" si="4"/>
        <v/>
      </c>
      <c r="N60" s="33" t="str">
        <f t="shared" si="6"/>
        <v/>
      </c>
      <c r="Q60" s="51"/>
      <c r="S60" s="11" t="str">
        <f t="shared" si="7"/>
        <v/>
      </c>
      <c r="U60" s="33" t="str">
        <f t="shared" si="3"/>
        <v/>
      </c>
    </row>
    <row r="61" spans="3:21" ht="18" customHeight="1" x14ac:dyDescent="0.25">
      <c r="C61" s="51"/>
      <c r="E61" s="11" t="str">
        <f t="shared" si="1"/>
        <v/>
      </c>
      <c r="G61" s="33" t="str">
        <f t="shared" si="2"/>
        <v/>
      </c>
      <c r="J61" s="51"/>
      <c r="L61" s="11" t="str">
        <f t="shared" si="4"/>
        <v/>
      </c>
      <c r="N61" s="33" t="str">
        <f t="shared" si="6"/>
        <v/>
      </c>
      <c r="Q61" s="51"/>
      <c r="S61" s="11" t="str">
        <f t="shared" si="7"/>
        <v/>
      </c>
      <c r="U61" s="33" t="str">
        <f t="shared" si="3"/>
        <v/>
      </c>
    </row>
    <row r="62" spans="3:21" ht="18" customHeight="1" x14ac:dyDescent="0.25">
      <c r="C62" s="51"/>
      <c r="E62" s="11" t="str">
        <f t="shared" si="1"/>
        <v/>
      </c>
      <c r="G62" s="33" t="str">
        <f t="shared" si="2"/>
        <v/>
      </c>
      <c r="J62" s="51"/>
      <c r="L62" s="11" t="str">
        <f t="shared" si="4"/>
        <v/>
      </c>
      <c r="N62" s="33" t="str">
        <f t="shared" si="6"/>
        <v/>
      </c>
      <c r="Q62" s="51"/>
      <c r="S62" s="11" t="str">
        <f t="shared" si="7"/>
        <v/>
      </c>
      <c r="U62" s="33" t="str">
        <f t="shared" si="3"/>
        <v/>
      </c>
    </row>
    <row r="63" spans="3:21" ht="18" customHeight="1" x14ac:dyDescent="0.25">
      <c r="C63" s="51"/>
      <c r="E63" s="11" t="str">
        <f t="shared" si="1"/>
        <v/>
      </c>
      <c r="G63" s="33" t="str">
        <f t="shared" si="2"/>
        <v/>
      </c>
      <c r="J63" s="51"/>
      <c r="L63" s="11" t="str">
        <f t="shared" si="4"/>
        <v/>
      </c>
      <c r="N63" s="33" t="str">
        <f t="shared" si="6"/>
        <v/>
      </c>
      <c r="Q63" s="51"/>
      <c r="S63" s="11" t="str">
        <f t="shared" si="7"/>
        <v/>
      </c>
      <c r="U63" s="33" t="str">
        <f t="shared" si="3"/>
        <v/>
      </c>
    </row>
    <row r="64" spans="3:21" ht="18" customHeight="1" x14ac:dyDescent="0.25">
      <c r="C64" s="51"/>
      <c r="E64" s="11" t="str">
        <f t="shared" si="1"/>
        <v/>
      </c>
      <c r="G64" s="33" t="str">
        <f t="shared" si="2"/>
        <v/>
      </c>
      <c r="J64" s="51"/>
      <c r="L64" s="11" t="str">
        <f t="shared" si="4"/>
        <v/>
      </c>
      <c r="N64" s="33" t="str">
        <f t="shared" si="6"/>
        <v/>
      </c>
      <c r="Q64" s="51"/>
      <c r="S64" s="11" t="str">
        <f t="shared" si="7"/>
        <v/>
      </c>
      <c r="U64" s="33" t="str">
        <f t="shared" si="3"/>
        <v/>
      </c>
    </row>
    <row r="65" spans="3:21" ht="18" customHeight="1" x14ac:dyDescent="0.25">
      <c r="C65" s="51"/>
      <c r="E65" s="11" t="str">
        <f t="shared" si="1"/>
        <v/>
      </c>
      <c r="G65" s="33" t="str">
        <f t="shared" si="2"/>
        <v/>
      </c>
      <c r="J65" s="51"/>
      <c r="L65" s="11" t="str">
        <f t="shared" si="4"/>
        <v/>
      </c>
      <c r="N65" s="33" t="str">
        <f t="shared" si="6"/>
        <v/>
      </c>
      <c r="Q65" s="51"/>
      <c r="S65" s="11" t="str">
        <f t="shared" si="7"/>
        <v/>
      </c>
      <c r="U65" s="33" t="str">
        <f t="shared" si="3"/>
        <v/>
      </c>
    </row>
    <row r="66" spans="3:21" ht="18" customHeight="1" x14ac:dyDescent="0.25">
      <c r="C66" s="51"/>
      <c r="E66" s="11" t="str">
        <f t="shared" si="1"/>
        <v/>
      </c>
      <c r="G66" s="33" t="str">
        <f t="shared" si="2"/>
        <v/>
      </c>
      <c r="J66" s="51"/>
      <c r="L66" s="11" t="str">
        <f t="shared" si="4"/>
        <v/>
      </c>
      <c r="N66" s="33" t="str">
        <f t="shared" si="6"/>
        <v/>
      </c>
      <c r="Q66" s="51"/>
      <c r="S66" s="11" t="str">
        <f t="shared" si="7"/>
        <v/>
      </c>
      <c r="U66" s="33" t="str">
        <f t="shared" si="3"/>
        <v/>
      </c>
    </row>
    <row r="67" spans="3:21" ht="18" customHeight="1" x14ac:dyDescent="0.25">
      <c r="C67" s="51"/>
      <c r="E67" s="11" t="str">
        <f t="shared" si="1"/>
        <v/>
      </c>
      <c r="G67" s="33" t="str">
        <f t="shared" si="2"/>
        <v/>
      </c>
      <c r="J67" s="51"/>
      <c r="L67" s="11" t="str">
        <f t="shared" si="4"/>
        <v/>
      </c>
      <c r="N67" s="33" t="str">
        <f t="shared" si="6"/>
        <v/>
      </c>
      <c r="Q67" s="51"/>
      <c r="S67" s="11" t="str">
        <f t="shared" si="7"/>
        <v/>
      </c>
      <c r="U67" s="33" t="str">
        <f t="shared" si="3"/>
        <v/>
      </c>
    </row>
    <row r="68" spans="3:21" ht="18" customHeight="1" x14ac:dyDescent="0.25">
      <c r="C68" s="51"/>
      <c r="E68" s="11" t="str">
        <f t="shared" si="1"/>
        <v/>
      </c>
      <c r="G68" s="33" t="str">
        <f t="shared" si="2"/>
        <v/>
      </c>
      <c r="J68" s="51"/>
      <c r="L68" s="11" t="str">
        <f t="shared" si="4"/>
        <v/>
      </c>
      <c r="N68" s="33" t="str">
        <f t="shared" si="6"/>
        <v/>
      </c>
      <c r="Q68" s="51"/>
      <c r="S68" s="11" t="str">
        <f t="shared" si="7"/>
        <v/>
      </c>
      <c r="U68" s="33" t="str">
        <f t="shared" si="3"/>
        <v/>
      </c>
    </row>
    <row r="69" spans="3:21" ht="18" customHeight="1" x14ac:dyDescent="0.25">
      <c r="C69" s="51"/>
      <c r="E69" s="11" t="str">
        <f t="shared" si="1"/>
        <v/>
      </c>
      <c r="G69" s="33" t="str">
        <f t="shared" si="2"/>
        <v/>
      </c>
      <c r="J69" s="51"/>
      <c r="L69" s="11" t="str">
        <f t="shared" si="4"/>
        <v/>
      </c>
      <c r="N69" s="33" t="str">
        <f t="shared" si="6"/>
        <v/>
      </c>
      <c r="Q69" s="51"/>
      <c r="S69" s="11" t="str">
        <f t="shared" si="7"/>
        <v/>
      </c>
      <c r="U69" s="33" t="str">
        <f t="shared" si="3"/>
        <v/>
      </c>
    </row>
    <row r="70" spans="3:21" ht="18" customHeight="1" x14ac:dyDescent="0.25">
      <c r="C70" s="51"/>
      <c r="E70" s="11" t="str">
        <f t="shared" si="1"/>
        <v/>
      </c>
      <c r="G70" s="33" t="str">
        <f t="shared" si="2"/>
        <v/>
      </c>
      <c r="J70" s="51"/>
      <c r="L70" s="11" t="str">
        <f t="shared" si="4"/>
        <v/>
      </c>
      <c r="N70" s="33" t="str">
        <f t="shared" si="6"/>
        <v/>
      </c>
      <c r="Q70" s="51"/>
      <c r="S70" s="11" t="str">
        <f t="shared" si="7"/>
        <v/>
      </c>
      <c r="U70" s="33" t="str">
        <f t="shared" si="3"/>
        <v/>
      </c>
    </row>
    <row r="71" spans="3:21" ht="18" customHeight="1" x14ac:dyDescent="0.25">
      <c r="C71" s="51"/>
      <c r="E71" s="11" t="str">
        <f t="shared" si="1"/>
        <v/>
      </c>
      <c r="G71" s="33" t="str">
        <f t="shared" si="2"/>
        <v/>
      </c>
      <c r="J71" s="51"/>
      <c r="L71" s="11" t="str">
        <f t="shared" si="4"/>
        <v/>
      </c>
      <c r="N71" s="33" t="str">
        <f t="shared" si="6"/>
        <v/>
      </c>
      <c r="Q71" s="51"/>
      <c r="S71" s="11" t="str">
        <f t="shared" si="7"/>
        <v/>
      </c>
      <c r="U71" s="33" t="str">
        <f t="shared" si="3"/>
        <v/>
      </c>
    </row>
    <row r="72" spans="3:21" ht="18" customHeight="1" x14ac:dyDescent="0.25">
      <c r="C72" s="51"/>
      <c r="E72" s="11" t="str">
        <f t="shared" si="1"/>
        <v/>
      </c>
      <c r="G72" s="33" t="str">
        <f t="shared" si="2"/>
        <v/>
      </c>
      <c r="J72" s="51"/>
      <c r="L72" s="11" t="str">
        <f t="shared" si="4"/>
        <v/>
      </c>
      <c r="N72" s="33" t="str">
        <f t="shared" si="6"/>
        <v/>
      </c>
      <c r="Q72" s="51"/>
      <c r="S72" s="11" t="str">
        <f t="shared" si="7"/>
        <v/>
      </c>
      <c r="U72" s="33" t="str">
        <f t="shared" si="3"/>
        <v/>
      </c>
    </row>
    <row r="73" spans="3:21" ht="18" customHeight="1" x14ac:dyDescent="0.25">
      <c r="C73" s="51"/>
      <c r="E73" s="11" t="str">
        <f t="shared" si="1"/>
        <v/>
      </c>
      <c r="G73" s="33" t="str">
        <f t="shared" si="2"/>
        <v/>
      </c>
      <c r="J73" s="51"/>
      <c r="L73" s="11" t="str">
        <f t="shared" si="4"/>
        <v/>
      </c>
      <c r="N73" s="33" t="str">
        <f t="shared" si="6"/>
        <v/>
      </c>
      <c r="Q73" s="51"/>
      <c r="S73" s="11" t="str">
        <f t="shared" si="7"/>
        <v/>
      </c>
      <c r="U73" s="33" t="str">
        <f t="shared" si="3"/>
        <v/>
      </c>
    </row>
    <row r="74" spans="3:21" ht="18" customHeight="1" x14ac:dyDescent="0.25">
      <c r="C74" s="51"/>
      <c r="E74" s="11" t="str">
        <f t="shared" si="1"/>
        <v/>
      </c>
      <c r="G74" s="33" t="str">
        <f t="shared" si="2"/>
        <v/>
      </c>
      <c r="J74" s="51"/>
      <c r="L74" s="11" t="str">
        <f t="shared" si="4"/>
        <v/>
      </c>
      <c r="N74" s="33" t="str">
        <f t="shared" si="6"/>
        <v/>
      </c>
      <c r="Q74" s="51"/>
      <c r="S74" s="11" t="str">
        <f t="shared" si="7"/>
        <v/>
      </c>
      <c r="U74" s="33" t="str">
        <f t="shared" si="3"/>
        <v/>
      </c>
    </row>
    <row r="75" spans="3:21" ht="18" customHeight="1" x14ac:dyDescent="0.25">
      <c r="C75" s="51"/>
      <c r="E75" s="11" t="str">
        <f t="shared" si="1"/>
        <v/>
      </c>
      <c r="G75" s="33" t="str">
        <f t="shared" si="2"/>
        <v/>
      </c>
      <c r="J75" s="51"/>
      <c r="L75" s="11" t="str">
        <f t="shared" si="4"/>
        <v/>
      </c>
      <c r="N75" s="33" t="str">
        <f t="shared" si="6"/>
        <v/>
      </c>
      <c r="Q75" s="51"/>
      <c r="S75" s="11" t="str">
        <f t="shared" si="7"/>
        <v/>
      </c>
      <c r="U75" s="33" t="str">
        <f t="shared" si="3"/>
        <v/>
      </c>
    </row>
    <row r="76" spans="3:21" ht="18" customHeight="1" x14ac:dyDescent="0.25">
      <c r="C76" s="51"/>
      <c r="E76" s="11" t="str">
        <f t="shared" si="1"/>
        <v/>
      </c>
      <c r="G76" s="33" t="str">
        <f t="shared" si="2"/>
        <v/>
      </c>
      <c r="J76" s="51"/>
      <c r="L76" s="11" t="str">
        <f t="shared" si="4"/>
        <v/>
      </c>
      <c r="N76" s="33" t="str">
        <f t="shared" si="6"/>
        <v/>
      </c>
      <c r="Q76" s="51"/>
      <c r="S76" s="11" t="str">
        <f t="shared" si="7"/>
        <v/>
      </c>
      <c r="U76" s="33" t="str">
        <f t="shared" si="3"/>
        <v/>
      </c>
    </row>
    <row r="77" spans="3:21" ht="18" customHeight="1" x14ac:dyDescent="0.25">
      <c r="C77" s="51"/>
      <c r="E77" s="11" t="str">
        <f t="shared" si="1"/>
        <v/>
      </c>
      <c r="G77" s="33" t="str">
        <f t="shared" si="2"/>
        <v/>
      </c>
      <c r="J77" s="51"/>
      <c r="L77" s="11" t="str">
        <f t="shared" si="4"/>
        <v/>
      </c>
      <c r="N77" s="33" t="str">
        <f t="shared" si="6"/>
        <v/>
      </c>
      <c r="Q77" s="51"/>
      <c r="S77" s="11" t="str">
        <f t="shared" si="7"/>
        <v/>
      </c>
      <c r="U77" s="33" t="str">
        <f t="shared" si="3"/>
        <v/>
      </c>
    </row>
    <row r="78" spans="3:21" ht="18" customHeight="1" x14ac:dyDescent="0.25">
      <c r="C78" s="51"/>
      <c r="E78" s="11" t="str">
        <f t="shared" si="1"/>
        <v/>
      </c>
      <c r="G78" s="33" t="str">
        <f t="shared" si="2"/>
        <v/>
      </c>
      <c r="J78" s="51"/>
      <c r="L78" s="11" t="str">
        <f t="shared" si="4"/>
        <v/>
      </c>
      <c r="N78" s="33" t="str">
        <f t="shared" si="6"/>
        <v/>
      </c>
      <c r="Q78" s="51"/>
      <c r="S78" s="11" t="str">
        <f t="shared" si="7"/>
        <v/>
      </c>
      <c r="U78" s="33" t="str">
        <f t="shared" si="3"/>
        <v/>
      </c>
    </row>
    <row r="79" spans="3:21" ht="18" customHeight="1" x14ac:dyDescent="0.25">
      <c r="C79" s="51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51"/>
      <c r="L79" s="11" t="str">
        <f t="shared" si="4"/>
        <v/>
      </c>
      <c r="N79" s="33" t="str">
        <f t="shared" si="6"/>
        <v/>
      </c>
      <c r="Q79" s="51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25">
      <c r="C80" s="51"/>
      <c r="E80" s="11" t="str">
        <f t="shared" si="8"/>
        <v/>
      </c>
      <c r="G80" s="33" t="str">
        <f t="shared" si="9"/>
        <v/>
      </c>
      <c r="J80" s="51"/>
      <c r="L80" s="11" t="str">
        <f t="shared" ref="L80:L100" si="11">IF(K80-K79&gt;0,K80-K79,"")</f>
        <v/>
      </c>
      <c r="N80" s="33" t="str">
        <f t="shared" si="6"/>
        <v/>
      </c>
      <c r="Q80" s="51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25">
      <c r="C81" s="51"/>
      <c r="E81" s="11" t="str">
        <f t="shared" si="8"/>
        <v/>
      </c>
      <c r="G81" s="33" t="str">
        <f t="shared" si="9"/>
        <v/>
      </c>
      <c r="J81" s="51"/>
      <c r="L81" s="11" t="str">
        <f t="shared" si="11"/>
        <v/>
      </c>
      <c r="N81" s="33" t="str">
        <f t="shared" si="6"/>
        <v/>
      </c>
      <c r="Q81" s="51"/>
      <c r="S81" s="11" t="str">
        <f t="shared" si="12"/>
        <v/>
      </c>
      <c r="U81" s="33" t="str">
        <f t="shared" si="10"/>
        <v/>
      </c>
    </row>
    <row r="82" spans="3:21" ht="18" customHeight="1" x14ac:dyDescent="0.25">
      <c r="C82" s="51"/>
      <c r="E82" s="11" t="str">
        <f t="shared" si="8"/>
        <v/>
      </c>
      <c r="G82" s="33" t="str">
        <f t="shared" si="9"/>
        <v/>
      </c>
      <c r="J82" s="51"/>
      <c r="L82" s="11" t="str">
        <f t="shared" si="11"/>
        <v/>
      </c>
      <c r="N82" s="33" t="str">
        <f t="shared" si="6"/>
        <v/>
      </c>
      <c r="Q82" s="51"/>
      <c r="S82" s="11" t="str">
        <f t="shared" si="12"/>
        <v/>
      </c>
      <c r="U82" s="33" t="str">
        <f t="shared" si="10"/>
        <v/>
      </c>
    </row>
    <row r="83" spans="3:21" ht="18" customHeight="1" x14ac:dyDescent="0.25">
      <c r="C83" s="51"/>
      <c r="E83" s="11" t="str">
        <f t="shared" si="8"/>
        <v/>
      </c>
      <c r="G83" s="33" t="str">
        <f t="shared" si="9"/>
        <v/>
      </c>
      <c r="J83" s="51"/>
      <c r="L83" s="11" t="str">
        <f t="shared" si="11"/>
        <v/>
      </c>
      <c r="N83" s="33" t="str">
        <f t="shared" si="6"/>
        <v/>
      </c>
      <c r="Q83" s="51"/>
      <c r="S83" s="11" t="str">
        <f t="shared" si="12"/>
        <v/>
      </c>
      <c r="U83" s="33" t="str">
        <f t="shared" si="10"/>
        <v/>
      </c>
    </row>
    <row r="84" spans="3:21" ht="18" customHeight="1" x14ac:dyDescent="0.25">
      <c r="C84" s="51"/>
      <c r="E84" s="11" t="str">
        <f t="shared" si="8"/>
        <v/>
      </c>
      <c r="G84" s="33" t="str">
        <f t="shared" si="9"/>
        <v/>
      </c>
      <c r="J84" s="51"/>
      <c r="L84" s="11" t="str">
        <f t="shared" si="11"/>
        <v/>
      </c>
      <c r="N84" s="33" t="str">
        <f t="shared" si="6"/>
        <v/>
      </c>
      <c r="Q84" s="51"/>
      <c r="S84" s="11" t="str">
        <f t="shared" si="12"/>
        <v/>
      </c>
      <c r="U84" s="33" t="str">
        <f t="shared" si="10"/>
        <v/>
      </c>
    </row>
    <row r="85" spans="3:21" ht="18" customHeight="1" x14ac:dyDescent="0.25">
      <c r="C85" s="51"/>
      <c r="E85" s="11" t="str">
        <f t="shared" si="8"/>
        <v/>
      </c>
      <c r="G85" s="33" t="str">
        <f t="shared" si="9"/>
        <v/>
      </c>
      <c r="J85" s="51"/>
      <c r="L85" s="11" t="str">
        <f t="shared" si="11"/>
        <v/>
      </c>
      <c r="N85" s="33" t="str">
        <f t="shared" si="6"/>
        <v/>
      </c>
      <c r="Q85" s="51"/>
      <c r="S85" s="11" t="str">
        <f t="shared" si="12"/>
        <v/>
      </c>
      <c r="U85" s="33" t="str">
        <f t="shared" si="10"/>
        <v/>
      </c>
    </row>
    <row r="86" spans="3:21" ht="18" customHeight="1" x14ac:dyDescent="0.25">
      <c r="C86" s="51"/>
      <c r="E86" s="11" t="str">
        <f t="shared" si="8"/>
        <v/>
      </c>
      <c r="G86" s="33" t="str">
        <f t="shared" si="9"/>
        <v/>
      </c>
      <c r="J86" s="51"/>
      <c r="L86" s="11" t="str">
        <f t="shared" si="11"/>
        <v/>
      </c>
      <c r="N86" s="33" t="str">
        <f t="shared" ref="N86:N100" si="13">IF((L86= "")+(M86=""),"",L86/M86)</f>
        <v/>
      </c>
      <c r="Q86" s="51"/>
      <c r="S86" s="11" t="str">
        <f t="shared" si="12"/>
        <v/>
      </c>
      <c r="U86" s="33" t="str">
        <f t="shared" si="10"/>
        <v/>
      </c>
    </row>
    <row r="87" spans="3:21" ht="18" customHeight="1" x14ac:dyDescent="0.25">
      <c r="C87" s="51"/>
      <c r="E87" s="11" t="str">
        <f t="shared" si="8"/>
        <v/>
      </c>
      <c r="G87" s="33" t="str">
        <f t="shared" si="9"/>
        <v/>
      </c>
      <c r="J87" s="51"/>
      <c r="L87" s="11" t="str">
        <f t="shared" si="11"/>
        <v/>
      </c>
      <c r="N87" s="33" t="str">
        <f t="shared" si="13"/>
        <v/>
      </c>
      <c r="Q87" s="51"/>
      <c r="S87" s="11" t="str">
        <f t="shared" si="12"/>
        <v/>
      </c>
      <c r="U87" s="33" t="str">
        <f t="shared" si="10"/>
        <v/>
      </c>
    </row>
    <row r="88" spans="3:21" ht="18" customHeight="1" x14ac:dyDescent="0.25">
      <c r="C88" s="51"/>
      <c r="E88" s="11" t="str">
        <f t="shared" si="8"/>
        <v/>
      </c>
      <c r="G88" s="33" t="str">
        <f t="shared" si="9"/>
        <v/>
      </c>
      <c r="J88" s="51"/>
      <c r="L88" s="11" t="str">
        <f t="shared" si="11"/>
        <v/>
      </c>
      <c r="N88" s="33" t="str">
        <f t="shared" si="13"/>
        <v/>
      </c>
      <c r="Q88" s="51"/>
      <c r="S88" s="11" t="str">
        <f t="shared" si="12"/>
        <v/>
      </c>
      <c r="U88" s="33" t="str">
        <f t="shared" si="10"/>
        <v/>
      </c>
    </row>
    <row r="89" spans="3:21" ht="18" customHeight="1" x14ac:dyDescent="0.25">
      <c r="C89" s="51"/>
      <c r="E89" s="11" t="str">
        <f t="shared" si="8"/>
        <v/>
      </c>
      <c r="G89" s="33" t="str">
        <f t="shared" si="9"/>
        <v/>
      </c>
      <c r="J89" s="51"/>
      <c r="L89" s="11" t="str">
        <f t="shared" si="11"/>
        <v/>
      </c>
      <c r="N89" s="33" t="str">
        <f t="shared" si="13"/>
        <v/>
      </c>
      <c r="Q89" s="51"/>
      <c r="S89" s="11" t="str">
        <f t="shared" si="12"/>
        <v/>
      </c>
      <c r="U89" s="33" t="str">
        <f t="shared" si="10"/>
        <v/>
      </c>
    </row>
    <row r="90" spans="3:21" ht="18" customHeight="1" x14ac:dyDescent="0.25">
      <c r="C90" s="51"/>
      <c r="E90" s="11" t="str">
        <f t="shared" si="8"/>
        <v/>
      </c>
      <c r="G90" s="33" t="str">
        <f t="shared" si="9"/>
        <v/>
      </c>
      <c r="J90" s="51"/>
      <c r="L90" s="11" t="str">
        <f t="shared" si="11"/>
        <v/>
      </c>
      <c r="N90" s="33" t="str">
        <f t="shared" si="13"/>
        <v/>
      </c>
      <c r="Q90" s="51"/>
      <c r="S90" s="11" t="str">
        <f t="shared" si="12"/>
        <v/>
      </c>
      <c r="U90" s="33" t="str">
        <f t="shared" si="10"/>
        <v/>
      </c>
    </row>
    <row r="91" spans="3:21" ht="18" customHeight="1" x14ac:dyDescent="0.25">
      <c r="C91" s="51"/>
      <c r="E91" s="11" t="str">
        <f t="shared" si="8"/>
        <v/>
      </c>
      <c r="G91" s="33" t="str">
        <f t="shared" si="9"/>
        <v/>
      </c>
      <c r="J91" s="51"/>
      <c r="L91" s="11" t="str">
        <f t="shared" si="11"/>
        <v/>
      </c>
      <c r="N91" s="33" t="str">
        <f t="shared" si="13"/>
        <v/>
      </c>
      <c r="Q91" s="51"/>
      <c r="S91" s="11" t="str">
        <f t="shared" si="12"/>
        <v/>
      </c>
      <c r="U91" s="33" t="str">
        <f t="shared" si="10"/>
        <v/>
      </c>
    </row>
    <row r="92" spans="3:21" ht="18" customHeight="1" x14ac:dyDescent="0.25">
      <c r="C92" s="51"/>
      <c r="E92" s="11" t="str">
        <f t="shared" si="8"/>
        <v/>
      </c>
      <c r="G92" s="33" t="str">
        <f t="shared" si="9"/>
        <v/>
      </c>
      <c r="J92" s="51"/>
      <c r="L92" s="11" t="str">
        <f t="shared" si="11"/>
        <v/>
      </c>
      <c r="N92" s="33" t="str">
        <f t="shared" si="13"/>
        <v/>
      </c>
      <c r="Q92" s="51"/>
      <c r="S92" s="11" t="str">
        <f t="shared" si="12"/>
        <v/>
      </c>
      <c r="U92" s="33" t="str">
        <f t="shared" si="10"/>
        <v/>
      </c>
    </row>
    <row r="93" spans="3:21" ht="18" customHeight="1" x14ac:dyDescent="0.25">
      <c r="C93" s="51"/>
      <c r="E93" s="11" t="str">
        <f t="shared" si="8"/>
        <v/>
      </c>
      <c r="G93" s="33" t="str">
        <f t="shared" si="9"/>
        <v/>
      </c>
      <c r="J93" s="51"/>
      <c r="L93" s="11" t="str">
        <f t="shared" si="11"/>
        <v/>
      </c>
      <c r="N93" s="33" t="str">
        <f t="shared" si="13"/>
        <v/>
      </c>
      <c r="Q93" s="51"/>
      <c r="S93" s="11" t="str">
        <f t="shared" si="12"/>
        <v/>
      </c>
      <c r="U93" s="33" t="str">
        <f t="shared" si="10"/>
        <v/>
      </c>
    </row>
    <row r="94" spans="3:21" ht="18" customHeight="1" x14ac:dyDescent="0.25">
      <c r="C94" s="51"/>
      <c r="E94" s="11" t="str">
        <f t="shared" si="8"/>
        <v/>
      </c>
      <c r="G94" s="33" t="str">
        <f t="shared" si="9"/>
        <v/>
      </c>
      <c r="J94" s="51"/>
      <c r="L94" s="11" t="str">
        <f t="shared" si="11"/>
        <v/>
      </c>
      <c r="N94" s="33" t="str">
        <f t="shared" si="13"/>
        <v/>
      </c>
      <c r="Q94" s="51"/>
      <c r="S94" s="11" t="str">
        <f t="shared" si="12"/>
        <v/>
      </c>
      <c r="U94" s="33" t="str">
        <f t="shared" si="10"/>
        <v/>
      </c>
    </row>
    <row r="95" spans="3:21" ht="18" customHeight="1" x14ac:dyDescent="0.25">
      <c r="C95" s="51"/>
      <c r="E95" s="11" t="str">
        <f t="shared" si="8"/>
        <v/>
      </c>
      <c r="G95" s="33" t="str">
        <f t="shared" si="9"/>
        <v/>
      </c>
      <c r="J95" s="51"/>
      <c r="L95" s="11" t="str">
        <f t="shared" si="11"/>
        <v/>
      </c>
      <c r="N95" s="33" t="str">
        <f t="shared" si="13"/>
        <v/>
      </c>
      <c r="Q95" s="51"/>
      <c r="S95" s="11" t="str">
        <f t="shared" si="12"/>
        <v/>
      </c>
      <c r="U95" s="33" t="str">
        <f t="shared" si="10"/>
        <v/>
      </c>
    </row>
    <row r="96" spans="3:21" ht="18" customHeight="1" x14ac:dyDescent="0.25">
      <c r="C96" s="51"/>
      <c r="E96" s="11" t="str">
        <f t="shared" si="8"/>
        <v/>
      </c>
      <c r="G96" s="33" t="str">
        <f t="shared" si="9"/>
        <v/>
      </c>
      <c r="J96" s="51"/>
      <c r="L96" s="11" t="str">
        <f t="shared" si="11"/>
        <v/>
      </c>
      <c r="N96" s="33" t="str">
        <f t="shared" si="13"/>
        <v/>
      </c>
      <c r="Q96" s="51"/>
      <c r="S96" s="11" t="str">
        <f t="shared" si="12"/>
        <v/>
      </c>
      <c r="U96" s="33" t="str">
        <f t="shared" si="10"/>
        <v/>
      </c>
    </row>
    <row r="97" spans="3:21" ht="18" customHeight="1" x14ac:dyDescent="0.25">
      <c r="C97" s="51"/>
      <c r="E97" s="11" t="str">
        <f t="shared" si="8"/>
        <v/>
      </c>
      <c r="G97" s="33" t="str">
        <f t="shared" si="9"/>
        <v/>
      </c>
      <c r="J97" s="51"/>
      <c r="L97" s="11" t="str">
        <f t="shared" si="11"/>
        <v/>
      </c>
      <c r="N97" s="33" t="str">
        <f t="shared" si="13"/>
        <v/>
      </c>
      <c r="Q97" s="51"/>
      <c r="S97" s="11" t="str">
        <f t="shared" si="12"/>
        <v/>
      </c>
      <c r="U97" s="33" t="str">
        <f t="shared" si="10"/>
        <v/>
      </c>
    </row>
    <row r="98" spans="3:21" ht="18" customHeight="1" x14ac:dyDescent="0.25">
      <c r="C98" s="51"/>
      <c r="E98" s="11" t="str">
        <f t="shared" si="8"/>
        <v/>
      </c>
      <c r="G98" s="33" t="str">
        <f t="shared" si="9"/>
        <v/>
      </c>
      <c r="J98" s="51"/>
      <c r="L98" s="11" t="str">
        <f t="shared" si="11"/>
        <v/>
      </c>
      <c r="N98" s="33" t="str">
        <f t="shared" si="13"/>
        <v/>
      </c>
      <c r="Q98" s="51"/>
      <c r="S98" s="11" t="str">
        <f t="shared" si="12"/>
        <v/>
      </c>
      <c r="U98" s="33" t="str">
        <f t="shared" si="10"/>
        <v/>
      </c>
    </row>
    <row r="99" spans="3:21" ht="18" customHeight="1" x14ac:dyDescent="0.25">
      <c r="C99" s="51"/>
      <c r="E99" s="11" t="str">
        <f t="shared" si="8"/>
        <v/>
      </c>
      <c r="G99" s="33" t="str">
        <f t="shared" si="9"/>
        <v/>
      </c>
      <c r="J99" s="51"/>
      <c r="L99" s="11" t="str">
        <f t="shared" si="11"/>
        <v/>
      </c>
      <c r="N99" s="33" t="str">
        <f t="shared" si="13"/>
        <v/>
      </c>
      <c r="Q99" s="51"/>
      <c r="S99" s="11" t="str">
        <f t="shared" si="12"/>
        <v/>
      </c>
      <c r="U99" s="33" t="str">
        <f t="shared" si="10"/>
        <v/>
      </c>
    </row>
    <row r="100" spans="3:21" ht="18" customHeight="1" x14ac:dyDescent="0.25">
      <c r="C100" s="51"/>
      <c r="E100" s="11" t="str">
        <f t="shared" si="8"/>
        <v/>
      </c>
      <c r="G100" s="33" t="str">
        <f t="shared" si="9"/>
        <v/>
      </c>
      <c r="J100" s="51"/>
      <c r="L100" s="11" t="str">
        <f t="shared" si="11"/>
        <v/>
      </c>
      <c r="N100" s="33" t="str">
        <f t="shared" si="13"/>
        <v/>
      </c>
      <c r="Q100" s="51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25"/>
  <cols>
    <col min="1" max="2" width="9" style="35"/>
    <col min="3" max="4" width="9" style="12"/>
    <col min="5" max="16384" width="9" style="43"/>
  </cols>
  <sheetData>
    <row r="2" spans="1:11" ht="18" customHeight="1" x14ac:dyDescent="0.25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25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25">
      <c r="A11" s="35" t="s">
        <v>85</v>
      </c>
      <c r="B11" s="35">
        <v>0.6</v>
      </c>
    </row>
    <row r="12" spans="1:11" ht="18" customHeight="1" x14ac:dyDescent="0.25">
      <c r="A12" s="35" t="s">
        <v>96</v>
      </c>
      <c r="B12" s="35">
        <v>1</v>
      </c>
    </row>
    <row r="14" spans="1:11" ht="18" customHeight="1" x14ac:dyDescent="0.25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25">
      <c r="A15" s="35" t="s">
        <v>10</v>
      </c>
      <c r="B15" s="35">
        <v>0</v>
      </c>
      <c r="C15" s="12">
        <f>B15</f>
        <v>0</v>
      </c>
      <c r="D15" s="12">
        <f>IFERROR(VLOOKUP($A15,Mass!A:D,3,FALSE),"")</f>
        <v>1.190685</v>
      </c>
      <c r="E15" s="12">
        <f t="shared" ref="E15:E25" si="0">IF(OR(C15="",$B$11="",$B$12=""),"",0.1*(1-C15/40)*$B$11*$B$12)</f>
        <v>0.06</v>
      </c>
      <c r="F15" s="12">
        <f>IF(D15="","",D15*9.81)</f>
        <v>11.680619850000001</v>
      </c>
      <c r="G15" s="45">
        <f>IF(OR(E15="",F15=""),"",E15*F15)</f>
        <v>0.70083719100000008</v>
      </c>
      <c r="H15" s="12">
        <f>IFERROR(VLOOKUP($A15,Mass!A:D,4,FALSE),"")</f>
        <v>1.190685</v>
      </c>
      <c r="I15" s="12">
        <f>IF(H15="","",H15*9.81)</f>
        <v>11.680619850000001</v>
      </c>
      <c r="J15" s="45">
        <f>IF(OR(E15="",H15=""),"",E15*I15)</f>
        <v>0.70083719100000008</v>
      </c>
    </row>
    <row r="16" spans="1:11" ht="18" customHeight="1" x14ac:dyDescent="0.25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25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25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25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25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25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25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25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25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25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25">
      <c r="E26" s="12"/>
      <c r="F26" s="12"/>
      <c r="G26" s="12"/>
      <c r="H26" s="12"/>
      <c r="I26" s="12"/>
      <c r="J26" s="12"/>
    </row>
    <row r="27" spans="1:10" ht="18" customHeight="1" x14ac:dyDescent="0.25">
      <c r="E27" s="12"/>
      <c r="F27" s="12"/>
      <c r="G27" s="12"/>
      <c r="H27" s="12"/>
      <c r="I27" s="12"/>
      <c r="J27" s="12"/>
    </row>
    <row r="28" spans="1:10" ht="18" customHeight="1" x14ac:dyDescent="0.25">
      <c r="E28" s="12"/>
      <c r="F28" s="12"/>
      <c r="G28" s="12"/>
      <c r="H28" s="12"/>
      <c r="I28" s="12"/>
      <c r="J28" s="12"/>
    </row>
    <row r="29" spans="1:10" ht="18" customHeight="1" x14ac:dyDescent="0.25">
      <c r="E29" s="12"/>
      <c r="F29" s="12"/>
      <c r="G29" s="12"/>
      <c r="H29" s="12"/>
      <c r="I29" s="12"/>
      <c r="J29" s="12"/>
    </row>
    <row r="30" spans="1:10" ht="18" customHeight="1" x14ac:dyDescent="0.25">
      <c r="E30" s="12"/>
      <c r="F30" s="12"/>
      <c r="G30" s="12"/>
      <c r="H30" s="12"/>
      <c r="I30" s="12"/>
      <c r="J30" s="12"/>
    </row>
    <row r="31" spans="1:10" ht="18" customHeight="1" x14ac:dyDescent="0.25">
      <c r="E31" s="12"/>
      <c r="F31" s="12"/>
      <c r="G31" s="12"/>
      <c r="H31" s="12"/>
      <c r="I31" s="12"/>
      <c r="J31" s="12"/>
    </row>
    <row r="32" spans="1:10" ht="18" customHeight="1" x14ac:dyDescent="0.25">
      <c r="E32" s="12"/>
      <c r="F32" s="12"/>
      <c r="G32" s="12"/>
      <c r="H32" s="12"/>
      <c r="I32" s="12"/>
      <c r="J32" s="12"/>
    </row>
    <row r="33" spans="5:10" ht="18" customHeight="1" x14ac:dyDescent="0.25">
      <c r="E33" s="12"/>
      <c r="F33" s="12"/>
      <c r="G33" s="12"/>
      <c r="H33" s="12"/>
      <c r="I33" s="12"/>
      <c r="J33" s="12"/>
    </row>
    <row r="34" spans="5:10" ht="18" customHeight="1" x14ac:dyDescent="0.25">
      <c r="E34" s="12"/>
      <c r="F34" s="12"/>
      <c r="G34" s="12"/>
      <c r="H34" s="12"/>
      <c r="I34" s="12"/>
      <c r="J34" s="12"/>
    </row>
    <row r="35" spans="5:10" ht="18" customHeight="1" x14ac:dyDescent="0.25">
      <c r="E35" s="12"/>
      <c r="F35" s="12"/>
      <c r="G35" s="12"/>
      <c r="H35" s="12"/>
      <c r="I35" s="12"/>
      <c r="J35" s="12"/>
    </row>
    <row r="36" spans="5:10" ht="18" customHeight="1" x14ac:dyDescent="0.25">
      <c r="E36" s="12"/>
      <c r="F36" s="12"/>
      <c r="G36" s="12"/>
      <c r="H36" s="12"/>
      <c r="I36" s="12"/>
      <c r="J36" s="12"/>
    </row>
    <row r="37" spans="5:10" ht="18" customHeight="1" x14ac:dyDescent="0.25">
      <c r="E37" s="12"/>
      <c r="F37" s="12"/>
      <c r="G37" s="12"/>
      <c r="H37" s="12"/>
      <c r="I37" s="12"/>
      <c r="J37" s="12"/>
    </row>
    <row r="38" spans="5:10" ht="18" customHeight="1" x14ac:dyDescent="0.25">
      <c r="E38" s="12"/>
      <c r="F38" s="12"/>
      <c r="G38" s="12"/>
      <c r="H38" s="12"/>
      <c r="I38" s="12"/>
      <c r="J38" s="12"/>
    </row>
    <row r="39" spans="5:10" ht="18" customHeight="1" x14ac:dyDescent="0.25">
      <c r="E39" s="12"/>
      <c r="F39" s="12"/>
      <c r="G39" s="12"/>
      <c r="H39" s="12"/>
      <c r="I39" s="12"/>
      <c r="J39" s="12"/>
    </row>
    <row r="40" spans="5:10" ht="18" customHeight="1" x14ac:dyDescent="0.25">
      <c r="E40" s="12"/>
      <c r="F40" s="12"/>
      <c r="G40" s="12"/>
      <c r="H40" s="12"/>
      <c r="I40" s="12"/>
      <c r="J40" s="12"/>
    </row>
    <row r="41" spans="5:10" ht="18" customHeight="1" x14ac:dyDescent="0.25">
      <c r="E41" s="12"/>
      <c r="F41" s="12"/>
      <c r="G41" s="12"/>
      <c r="H41" s="12"/>
      <c r="I41" s="12"/>
      <c r="J41" s="12"/>
    </row>
    <row r="42" spans="5:10" ht="18" customHeight="1" x14ac:dyDescent="0.25">
      <c r="E42" s="12"/>
      <c r="F42" s="12"/>
      <c r="G42" s="12"/>
      <c r="H42" s="12"/>
      <c r="I42" s="12"/>
      <c r="J42" s="12"/>
    </row>
    <row r="43" spans="5:10" ht="18" customHeight="1" x14ac:dyDescent="0.25">
      <c r="E43" s="12"/>
      <c r="F43" s="12"/>
      <c r="G43" s="12"/>
      <c r="H43" s="12"/>
      <c r="I43" s="12"/>
      <c r="J43" s="12"/>
    </row>
    <row r="44" spans="5:10" ht="18" customHeight="1" x14ac:dyDescent="0.25">
      <c r="E44" s="12"/>
      <c r="F44" s="12"/>
      <c r="G44" s="12"/>
      <c r="H44" s="12"/>
      <c r="I44" s="12"/>
      <c r="J44" s="12"/>
    </row>
    <row r="45" spans="5:10" ht="18" customHeight="1" x14ac:dyDescent="0.25">
      <c r="E45" s="12"/>
      <c r="F45" s="12"/>
      <c r="G45" s="12"/>
      <c r="H45" s="12"/>
      <c r="I45" s="12"/>
      <c r="J45" s="12"/>
    </row>
    <row r="46" spans="5:10" ht="18" customHeight="1" x14ac:dyDescent="0.25">
      <c r="E46" s="12"/>
      <c r="F46" s="12"/>
      <c r="G46" s="12"/>
      <c r="H46" s="12"/>
      <c r="I46" s="12"/>
      <c r="J46" s="12"/>
    </row>
    <row r="47" spans="5:10" ht="18" customHeight="1" x14ac:dyDescent="0.25">
      <c r="E47" s="12"/>
      <c r="F47" s="12"/>
      <c r="G47" s="12"/>
      <c r="H47" s="12"/>
      <c r="I47" s="12"/>
      <c r="J47" s="12"/>
    </row>
    <row r="48" spans="5:10" ht="18" customHeight="1" x14ac:dyDescent="0.25">
      <c r="E48" s="12"/>
      <c r="F48" s="12"/>
      <c r="G48" s="12"/>
      <c r="H48" s="12"/>
      <c r="I48" s="12"/>
      <c r="J48" s="12"/>
    </row>
    <row r="49" spans="5:10" ht="18" customHeight="1" x14ac:dyDescent="0.25">
      <c r="E49" s="12"/>
      <c r="F49" s="12"/>
      <c r="G49" s="12"/>
      <c r="H49" s="12"/>
      <c r="I49" s="12"/>
      <c r="J49" s="12"/>
    </row>
    <row r="50" spans="5:10" ht="18" customHeight="1" x14ac:dyDescent="0.25">
      <c r="E50" s="12"/>
      <c r="F50" s="12"/>
      <c r="G50" s="12"/>
      <c r="H50" s="12"/>
      <c r="I50" s="12"/>
      <c r="J50" s="12"/>
    </row>
    <row r="51" spans="5:10" ht="18" customHeight="1" x14ac:dyDescent="0.25">
      <c r="E51" s="12"/>
      <c r="F51" s="12"/>
      <c r="G51" s="12"/>
      <c r="H51" s="12"/>
      <c r="I51" s="12"/>
      <c r="J51" s="12"/>
    </row>
    <row r="52" spans="5:10" ht="18" customHeight="1" x14ac:dyDescent="0.25">
      <c r="E52" s="12"/>
      <c r="F52" s="12"/>
      <c r="G52" s="12"/>
      <c r="H52" s="12"/>
      <c r="I52" s="12"/>
      <c r="J52" s="12"/>
    </row>
    <row r="53" spans="5:10" ht="18" customHeight="1" x14ac:dyDescent="0.25">
      <c r="E53" s="12"/>
      <c r="F53" s="12"/>
      <c r="G53" s="12"/>
      <c r="H53" s="12"/>
      <c r="I53" s="12"/>
      <c r="J53" s="12"/>
    </row>
    <row r="54" spans="5:10" ht="18" customHeight="1" x14ac:dyDescent="0.25">
      <c r="E54" s="12"/>
      <c r="F54" s="12"/>
      <c r="G54" s="12"/>
      <c r="H54" s="12"/>
      <c r="I54" s="12"/>
      <c r="J54" s="12"/>
    </row>
    <row r="55" spans="5:10" ht="18" customHeight="1" x14ac:dyDescent="0.25">
      <c r="E55" s="12"/>
      <c r="F55" s="12"/>
      <c r="G55" s="12"/>
      <c r="H55" s="12"/>
      <c r="I55" s="12"/>
      <c r="J55" s="12"/>
    </row>
    <row r="56" spans="5:10" ht="18" customHeight="1" x14ac:dyDescent="0.25">
      <c r="E56" s="12"/>
      <c r="F56" s="12"/>
      <c r="G56" s="12"/>
      <c r="H56" s="12"/>
      <c r="I56" s="12"/>
      <c r="J56" s="12"/>
    </row>
    <row r="57" spans="5:10" ht="18" customHeight="1" x14ac:dyDescent="0.25">
      <c r="E57" s="12"/>
      <c r="F57" s="12"/>
      <c r="G57" s="12"/>
      <c r="H57" s="12"/>
      <c r="I57" s="12"/>
      <c r="J57" s="12"/>
    </row>
    <row r="58" spans="5:10" ht="18" customHeight="1" x14ac:dyDescent="0.25">
      <c r="E58" s="12"/>
      <c r="F58" s="12"/>
      <c r="G58" s="12"/>
      <c r="H58" s="12"/>
      <c r="I58" s="12"/>
      <c r="J58" s="12"/>
    </row>
    <row r="59" spans="5:10" ht="18" customHeight="1" x14ac:dyDescent="0.25">
      <c r="E59" s="12"/>
      <c r="F59" s="12"/>
      <c r="G59" s="12"/>
      <c r="H59" s="12"/>
      <c r="I59" s="12"/>
      <c r="J59" s="12"/>
    </row>
    <row r="60" spans="5:10" ht="18" customHeight="1" x14ac:dyDescent="0.25">
      <c r="E60" s="12"/>
      <c r="F60" s="12"/>
      <c r="G60" s="12"/>
      <c r="H60" s="12"/>
      <c r="I60" s="12"/>
      <c r="J60" s="12"/>
    </row>
    <row r="61" spans="5:10" ht="18" customHeight="1" x14ac:dyDescent="0.25">
      <c r="E61" s="12"/>
      <c r="F61" s="12"/>
      <c r="G61" s="12"/>
      <c r="H61" s="12"/>
      <c r="I61" s="12"/>
      <c r="J61" s="12"/>
    </row>
    <row r="62" spans="5:10" ht="18" customHeight="1" x14ac:dyDescent="0.25">
      <c r="E62" s="12"/>
      <c r="F62" s="12"/>
      <c r="G62" s="12"/>
      <c r="H62" s="12"/>
      <c r="I62" s="12"/>
      <c r="J62" s="12"/>
    </row>
    <row r="63" spans="5:10" ht="18" customHeight="1" x14ac:dyDescent="0.25">
      <c r="E63" s="12"/>
      <c r="F63" s="12"/>
      <c r="G63" s="12"/>
      <c r="H63" s="12"/>
      <c r="I63" s="12"/>
      <c r="J63" s="12"/>
    </row>
    <row r="64" spans="5:10" ht="18" customHeight="1" x14ac:dyDescent="0.25">
      <c r="E64" s="12"/>
      <c r="F64" s="12"/>
      <c r="G64" s="12"/>
      <c r="H64" s="12"/>
      <c r="I64" s="12"/>
      <c r="J64" s="12"/>
    </row>
    <row r="65" spans="5:10" ht="18" customHeight="1" x14ac:dyDescent="0.25">
      <c r="E65" s="12"/>
      <c r="F65" s="12"/>
      <c r="G65" s="12"/>
      <c r="H65" s="12"/>
      <c r="I65" s="12"/>
      <c r="J65" s="12"/>
    </row>
    <row r="66" spans="5:10" ht="18" customHeight="1" x14ac:dyDescent="0.25">
      <c r="E66" s="12"/>
      <c r="F66" s="12"/>
      <c r="G66" s="12"/>
      <c r="H66" s="12"/>
      <c r="I66" s="12"/>
      <c r="J66" s="12"/>
    </row>
    <row r="67" spans="5:10" ht="18" customHeight="1" x14ac:dyDescent="0.25">
      <c r="E67" s="12"/>
      <c r="F67" s="12"/>
      <c r="G67" s="12"/>
      <c r="H67" s="12"/>
      <c r="I67" s="12"/>
      <c r="J67" s="12"/>
    </row>
    <row r="68" spans="5:10" ht="18" customHeight="1" x14ac:dyDescent="0.25">
      <c r="E68" s="12"/>
      <c r="F68" s="12"/>
      <c r="G68" s="12"/>
      <c r="H68" s="12"/>
      <c r="I68" s="12"/>
      <c r="J68" s="12"/>
    </row>
    <row r="69" spans="5:10" ht="18" customHeight="1" x14ac:dyDescent="0.25">
      <c r="E69" s="12"/>
      <c r="F69" s="12"/>
      <c r="G69" s="12"/>
      <c r="H69" s="12"/>
      <c r="I69" s="12"/>
      <c r="J69" s="12"/>
    </row>
    <row r="70" spans="5:10" ht="18" customHeight="1" x14ac:dyDescent="0.25">
      <c r="E70" s="12"/>
      <c r="F70" s="12"/>
      <c r="G70" s="12"/>
      <c r="H70" s="12"/>
      <c r="I70" s="12"/>
      <c r="J70" s="12"/>
    </row>
    <row r="71" spans="5:10" ht="18" customHeight="1" x14ac:dyDescent="0.25">
      <c r="E71" s="12"/>
      <c r="F71" s="12"/>
      <c r="G71" s="12"/>
      <c r="H71" s="12"/>
      <c r="I71" s="12"/>
      <c r="J71" s="12"/>
    </row>
    <row r="72" spans="5:10" ht="18" customHeight="1" x14ac:dyDescent="0.25">
      <c r="E72" s="12"/>
      <c r="F72" s="12"/>
      <c r="G72" s="12"/>
      <c r="H72" s="12"/>
      <c r="I72" s="12"/>
      <c r="J72" s="12"/>
    </row>
    <row r="73" spans="5:10" ht="18" customHeight="1" x14ac:dyDescent="0.25">
      <c r="E73" s="12"/>
      <c r="F73" s="12"/>
      <c r="G73" s="12"/>
      <c r="H73" s="12"/>
      <c r="I73" s="12"/>
      <c r="J73" s="12"/>
    </row>
    <row r="74" spans="5:10" ht="18" customHeight="1" x14ac:dyDescent="0.25">
      <c r="E74" s="12"/>
      <c r="F74" s="12"/>
      <c r="G74" s="12"/>
      <c r="H74" s="12"/>
      <c r="I74" s="12"/>
      <c r="J74" s="12"/>
    </row>
    <row r="75" spans="5:10" ht="18" customHeight="1" x14ac:dyDescent="0.25">
      <c r="E75" s="12"/>
      <c r="F75" s="12"/>
      <c r="G75" s="12"/>
      <c r="H75" s="12"/>
      <c r="I75" s="12"/>
      <c r="J75" s="12"/>
    </row>
    <row r="76" spans="5:10" ht="18" customHeight="1" x14ac:dyDescent="0.25">
      <c r="E76" s="12"/>
      <c r="F76" s="12"/>
      <c r="G76" s="12"/>
      <c r="H76" s="12"/>
      <c r="I76" s="12"/>
      <c r="J76" s="12"/>
    </row>
    <row r="77" spans="5:10" ht="18" customHeight="1" x14ac:dyDescent="0.25">
      <c r="E77" s="12"/>
      <c r="F77" s="12"/>
      <c r="G77" s="12"/>
      <c r="H77" s="12"/>
      <c r="I77" s="12"/>
      <c r="J77" s="12"/>
    </row>
    <row r="78" spans="5:10" ht="18" customHeight="1" x14ac:dyDescent="0.25">
      <c r="E78" s="12"/>
      <c r="F78" s="12"/>
      <c r="G78" s="12"/>
      <c r="H78" s="12"/>
      <c r="I78" s="12"/>
      <c r="J78" s="12"/>
    </row>
    <row r="79" spans="5:10" ht="18" customHeight="1" x14ac:dyDescent="0.25">
      <c r="E79" s="12"/>
      <c r="F79" s="12"/>
      <c r="G79" s="12"/>
      <c r="H79" s="12"/>
      <c r="I79" s="12"/>
      <c r="J79" s="12"/>
    </row>
    <row r="80" spans="5:10" ht="18" customHeight="1" x14ac:dyDescent="0.25">
      <c r="E80" s="12"/>
      <c r="F80" s="12"/>
      <c r="G80" s="12"/>
      <c r="H80" s="12"/>
      <c r="I80" s="12"/>
      <c r="J80" s="12"/>
    </row>
    <row r="81" spans="5:10" ht="18" customHeight="1" x14ac:dyDescent="0.25">
      <c r="E81" s="12"/>
      <c r="F81" s="12"/>
      <c r="G81" s="12"/>
      <c r="H81" s="12"/>
      <c r="I81" s="12"/>
      <c r="J81" s="12"/>
    </row>
    <row r="82" spans="5:10" ht="18" customHeight="1" x14ac:dyDescent="0.25">
      <c r="E82" s="12"/>
      <c r="F82" s="12"/>
      <c r="G82" s="12"/>
      <c r="H82" s="12"/>
      <c r="I82" s="12"/>
      <c r="J82" s="12"/>
    </row>
    <row r="83" spans="5:10" ht="18" customHeight="1" x14ac:dyDescent="0.25">
      <c r="E83" s="12"/>
      <c r="F83" s="12"/>
      <c r="G83" s="12"/>
      <c r="H83" s="12"/>
      <c r="I83" s="12"/>
      <c r="J83" s="12"/>
    </row>
    <row r="84" spans="5:10" ht="18" customHeight="1" x14ac:dyDescent="0.25">
      <c r="E84" s="12"/>
      <c r="F84" s="12"/>
      <c r="G84" s="12"/>
      <c r="H84" s="12"/>
      <c r="I84" s="12"/>
      <c r="J84" s="12"/>
    </row>
    <row r="85" spans="5:10" ht="18" customHeight="1" x14ac:dyDescent="0.25">
      <c r="E85" s="12"/>
      <c r="F85" s="12"/>
      <c r="G85" s="12"/>
      <c r="H85" s="12"/>
      <c r="I85" s="12"/>
      <c r="J85" s="12"/>
    </row>
    <row r="86" spans="5:10" ht="18" customHeight="1" x14ac:dyDescent="0.25">
      <c r="E86" s="12"/>
      <c r="F86" s="12"/>
      <c r="G86" s="12"/>
      <c r="H86" s="12"/>
      <c r="I86" s="12"/>
      <c r="J86" s="12"/>
    </row>
    <row r="87" spans="5:10" ht="18" customHeight="1" x14ac:dyDescent="0.25">
      <c r="E87" s="12"/>
      <c r="F87" s="12"/>
      <c r="G87" s="12"/>
      <c r="H87" s="12"/>
      <c r="I87" s="12"/>
      <c r="J87" s="12"/>
    </row>
    <row r="88" spans="5:10" ht="18" customHeight="1" x14ac:dyDescent="0.25">
      <c r="E88" s="12"/>
      <c r="F88" s="12"/>
      <c r="G88" s="12"/>
      <c r="H88" s="12"/>
      <c r="I88" s="12"/>
      <c r="J88" s="12"/>
    </row>
    <row r="89" spans="5:10" ht="18" customHeight="1" x14ac:dyDescent="0.25">
      <c r="E89" s="12"/>
      <c r="F89" s="12"/>
      <c r="G89" s="12"/>
      <c r="H89" s="12"/>
      <c r="I89" s="12"/>
      <c r="J89" s="12"/>
    </row>
    <row r="90" spans="5:10" ht="18" customHeight="1" x14ac:dyDescent="0.25">
      <c r="E90" s="12"/>
      <c r="F90" s="12"/>
      <c r="G90" s="12"/>
      <c r="H90" s="12"/>
      <c r="I90" s="12"/>
      <c r="J90" s="12"/>
    </row>
    <row r="91" spans="5:10" ht="18" customHeight="1" x14ac:dyDescent="0.25">
      <c r="E91" s="12"/>
      <c r="F91" s="12"/>
      <c r="G91" s="12"/>
      <c r="H91" s="12"/>
      <c r="I91" s="12"/>
      <c r="J91" s="12"/>
    </row>
    <row r="92" spans="5:10" ht="18" customHeight="1" x14ac:dyDescent="0.25">
      <c r="E92" s="12"/>
      <c r="F92" s="12"/>
      <c r="G92" s="12"/>
      <c r="H92" s="12"/>
      <c r="I92" s="12"/>
      <c r="J92" s="12"/>
    </row>
    <row r="93" spans="5:10" ht="18" customHeight="1" x14ac:dyDescent="0.25">
      <c r="E93" s="12"/>
      <c r="F93" s="12"/>
      <c r="G93" s="12"/>
      <c r="H93" s="12"/>
      <c r="I93" s="12"/>
      <c r="J93" s="12"/>
    </row>
    <row r="94" spans="5:10" ht="18" customHeight="1" x14ac:dyDescent="0.25">
      <c r="E94" s="12"/>
      <c r="F94" s="12"/>
      <c r="G94" s="12"/>
      <c r="H94" s="12"/>
      <c r="I94" s="12"/>
      <c r="J94" s="12"/>
    </row>
    <row r="95" spans="5:10" ht="18" customHeight="1" x14ac:dyDescent="0.25">
      <c r="E95" s="12"/>
      <c r="F95" s="12"/>
      <c r="G95" s="12"/>
      <c r="H95" s="12"/>
      <c r="I95" s="12"/>
      <c r="J95" s="12"/>
    </row>
    <row r="96" spans="5:10" ht="18" customHeight="1" x14ac:dyDescent="0.25">
      <c r="E96" s="12"/>
      <c r="F96" s="12"/>
      <c r="G96" s="12"/>
      <c r="H96" s="12"/>
      <c r="I96" s="12"/>
      <c r="J96" s="12"/>
    </row>
    <row r="97" spans="5:10" ht="18" customHeight="1" x14ac:dyDescent="0.25">
      <c r="E97" s="12"/>
      <c r="F97" s="12"/>
      <c r="G97" s="12"/>
      <c r="H97" s="12"/>
      <c r="I97" s="12"/>
      <c r="J97" s="12"/>
    </row>
    <row r="98" spans="5:10" ht="18" customHeight="1" x14ac:dyDescent="0.25">
      <c r="E98" s="12"/>
      <c r="F98" s="12"/>
      <c r="G98" s="12"/>
      <c r="H98" s="12"/>
      <c r="I98" s="12"/>
      <c r="J98" s="12"/>
    </row>
    <row r="99" spans="5:10" ht="18" customHeight="1" x14ac:dyDescent="0.25">
      <c r="E99" s="12"/>
      <c r="F99" s="12"/>
      <c r="G99" s="12"/>
      <c r="H99" s="12"/>
      <c r="I99" s="12"/>
      <c r="J99" s="12"/>
    </row>
    <row r="100" spans="5:10" ht="18" customHeight="1" x14ac:dyDescent="0.25">
      <c r="E100" s="12"/>
      <c r="F100" s="12"/>
      <c r="G100" s="12"/>
      <c r="H100" s="12"/>
      <c r="I100" s="12"/>
      <c r="J100" s="12"/>
    </row>
    <row r="101" spans="5:10" ht="18" customHeight="1" x14ac:dyDescent="0.25">
      <c r="E101" s="12"/>
      <c r="F101" s="12"/>
      <c r="G101" s="12"/>
      <c r="H101" s="12"/>
      <c r="I101" s="12"/>
      <c r="J101" s="12"/>
    </row>
    <row r="102" spans="5:10" ht="18" customHeight="1" x14ac:dyDescent="0.25">
      <c r="E102" s="12"/>
      <c r="F102" s="12"/>
      <c r="G102" s="12"/>
      <c r="H102" s="12"/>
      <c r="I102" s="12"/>
      <c r="J102" s="12"/>
    </row>
    <row r="103" spans="5:10" ht="18" customHeight="1" x14ac:dyDescent="0.25">
      <c r="E103" s="12"/>
      <c r="F103" s="12"/>
      <c r="G103" s="12"/>
      <c r="H103" s="12"/>
      <c r="I103" s="12"/>
      <c r="J103" s="12"/>
    </row>
    <row r="104" spans="5:10" ht="18" customHeight="1" x14ac:dyDescent="0.25">
      <c r="E104" s="12"/>
      <c r="F104" s="12"/>
      <c r="G104" s="12"/>
      <c r="H104" s="12"/>
      <c r="I104" s="12"/>
      <c r="J104" s="12"/>
    </row>
    <row r="105" spans="5:10" ht="18" customHeight="1" x14ac:dyDescent="0.25">
      <c r="E105" s="12"/>
      <c r="F105" s="12"/>
      <c r="G105" s="12"/>
      <c r="H105" s="12"/>
      <c r="I105" s="12"/>
      <c r="J105" s="12"/>
    </row>
    <row r="106" spans="5:10" ht="18" customHeight="1" x14ac:dyDescent="0.25">
      <c r="E106" s="12"/>
      <c r="F106" s="12"/>
      <c r="G106" s="12"/>
      <c r="H106" s="12"/>
      <c r="I106" s="12"/>
      <c r="J106" s="12"/>
    </row>
    <row r="107" spans="5:10" ht="18" customHeight="1" x14ac:dyDescent="0.25">
      <c r="E107" s="12"/>
      <c r="F107" s="12"/>
      <c r="G107" s="12"/>
      <c r="H107" s="12"/>
      <c r="I107" s="12"/>
      <c r="J107" s="12"/>
    </row>
    <row r="108" spans="5:10" ht="18" customHeight="1" x14ac:dyDescent="0.25">
      <c r="E108" s="12"/>
      <c r="F108" s="12"/>
      <c r="G108" s="12"/>
      <c r="H108" s="12"/>
      <c r="I108" s="12"/>
      <c r="J108" s="12"/>
    </row>
    <row r="109" spans="5:10" ht="18" customHeight="1" x14ac:dyDescent="0.25">
      <c r="E109" s="12"/>
      <c r="F109" s="12"/>
      <c r="G109" s="12"/>
      <c r="H109" s="12"/>
      <c r="I109" s="12"/>
      <c r="J109" s="12"/>
    </row>
    <row r="110" spans="5:10" ht="18" customHeight="1" x14ac:dyDescent="0.25">
      <c r="E110" s="12"/>
      <c r="F110" s="12"/>
      <c r="G110" s="12"/>
      <c r="H110" s="12"/>
      <c r="I110" s="12"/>
      <c r="J110" s="12"/>
    </row>
    <row r="111" spans="5:10" ht="18" customHeight="1" x14ac:dyDescent="0.25">
      <c r="E111" s="12"/>
      <c r="F111" s="12"/>
      <c r="G111" s="12"/>
      <c r="H111" s="12"/>
      <c r="I111" s="12"/>
      <c r="J111" s="12"/>
    </row>
    <row r="112" spans="5:10" ht="18" customHeight="1" x14ac:dyDescent="0.25">
      <c r="E112" s="12"/>
      <c r="F112" s="12"/>
      <c r="G112" s="12"/>
      <c r="H112" s="12"/>
      <c r="I112" s="12"/>
      <c r="J112" s="12"/>
    </row>
    <row r="113" spans="5:10" ht="18" customHeight="1" x14ac:dyDescent="0.25">
      <c r="E113" s="12"/>
      <c r="F113" s="12"/>
      <c r="G113" s="12"/>
      <c r="H113" s="12"/>
      <c r="I113" s="12"/>
      <c r="J113" s="12"/>
    </row>
    <row r="114" spans="5:10" ht="18" customHeight="1" x14ac:dyDescent="0.25">
      <c r="E114" s="12"/>
      <c r="F114" s="12"/>
      <c r="G114" s="12"/>
      <c r="H114" s="12"/>
      <c r="I114" s="12"/>
      <c r="J114" s="12"/>
    </row>
    <row r="115" spans="5:10" ht="18" customHeight="1" x14ac:dyDescent="0.25">
      <c r="E115" s="12"/>
      <c r="F115" s="12"/>
      <c r="G115" s="12"/>
      <c r="H115" s="12"/>
      <c r="I115" s="12"/>
      <c r="J115" s="12"/>
    </row>
    <row r="116" spans="5:10" ht="18" customHeight="1" x14ac:dyDescent="0.25">
      <c r="E116" s="12"/>
      <c r="F116" s="12"/>
      <c r="G116" s="12"/>
      <c r="H116" s="12"/>
      <c r="I116" s="12"/>
      <c r="J116" s="12"/>
    </row>
    <row r="117" spans="5:10" ht="18" customHeight="1" x14ac:dyDescent="0.25">
      <c r="E117" s="12"/>
      <c r="F117" s="12"/>
      <c r="G117" s="12"/>
      <c r="H117" s="12"/>
      <c r="I117" s="12"/>
      <c r="J117" s="12"/>
    </row>
    <row r="118" spans="5:10" ht="18" customHeight="1" x14ac:dyDescent="0.25">
      <c r="E118" s="12"/>
      <c r="F118" s="12"/>
      <c r="G118" s="12"/>
      <c r="H118" s="12"/>
      <c r="I118" s="12"/>
      <c r="J118" s="12"/>
    </row>
    <row r="119" spans="5:10" ht="18" customHeight="1" x14ac:dyDescent="0.25">
      <c r="E119" s="12"/>
      <c r="F119" s="12"/>
      <c r="G119" s="12"/>
      <c r="H119" s="12"/>
      <c r="I119" s="12"/>
      <c r="J119" s="12"/>
    </row>
    <row r="120" spans="5:10" ht="18" customHeight="1" x14ac:dyDescent="0.25">
      <c r="E120" s="12"/>
      <c r="F120" s="12"/>
      <c r="G120" s="12"/>
      <c r="H120" s="12"/>
      <c r="I120" s="12"/>
      <c r="J120" s="12"/>
    </row>
    <row r="121" spans="5:10" ht="18" customHeight="1" x14ac:dyDescent="0.25">
      <c r="E121" s="12"/>
      <c r="F121" s="12"/>
      <c r="G121" s="12"/>
      <c r="H121" s="12"/>
      <c r="I121" s="12"/>
      <c r="J121" s="12"/>
    </row>
    <row r="122" spans="5:10" ht="18" customHeight="1" x14ac:dyDescent="0.25">
      <c r="E122" s="12"/>
      <c r="F122" s="12"/>
      <c r="G122" s="12"/>
      <c r="H122" s="12"/>
      <c r="I122" s="12"/>
      <c r="J122" s="12"/>
    </row>
    <row r="123" spans="5:10" ht="18" customHeight="1" x14ac:dyDescent="0.25">
      <c r="E123" s="12"/>
      <c r="F123" s="12"/>
      <c r="G123" s="12"/>
      <c r="H123" s="12"/>
      <c r="I123" s="12"/>
      <c r="J123" s="12"/>
    </row>
    <row r="124" spans="5:10" ht="18" customHeight="1" x14ac:dyDescent="0.25">
      <c r="E124" s="12"/>
      <c r="F124" s="12"/>
      <c r="G124" s="12"/>
      <c r="H124" s="12"/>
      <c r="I124" s="12"/>
      <c r="J124" s="12"/>
    </row>
    <row r="125" spans="5:10" ht="18" customHeight="1" x14ac:dyDescent="0.25">
      <c r="E125" s="12"/>
      <c r="F125" s="12"/>
      <c r="G125" s="12"/>
      <c r="H125" s="12"/>
      <c r="I125" s="12"/>
      <c r="J125" s="12"/>
    </row>
    <row r="126" spans="5:10" ht="18" customHeight="1" x14ac:dyDescent="0.25">
      <c r="E126" s="12"/>
      <c r="F126" s="12"/>
      <c r="G126" s="12"/>
      <c r="H126" s="12"/>
      <c r="I126" s="12"/>
      <c r="J126" s="12"/>
    </row>
    <row r="127" spans="5:10" ht="18" customHeight="1" x14ac:dyDescent="0.25">
      <c r="E127" s="12"/>
      <c r="F127" s="12"/>
      <c r="G127" s="12"/>
      <c r="H127" s="12"/>
      <c r="I127" s="12"/>
      <c r="J127" s="12"/>
    </row>
    <row r="128" spans="5:10" ht="18" customHeight="1" x14ac:dyDescent="0.25">
      <c r="E128" s="12"/>
      <c r="F128" s="12"/>
      <c r="G128" s="12"/>
      <c r="H128" s="12"/>
      <c r="I128" s="12"/>
      <c r="J128" s="12"/>
    </row>
    <row r="129" spans="5:10" ht="18" customHeight="1" x14ac:dyDescent="0.25">
      <c r="E129" s="12"/>
      <c r="F129" s="12"/>
      <c r="G129" s="12"/>
      <c r="H129" s="12"/>
      <c r="I129" s="12"/>
      <c r="J129" s="12"/>
    </row>
    <row r="130" spans="5:10" ht="18" customHeight="1" x14ac:dyDescent="0.25">
      <c r="E130" s="12"/>
      <c r="F130" s="12"/>
      <c r="G130" s="12"/>
      <c r="H130" s="12"/>
      <c r="I130" s="12"/>
      <c r="J130" s="12"/>
    </row>
    <row r="131" spans="5:10" ht="18" customHeight="1" x14ac:dyDescent="0.25">
      <c r="E131" s="12"/>
      <c r="F131" s="12"/>
      <c r="G131" s="12"/>
      <c r="H131" s="12"/>
      <c r="I131" s="12"/>
      <c r="J131" s="12"/>
    </row>
    <row r="132" spans="5:10" ht="18" customHeight="1" x14ac:dyDescent="0.25">
      <c r="E132" s="12"/>
      <c r="F132" s="12"/>
      <c r="G132" s="12"/>
      <c r="H132" s="12"/>
      <c r="I132" s="12"/>
      <c r="J132" s="12"/>
    </row>
    <row r="133" spans="5:10" ht="18" customHeight="1" x14ac:dyDescent="0.25">
      <c r="E133" s="12"/>
      <c r="F133" s="12"/>
      <c r="G133" s="12"/>
      <c r="H133" s="12"/>
      <c r="I133" s="12"/>
      <c r="J133" s="12"/>
    </row>
    <row r="134" spans="5:10" ht="18" customHeight="1" x14ac:dyDescent="0.25">
      <c r="E134" s="12"/>
      <c r="F134" s="12"/>
      <c r="G134" s="12"/>
      <c r="H134" s="12"/>
      <c r="I134" s="12"/>
      <c r="J134" s="12"/>
    </row>
    <row r="135" spans="5:10" ht="18" customHeight="1" x14ac:dyDescent="0.25">
      <c r="E135" s="12"/>
      <c r="F135" s="12"/>
      <c r="G135" s="12"/>
      <c r="H135" s="12"/>
      <c r="I135" s="12"/>
      <c r="J135" s="12"/>
    </row>
    <row r="136" spans="5:10" ht="18" customHeight="1" x14ac:dyDescent="0.25">
      <c r="E136" s="12"/>
      <c r="F136" s="12"/>
      <c r="G136" s="12"/>
      <c r="H136" s="12"/>
      <c r="I136" s="12"/>
      <c r="J136" s="12"/>
    </row>
    <row r="137" spans="5:10" ht="18" customHeight="1" x14ac:dyDescent="0.25">
      <c r="E137" s="12"/>
      <c r="F137" s="12"/>
      <c r="G137" s="12"/>
      <c r="H137" s="12"/>
      <c r="I137" s="12"/>
      <c r="J137" s="12"/>
    </row>
    <row r="138" spans="5:10" ht="18" customHeight="1" x14ac:dyDescent="0.25">
      <c r="E138" s="12"/>
      <c r="F138" s="12"/>
      <c r="G138" s="12"/>
      <c r="H138" s="12"/>
      <c r="I138" s="12"/>
      <c r="J138" s="12"/>
    </row>
    <row r="139" spans="5:10" ht="18" customHeight="1" x14ac:dyDescent="0.25">
      <c r="E139" s="12"/>
      <c r="F139" s="12"/>
      <c r="G139" s="12"/>
      <c r="H139" s="12"/>
      <c r="I139" s="12"/>
      <c r="J139" s="12"/>
    </row>
    <row r="140" spans="5:10" ht="18" customHeight="1" x14ac:dyDescent="0.25">
      <c r="E140" s="12"/>
      <c r="F140" s="12"/>
      <c r="G140" s="12"/>
      <c r="H140" s="12"/>
      <c r="I140" s="12"/>
      <c r="J140" s="12"/>
    </row>
    <row r="141" spans="5:10" ht="18" customHeight="1" x14ac:dyDescent="0.25">
      <c r="E141" s="12"/>
      <c r="F141" s="12"/>
      <c r="G141" s="12"/>
      <c r="H141" s="12"/>
      <c r="I141" s="12"/>
      <c r="J141" s="12"/>
    </row>
    <row r="142" spans="5:10" ht="18" customHeight="1" x14ac:dyDescent="0.25">
      <c r="E142" s="12"/>
      <c r="F142" s="12"/>
      <c r="G142" s="12"/>
      <c r="H142" s="12"/>
      <c r="I142" s="12"/>
      <c r="J142" s="12"/>
    </row>
    <row r="143" spans="5:10" ht="18" customHeight="1" x14ac:dyDescent="0.25">
      <c r="E143" s="12"/>
      <c r="F143" s="12"/>
      <c r="G143" s="12"/>
      <c r="H143" s="12"/>
      <c r="I143" s="12"/>
      <c r="J143" s="12"/>
    </row>
    <row r="144" spans="5:10" ht="18" customHeight="1" x14ac:dyDescent="0.25">
      <c r="E144" s="12"/>
      <c r="F144" s="12"/>
      <c r="G144" s="12"/>
      <c r="H144" s="12"/>
      <c r="I144" s="12"/>
      <c r="J144" s="12"/>
    </row>
    <row r="145" spans="5:10" ht="18" customHeight="1" x14ac:dyDescent="0.25">
      <c r="E145" s="12"/>
      <c r="F145" s="12"/>
      <c r="G145" s="12"/>
      <c r="H145" s="12"/>
      <c r="I145" s="12"/>
      <c r="J145" s="12"/>
    </row>
    <row r="146" spans="5:10" ht="18" customHeight="1" x14ac:dyDescent="0.25">
      <c r="E146" s="12"/>
      <c r="F146" s="12"/>
      <c r="G146" s="12"/>
      <c r="H146" s="12"/>
      <c r="I146" s="12"/>
      <c r="J146" s="12"/>
    </row>
    <row r="147" spans="5:10" ht="18" customHeight="1" x14ac:dyDescent="0.25">
      <c r="E147" s="12"/>
      <c r="F147" s="12"/>
      <c r="G147" s="12"/>
      <c r="H147" s="12"/>
      <c r="I147" s="12"/>
      <c r="J147" s="12"/>
    </row>
    <row r="148" spans="5:10" ht="18" customHeight="1" x14ac:dyDescent="0.25">
      <c r="E148" s="12"/>
      <c r="F148" s="12"/>
      <c r="G148" s="12"/>
      <c r="H148" s="12"/>
      <c r="I148" s="12"/>
      <c r="J148" s="12"/>
    </row>
    <row r="149" spans="5:10" ht="18" customHeight="1" x14ac:dyDescent="0.25">
      <c r="E149" s="12"/>
      <c r="F149" s="12"/>
      <c r="G149" s="12"/>
      <c r="H149" s="12"/>
      <c r="I149" s="12"/>
      <c r="J149" s="12"/>
    </row>
    <row r="150" spans="5:10" ht="18" customHeight="1" x14ac:dyDescent="0.25">
      <c r="E150" s="12"/>
      <c r="F150" s="12"/>
      <c r="G150" s="12"/>
      <c r="H150" s="12"/>
      <c r="I150" s="12"/>
      <c r="J150" s="12"/>
    </row>
    <row r="151" spans="5:10" ht="18" customHeight="1" x14ac:dyDescent="0.25">
      <c r="E151" s="12"/>
      <c r="F151" s="12"/>
      <c r="G151" s="12"/>
      <c r="H151" s="12"/>
      <c r="I151" s="12"/>
      <c r="J151" s="12"/>
    </row>
    <row r="152" spans="5:10" ht="18" customHeight="1" x14ac:dyDescent="0.25">
      <c r="E152" s="12"/>
      <c r="F152" s="12"/>
      <c r="G152" s="12"/>
      <c r="H152" s="12"/>
      <c r="I152" s="12"/>
      <c r="J152" s="12"/>
    </row>
    <row r="153" spans="5:10" ht="18" customHeight="1" x14ac:dyDescent="0.25">
      <c r="E153" s="12"/>
      <c r="F153" s="12"/>
      <c r="G153" s="12"/>
      <c r="H153" s="12"/>
      <c r="I153" s="12"/>
      <c r="J153" s="12"/>
    </row>
    <row r="154" spans="5:10" ht="18" customHeight="1" x14ac:dyDescent="0.25">
      <c r="E154" s="12"/>
      <c r="F154" s="12"/>
      <c r="G154" s="12"/>
      <c r="H154" s="12"/>
      <c r="I154" s="12"/>
      <c r="J154" s="12"/>
    </row>
    <row r="155" spans="5:10" ht="18" customHeight="1" x14ac:dyDescent="0.25">
      <c r="E155" s="12"/>
      <c r="F155" s="12"/>
      <c r="G155" s="12"/>
      <c r="H155" s="12"/>
      <c r="I155" s="12"/>
      <c r="J155" s="12"/>
    </row>
    <row r="156" spans="5:10" ht="18" customHeight="1" x14ac:dyDescent="0.25">
      <c r="E156" s="12"/>
      <c r="F156" s="12"/>
      <c r="G156" s="12"/>
      <c r="H156" s="12"/>
      <c r="I156" s="12"/>
      <c r="J156" s="12"/>
    </row>
    <row r="157" spans="5:10" ht="18" customHeight="1" x14ac:dyDescent="0.25">
      <c r="E157" s="12"/>
      <c r="F157" s="12"/>
      <c r="G157" s="12"/>
      <c r="H157" s="12"/>
      <c r="I157" s="12"/>
      <c r="J157" s="12"/>
    </row>
    <row r="158" spans="5:10" ht="18" customHeight="1" x14ac:dyDescent="0.25">
      <c r="E158" s="12"/>
      <c r="F158" s="12"/>
      <c r="G158" s="12"/>
      <c r="H158" s="12"/>
      <c r="I158" s="12"/>
      <c r="J158" s="12"/>
    </row>
    <row r="159" spans="5:10" ht="18" customHeight="1" x14ac:dyDescent="0.25">
      <c r="E159" s="12"/>
      <c r="F159" s="12"/>
      <c r="G159" s="12"/>
      <c r="H159" s="12"/>
      <c r="I159" s="12"/>
      <c r="J159" s="12"/>
    </row>
    <row r="160" spans="5:10" ht="18" customHeight="1" x14ac:dyDescent="0.25">
      <c r="E160" s="12"/>
      <c r="F160" s="12"/>
      <c r="G160" s="12"/>
      <c r="H160" s="12"/>
      <c r="I160" s="12"/>
      <c r="J160" s="12"/>
    </row>
    <row r="161" spans="5:10" ht="18" customHeight="1" x14ac:dyDescent="0.25">
      <c r="E161" s="12"/>
      <c r="F161" s="12"/>
      <c r="G161" s="12"/>
      <c r="H161" s="12"/>
      <c r="I161" s="12"/>
      <c r="J161" s="12"/>
    </row>
    <row r="162" spans="5:10" ht="18" customHeight="1" x14ac:dyDescent="0.25">
      <c r="E162" s="12"/>
      <c r="F162" s="12"/>
      <c r="G162" s="12"/>
      <c r="H162" s="12"/>
      <c r="I162" s="12"/>
      <c r="J162" s="12"/>
    </row>
    <row r="163" spans="5:10" ht="18" customHeight="1" x14ac:dyDescent="0.25">
      <c r="E163" s="12"/>
      <c r="F163" s="12"/>
      <c r="G163" s="12"/>
      <c r="H163" s="12"/>
      <c r="I163" s="12"/>
      <c r="J163" s="12"/>
    </row>
    <row r="164" spans="5:10" ht="18" customHeight="1" x14ac:dyDescent="0.25">
      <c r="E164" s="12"/>
      <c r="F164" s="12"/>
      <c r="G164" s="12"/>
      <c r="H164" s="12"/>
      <c r="I164" s="12"/>
      <c r="J164" s="12"/>
    </row>
    <row r="165" spans="5:10" ht="18" customHeight="1" x14ac:dyDescent="0.25">
      <c r="E165" s="12"/>
      <c r="F165" s="12"/>
      <c r="G165" s="12"/>
      <c r="H165" s="12"/>
      <c r="I165" s="12"/>
      <c r="J165" s="12"/>
    </row>
    <row r="166" spans="5:10" ht="18" customHeight="1" x14ac:dyDescent="0.25">
      <c r="E166" s="12"/>
      <c r="F166" s="12"/>
      <c r="G166" s="12"/>
      <c r="H166" s="12"/>
      <c r="I166" s="12"/>
      <c r="J166" s="12"/>
    </row>
    <row r="167" spans="5:10" ht="18" customHeight="1" x14ac:dyDescent="0.25">
      <c r="E167" s="12"/>
      <c r="F167" s="12"/>
      <c r="G167" s="12"/>
      <c r="H167" s="12"/>
      <c r="I167" s="12"/>
      <c r="J167" s="12"/>
    </row>
    <row r="168" spans="5:10" ht="18" customHeight="1" x14ac:dyDescent="0.25">
      <c r="E168" s="12"/>
      <c r="F168" s="12"/>
      <c r="G168" s="12"/>
      <c r="H168" s="12"/>
      <c r="I168" s="12"/>
      <c r="J168" s="12"/>
    </row>
    <row r="169" spans="5:10" ht="18" customHeight="1" x14ac:dyDescent="0.25">
      <c r="E169" s="12"/>
      <c r="F169" s="12"/>
      <c r="G169" s="12"/>
      <c r="H169" s="12"/>
      <c r="I169" s="12"/>
      <c r="J169" s="12"/>
    </row>
    <row r="170" spans="5:10" ht="18" customHeight="1" x14ac:dyDescent="0.25">
      <c r="E170" s="12"/>
      <c r="F170" s="12"/>
      <c r="G170" s="12"/>
      <c r="H170" s="12"/>
      <c r="I170" s="12"/>
      <c r="J170" s="12"/>
    </row>
    <row r="171" spans="5:10" ht="18" customHeight="1" x14ac:dyDescent="0.25">
      <c r="E171" s="12"/>
      <c r="F171" s="12"/>
      <c r="G171" s="12"/>
      <c r="H171" s="12"/>
      <c r="I171" s="12"/>
      <c r="J171" s="12"/>
    </row>
    <row r="172" spans="5:10" ht="18" customHeight="1" x14ac:dyDescent="0.25">
      <c r="E172" s="12"/>
      <c r="F172" s="12"/>
      <c r="G172" s="12"/>
      <c r="H172" s="12"/>
      <c r="I172" s="12"/>
      <c r="J172" s="12"/>
    </row>
    <row r="173" spans="5:10" ht="18" customHeight="1" x14ac:dyDescent="0.25">
      <c r="E173" s="12"/>
      <c r="F173" s="12"/>
      <c r="G173" s="12"/>
      <c r="H173" s="12"/>
      <c r="I173" s="12"/>
      <c r="J173" s="12"/>
    </row>
    <row r="174" spans="5:10" ht="18" customHeight="1" x14ac:dyDescent="0.25">
      <c r="E174" s="12"/>
      <c r="F174" s="12"/>
      <c r="G174" s="12"/>
      <c r="H174" s="12"/>
      <c r="I174" s="12"/>
      <c r="J174" s="12"/>
    </row>
    <row r="175" spans="5:10" ht="18" customHeight="1" x14ac:dyDescent="0.25">
      <c r="E175" s="12"/>
      <c r="F175" s="12"/>
      <c r="G175" s="12"/>
      <c r="H175" s="12"/>
      <c r="I175" s="12"/>
      <c r="J175" s="12"/>
    </row>
    <row r="176" spans="5:10" ht="18" customHeight="1" x14ac:dyDescent="0.25">
      <c r="E176" s="12"/>
      <c r="F176" s="12"/>
      <c r="G176" s="12"/>
      <c r="H176" s="12"/>
      <c r="I176" s="12"/>
      <c r="J176" s="12"/>
    </row>
    <row r="177" spans="5:10" ht="18" customHeight="1" x14ac:dyDescent="0.25">
      <c r="E177" s="12"/>
      <c r="F177" s="12"/>
      <c r="G177" s="12"/>
      <c r="H177" s="12"/>
      <c r="I177" s="12"/>
      <c r="J177" s="12"/>
    </row>
    <row r="178" spans="5:10" ht="18" customHeight="1" x14ac:dyDescent="0.25">
      <c r="E178" s="12"/>
      <c r="F178" s="12"/>
      <c r="G178" s="12"/>
      <c r="H178" s="12"/>
      <c r="I178" s="12"/>
      <c r="J178" s="12"/>
    </row>
    <row r="179" spans="5:10" ht="18" customHeight="1" x14ac:dyDescent="0.25">
      <c r="E179" s="12"/>
      <c r="F179" s="12"/>
      <c r="G179" s="12"/>
      <c r="H179" s="12"/>
      <c r="I179" s="12"/>
      <c r="J179" s="12"/>
    </row>
    <row r="180" spans="5:10" ht="18" customHeight="1" x14ac:dyDescent="0.25">
      <c r="E180" s="12"/>
      <c r="F180" s="12"/>
      <c r="G180" s="12"/>
      <c r="H180" s="12"/>
      <c r="I180" s="12"/>
      <c r="J180" s="12"/>
    </row>
    <row r="181" spans="5:10" ht="18" customHeight="1" x14ac:dyDescent="0.25">
      <c r="E181" s="12"/>
      <c r="F181" s="12"/>
      <c r="G181" s="12"/>
      <c r="H181" s="12"/>
      <c r="I181" s="12"/>
      <c r="J181" s="12"/>
    </row>
    <row r="182" spans="5:10" ht="18" customHeight="1" x14ac:dyDescent="0.25">
      <c r="E182" s="12"/>
      <c r="F182" s="12"/>
      <c r="G182" s="12"/>
      <c r="H182" s="12"/>
      <c r="I182" s="12"/>
      <c r="J182" s="12"/>
    </row>
    <row r="183" spans="5:10" ht="18" customHeight="1" x14ac:dyDescent="0.25">
      <c r="E183" s="12"/>
      <c r="F183" s="12"/>
      <c r="G183" s="12"/>
      <c r="H183" s="12"/>
      <c r="I183" s="12"/>
      <c r="J183" s="12"/>
    </row>
    <row r="184" spans="5:10" ht="18" customHeight="1" x14ac:dyDescent="0.25">
      <c r="E184" s="12"/>
      <c r="F184" s="12"/>
      <c r="G184" s="12"/>
      <c r="H184" s="12"/>
      <c r="I184" s="12"/>
      <c r="J184" s="12"/>
    </row>
    <row r="185" spans="5:10" ht="18" customHeight="1" x14ac:dyDescent="0.25">
      <c r="E185" s="12"/>
      <c r="F185" s="12"/>
      <c r="G185" s="12"/>
      <c r="H185" s="12"/>
      <c r="I185" s="12"/>
      <c r="J185" s="12"/>
    </row>
    <row r="186" spans="5:10" ht="18" customHeight="1" x14ac:dyDescent="0.25">
      <c r="E186" s="12"/>
      <c r="F186" s="12"/>
      <c r="G186" s="12"/>
      <c r="H186" s="12"/>
      <c r="I186" s="12"/>
      <c r="J186" s="12"/>
    </row>
    <row r="187" spans="5:10" ht="18" customHeight="1" x14ac:dyDescent="0.25">
      <c r="E187" s="12"/>
      <c r="F187" s="12"/>
      <c r="G187" s="12"/>
      <c r="H187" s="12"/>
      <c r="I187" s="12"/>
      <c r="J187" s="12"/>
    </row>
    <row r="188" spans="5:10" ht="18" customHeight="1" x14ac:dyDescent="0.25">
      <c r="E188" s="12"/>
      <c r="F188" s="12"/>
      <c r="G188" s="12"/>
      <c r="H188" s="12"/>
      <c r="I188" s="12"/>
      <c r="J188" s="12"/>
    </row>
    <row r="189" spans="5:10" ht="18" customHeight="1" x14ac:dyDescent="0.25">
      <c r="E189" s="12"/>
      <c r="F189" s="12"/>
      <c r="G189" s="12"/>
      <c r="H189" s="12"/>
      <c r="I189" s="12"/>
      <c r="J189" s="12"/>
    </row>
    <row r="190" spans="5:10" ht="18" customHeight="1" x14ac:dyDescent="0.25">
      <c r="E190" s="12"/>
      <c r="F190" s="12"/>
      <c r="G190" s="12"/>
      <c r="H190" s="12"/>
      <c r="I190" s="12"/>
      <c r="J190" s="12"/>
    </row>
    <row r="191" spans="5:10" ht="18" customHeight="1" x14ac:dyDescent="0.25">
      <c r="E191" s="12"/>
      <c r="F191" s="12"/>
      <c r="G191" s="12"/>
      <c r="H191" s="12"/>
      <c r="I191" s="12"/>
      <c r="J191" s="12"/>
    </row>
    <row r="192" spans="5:10" ht="18" customHeight="1" x14ac:dyDescent="0.25">
      <c r="E192" s="12"/>
      <c r="F192" s="12"/>
      <c r="G192" s="12"/>
      <c r="H192" s="12"/>
      <c r="I192" s="12"/>
      <c r="J192" s="12"/>
    </row>
    <row r="193" spans="5:10" ht="18" customHeight="1" x14ac:dyDescent="0.25">
      <c r="E193" s="12"/>
      <c r="F193" s="12"/>
      <c r="G193" s="12"/>
      <c r="H193" s="12"/>
      <c r="I193" s="12"/>
      <c r="J193" s="12"/>
    </row>
    <row r="194" spans="5:10" ht="18" customHeight="1" x14ac:dyDescent="0.25">
      <c r="E194" s="12"/>
      <c r="F194" s="12"/>
      <c r="G194" s="12"/>
      <c r="H194" s="12"/>
      <c r="I194" s="12"/>
      <c r="J194" s="12"/>
    </row>
    <row r="195" spans="5:10" ht="18" customHeight="1" x14ac:dyDescent="0.25">
      <c r="E195" s="12"/>
      <c r="F195" s="12"/>
      <c r="G195" s="12"/>
      <c r="H195" s="12"/>
      <c r="I195" s="12"/>
      <c r="J195" s="12"/>
    </row>
    <row r="196" spans="5:10" ht="18" customHeight="1" x14ac:dyDescent="0.25">
      <c r="E196" s="12"/>
      <c r="F196" s="12"/>
      <c r="G196" s="12"/>
      <c r="H196" s="12"/>
      <c r="I196" s="12"/>
      <c r="J196" s="12"/>
    </row>
    <row r="197" spans="5:10" ht="18" customHeight="1" x14ac:dyDescent="0.25">
      <c r="E197" s="12"/>
      <c r="F197" s="12"/>
      <c r="G197" s="12"/>
      <c r="H197" s="12"/>
      <c r="I197" s="12"/>
      <c r="J197" s="12"/>
    </row>
    <row r="198" spans="5:10" ht="18" customHeight="1" x14ac:dyDescent="0.25">
      <c r="E198" s="12"/>
      <c r="F198" s="12"/>
      <c r="G198" s="12"/>
      <c r="H198" s="12"/>
      <c r="I198" s="12"/>
      <c r="J198" s="12"/>
    </row>
    <row r="199" spans="5:10" ht="18" customHeight="1" x14ac:dyDescent="0.25">
      <c r="E199" s="12"/>
      <c r="F199" s="12"/>
      <c r="G199" s="12"/>
      <c r="H199" s="12"/>
      <c r="I199" s="12"/>
      <c r="J199" s="12"/>
    </row>
    <row r="200" spans="5:10" ht="18" customHeight="1" x14ac:dyDescent="0.25">
      <c r="E200" s="12"/>
      <c r="F200" s="12"/>
      <c r="G200" s="12"/>
      <c r="H200" s="12"/>
      <c r="I200" s="12"/>
      <c r="J200" s="12"/>
    </row>
    <row r="201" spans="5:10" ht="18" customHeight="1" x14ac:dyDescent="0.25">
      <c r="E201" s="12"/>
      <c r="F201" s="12"/>
      <c r="G201" s="12"/>
      <c r="H201" s="12"/>
      <c r="I201" s="12"/>
      <c r="J201" s="12"/>
    </row>
    <row r="202" spans="5:10" ht="18" customHeight="1" x14ac:dyDescent="0.25">
      <c r="E202" s="12"/>
      <c r="F202" s="12"/>
      <c r="G202" s="12"/>
      <c r="H202" s="12"/>
      <c r="I202" s="12"/>
      <c r="J202" s="12"/>
    </row>
    <row r="203" spans="5:10" ht="18" customHeight="1" x14ac:dyDescent="0.25">
      <c r="E203" s="12"/>
      <c r="F203" s="12"/>
      <c r="G203" s="12"/>
      <c r="H203" s="12"/>
      <c r="I203" s="12"/>
      <c r="J203" s="12"/>
    </row>
    <row r="204" spans="5:10" ht="18" customHeight="1" x14ac:dyDescent="0.25">
      <c r="E204" s="12"/>
      <c r="F204" s="12"/>
      <c r="G204" s="12"/>
      <c r="H204" s="12"/>
      <c r="I204" s="12"/>
      <c r="J204" s="12"/>
    </row>
    <row r="205" spans="5:10" ht="18" customHeight="1" x14ac:dyDescent="0.25">
      <c r="E205" s="12"/>
      <c r="F205" s="12"/>
      <c r="G205" s="12"/>
      <c r="H205" s="12"/>
      <c r="I205" s="12"/>
      <c r="J205" s="12"/>
    </row>
    <row r="206" spans="5:10" ht="18" customHeight="1" x14ac:dyDescent="0.25">
      <c r="E206" s="12"/>
      <c r="F206" s="12"/>
      <c r="G206" s="12"/>
      <c r="H206" s="12"/>
      <c r="I206" s="12"/>
      <c r="J206" s="12"/>
    </row>
    <row r="207" spans="5:10" ht="18" customHeight="1" x14ac:dyDescent="0.25">
      <c r="E207" s="12"/>
      <c r="F207" s="12"/>
      <c r="G207" s="12"/>
      <c r="H207" s="12"/>
      <c r="I207" s="12"/>
      <c r="J207" s="12"/>
    </row>
    <row r="208" spans="5:10" ht="18" customHeight="1" x14ac:dyDescent="0.25">
      <c r="E208" s="12"/>
      <c r="F208" s="12"/>
      <c r="G208" s="12"/>
      <c r="H208" s="12"/>
      <c r="I208" s="12"/>
      <c r="J208" s="12"/>
    </row>
    <row r="209" spans="5:10" ht="18" customHeight="1" x14ac:dyDescent="0.25">
      <c r="E209" s="12"/>
      <c r="F209" s="12"/>
      <c r="G209" s="12"/>
      <c r="H209" s="12"/>
      <c r="I209" s="12"/>
      <c r="J209" s="12"/>
    </row>
    <row r="210" spans="5:10" ht="18" customHeight="1" x14ac:dyDescent="0.25">
      <c r="E210" s="12"/>
      <c r="F210" s="12"/>
      <c r="G210" s="12"/>
      <c r="H210" s="12"/>
      <c r="I210" s="12"/>
      <c r="J210" s="12"/>
    </row>
    <row r="211" spans="5:10" ht="18" customHeight="1" x14ac:dyDescent="0.25">
      <c r="E211" s="12"/>
      <c r="F211" s="12"/>
      <c r="G211" s="12"/>
      <c r="H211" s="12"/>
      <c r="I211" s="12"/>
      <c r="J211" s="12"/>
    </row>
    <row r="212" spans="5:10" ht="18" customHeight="1" x14ac:dyDescent="0.25">
      <c r="E212" s="12"/>
      <c r="F212" s="12"/>
      <c r="G212" s="12"/>
      <c r="H212" s="12"/>
      <c r="I212" s="12"/>
      <c r="J212" s="12"/>
    </row>
    <row r="213" spans="5:10" ht="18" customHeight="1" x14ac:dyDescent="0.25">
      <c r="E213" s="12"/>
      <c r="F213" s="12"/>
      <c r="G213" s="12"/>
      <c r="H213" s="12"/>
      <c r="I213" s="12"/>
      <c r="J213" s="12"/>
    </row>
    <row r="214" spans="5:10" ht="18" customHeight="1" x14ac:dyDescent="0.25">
      <c r="E214" s="12"/>
      <c r="F214" s="12"/>
      <c r="G214" s="12"/>
      <c r="H214" s="12"/>
      <c r="I214" s="12"/>
      <c r="J214" s="12"/>
    </row>
    <row r="215" spans="5:10" ht="18" customHeight="1" x14ac:dyDescent="0.25">
      <c r="E215" s="12"/>
      <c r="F215" s="12"/>
      <c r="G215" s="12"/>
      <c r="H215" s="12"/>
      <c r="I215" s="12"/>
      <c r="J215" s="12"/>
    </row>
    <row r="216" spans="5:10" ht="18" customHeight="1" x14ac:dyDescent="0.25">
      <c r="E216" s="12"/>
      <c r="F216" s="12"/>
      <c r="G216" s="12"/>
      <c r="H216" s="12"/>
      <c r="I216" s="12"/>
      <c r="J216" s="12"/>
    </row>
    <row r="217" spans="5:10" ht="18" customHeight="1" x14ac:dyDescent="0.25">
      <c r="E217" s="12"/>
      <c r="F217" s="12"/>
      <c r="G217" s="12"/>
      <c r="H217" s="12"/>
      <c r="I217" s="12"/>
      <c r="J217" s="12"/>
    </row>
    <row r="218" spans="5:10" ht="18" customHeight="1" x14ac:dyDescent="0.25">
      <c r="E218" s="12"/>
      <c r="F218" s="12"/>
      <c r="G218" s="12"/>
      <c r="H218" s="12"/>
      <c r="I218" s="12"/>
      <c r="J218" s="12"/>
    </row>
    <row r="219" spans="5:10" ht="18" customHeight="1" x14ac:dyDescent="0.25">
      <c r="E219" s="12"/>
      <c r="F219" s="12"/>
      <c r="G219" s="12"/>
      <c r="H219" s="12"/>
      <c r="I219" s="12"/>
      <c r="J219" s="12"/>
    </row>
    <row r="220" spans="5:10" ht="18" customHeight="1" x14ac:dyDescent="0.25">
      <c r="E220" s="12"/>
      <c r="F220" s="12"/>
      <c r="G220" s="12"/>
      <c r="H220" s="12"/>
      <c r="I220" s="12"/>
      <c r="J220" s="12"/>
    </row>
    <row r="221" spans="5:10" ht="18" customHeight="1" x14ac:dyDescent="0.25">
      <c r="E221" s="12"/>
      <c r="F221" s="12"/>
      <c r="G221" s="12"/>
      <c r="H221" s="12"/>
      <c r="I221" s="12"/>
      <c r="J221" s="12"/>
    </row>
    <row r="222" spans="5:10" ht="18" customHeight="1" x14ac:dyDescent="0.25">
      <c r="E222" s="12"/>
      <c r="F222" s="12"/>
      <c r="G222" s="12"/>
      <c r="H222" s="12"/>
      <c r="I222" s="12"/>
      <c r="J222" s="12"/>
    </row>
    <row r="223" spans="5:10" ht="18" customHeight="1" x14ac:dyDescent="0.25">
      <c r="E223" s="12"/>
      <c r="F223" s="12"/>
      <c r="G223" s="12"/>
      <c r="H223" s="12"/>
      <c r="I223" s="12"/>
      <c r="J223" s="12"/>
    </row>
    <row r="224" spans="5:10" ht="18" customHeight="1" x14ac:dyDescent="0.25">
      <c r="E224" s="12"/>
      <c r="F224" s="12"/>
      <c r="G224" s="12"/>
      <c r="H224" s="12"/>
      <c r="I224" s="12"/>
      <c r="J224" s="12"/>
    </row>
    <row r="225" spans="5:10" ht="18" customHeight="1" x14ac:dyDescent="0.25">
      <c r="E225" s="12"/>
      <c r="F225" s="12"/>
      <c r="G225" s="12"/>
      <c r="H225" s="12"/>
      <c r="I225" s="12"/>
      <c r="J225" s="12"/>
    </row>
    <row r="226" spans="5:10" ht="18" customHeight="1" x14ac:dyDescent="0.25">
      <c r="E226" s="12"/>
      <c r="F226" s="12"/>
      <c r="G226" s="12"/>
      <c r="H226" s="12"/>
      <c r="I226" s="12"/>
      <c r="J226" s="12"/>
    </row>
    <row r="227" spans="5:10" ht="18" customHeight="1" x14ac:dyDescent="0.25">
      <c r="E227" s="12"/>
      <c r="F227" s="12"/>
      <c r="G227" s="12"/>
      <c r="H227" s="12"/>
      <c r="I227" s="12"/>
      <c r="J227" s="12"/>
    </row>
    <row r="228" spans="5:10" ht="18" customHeight="1" x14ac:dyDescent="0.25">
      <c r="E228" s="12"/>
      <c r="F228" s="12"/>
      <c r="G228" s="12"/>
      <c r="H228" s="12"/>
      <c r="I228" s="12"/>
      <c r="J228" s="12"/>
    </row>
    <row r="229" spans="5:10" ht="18" customHeight="1" x14ac:dyDescent="0.25">
      <c r="E229" s="12"/>
      <c r="F229" s="12"/>
      <c r="G229" s="12"/>
      <c r="H229" s="12"/>
      <c r="I229" s="12"/>
      <c r="J229" s="12"/>
    </row>
    <row r="230" spans="5:10" ht="18" customHeight="1" x14ac:dyDescent="0.25">
      <c r="E230" s="12"/>
      <c r="F230" s="12"/>
      <c r="G230" s="12"/>
      <c r="H230" s="12"/>
      <c r="I230" s="12"/>
      <c r="J230" s="12"/>
    </row>
    <row r="231" spans="5:10" ht="18" customHeight="1" x14ac:dyDescent="0.25">
      <c r="E231" s="12"/>
      <c r="F231" s="12"/>
      <c r="G231" s="12"/>
      <c r="H231" s="12"/>
      <c r="I231" s="12"/>
      <c r="J231" s="12"/>
    </row>
    <row r="232" spans="5:10" ht="18" customHeight="1" x14ac:dyDescent="0.25">
      <c r="E232" s="12"/>
      <c r="F232" s="12"/>
      <c r="G232" s="12"/>
      <c r="H232" s="12"/>
      <c r="I232" s="12"/>
      <c r="J232" s="12"/>
    </row>
    <row r="233" spans="5:10" ht="18" customHeight="1" x14ac:dyDescent="0.25">
      <c r="E233" s="12"/>
      <c r="F233" s="12"/>
      <c r="G233" s="12"/>
      <c r="H233" s="12"/>
      <c r="I233" s="12"/>
      <c r="J233" s="12"/>
    </row>
    <row r="234" spans="5:10" ht="18" customHeight="1" x14ac:dyDescent="0.25">
      <c r="E234" s="12"/>
      <c r="F234" s="12"/>
      <c r="G234" s="12"/>
      <c r="H234" s="12"/>
      <c r="I234" s="12"/>
      <c r="J234" s="12"/>
    </row>
    <row r="235" spans="5:10" ht="18" customHeight="1" x14ac:dyDescent="0.25">
      <c r="E235" s="12"/>
      <c r="F235" s="12"/>
      <c r="G235" s="12"/>
      <c r="H235" s="12"/>
      <c r="I235" s="12"/>
      <c r="J235" s="12"/>
    </row>
    <row r="236" spans="5:10" ht="18" customHeight="1" x14ac:dyDescent="0.25">
      <c r="E236" s="12"/>
      <c r="F236" s="12"/>
      <c r="G236" s="12"/>
      <c r="H236" s="12"/>
      <c r="I236" s="12"/>
      <c r="J236" s="12"/>
    </row>
    <row r="237" spans="5:10" ht="18" customHeight="1" x14ac:dyDescent="0.25">
      <c r="E237" s="12"/>
      <c r="F237" s="12"/>
      <c r="G237" s="12"/>
      <c r="H237" s="12"/>
      <c r="I237" s="12"/>
      <c r="J237" s="12"/>
    </row>
    <row r="238" spans="5:10" ht="18" customHeight="1" x14ac:dyDescent="0.25">
      <c r="E238" s="12"/>
      <c r="F238" s="12"/>
      <c r="G238" s="12"/>
      <c r="H238" s="12"/>
      <c r="I238" s="12"/>
      <c r="J238" s="12"/>
    </row>
    <row r="239" spans="5:10" ht="18" customHeight="1" x14ac:dyDescent="0.25">
      <c r="E239" s="12"/>
      <c r="F239" s="12"/>
      <c r="G239" s="12"/>
      <c r="H239" s="12"/>
      <c r="I239" s="12"/>
      <c r="J239" s="12"/>
    </row>
    <row r="240" spans="5:10" ht="18" customHeight="1" x14ac:dyDescent="0.25">
      <c r="E240" s="12"/>
      <c r="F240" s="12"/>
      <c r="G240" s="12"/>
      <c r="H240" s="12"/>
      <c r="I240" s="12"/>
      <c r="J240" s="12"/>
    </row>
    <row r="241" spans="5:10" ht="18" customHeight="1" x14ac:dyDescent="0.25">
      <c r="E241" s="12"/>
      <c r="F241" s="12"/>
      <c r="G241" s="12"/>
      <c r="H241" s="12"/>
      <c r="I241" s="12"/>
      <c r="J241" s="12"/>
    </row>
    <row r="242" spans="5:10" ht="18" customHeight="1" x14ac:dyDescent="0.25">
      <c r="E242" s="12"/>
      <c r="F242" s="12"/>
      <c r="G242" s="12"/>
      <c r="H242" s="12"/>
      <c r="I242" s="12"/>
      <c r="J242" s="12"/>
    </row>
    <row r="243" spans="5:10" ht="18" customHeight="1" x14ac:dyDescent="0.25">
      <c r="E243" s="12"/>
      <c r="F243" s="12"/>
      <c r="G243" s="12"/>
      <c r="H243" s="12"/>
      <c r="I243" s="12"/>
      <c r="J243" s="12"/>
    </row>
    <row r="244" spans="5:10" ht="18" customHeight="1" x14ac:dyDescent="0.25">
      <c r="E244" s="12"/>
      <c r="F244" s="12"/>
      <c r="G244" s="12"/>
      <c r="H244" s="12"/>
      <c r="I244" s="12"/>
      <c r="J244" s="12"/>
    </row>
    <row r="245" spans="5:10" ht="18" customHeight="1" x14ac:dyDescent="0.25">
      <c r="E245" s="12"/>
      <c r="F245" s="12"/>
      <c r="G245" s="12"/>
      <c r="H245" s="12"/>
      <c r="I245" s="12"/>
      <c r="J245" s="12"/>
    </row>
    <row r="246" spans="5:10" ht="18" customHeight="1" x14ac:dyDescent="0.25">
      <c r="E246" s="12"/>
      <c r="F246" s="12"/>
      <c r="G246" s="12"/>
      <c r="H246" s="12"/>
      <c r="I246" s="12"/>
      <c r="J246" s="12"/>
    </row>
    <row r="247" spans="5:10" ht="18" customHeight="1" x14ac:dyDescent="0.25">
      <c r="E247" s="12"/>
      <c r="F247" s="12"/>
      <c r="G247" s="12"/>
      <c r="H247" s="12"/>
      <c r="I247" s="12"/>
      <c r="J247" s="12"/>
    </row>
    <row r="248" spans="5:10" ht="18" customHeight="1" x14ac:dyDescent="0.25">
      <c r="E248" s="12"/>
      <c r="F248" s="12"/>
      <c r="G248" s="12"/>
      <c r="H248" s="12"/>
      <c r="I248" s="12"/>
      <c r="J248" s="12"/>
    </row>
    <row r="249" spans="5:10" ht="18" customHeight="1" x14ac:dyDescent="0.25">
      <c r="E249" s="12"/>
      <c r="F249" s="12"/>
      <c r="G249" s="12"/>
      <c r="H249" s="12"/>
      <c r="I249" s="12"/>
      <c r="J249" s="12"/>
    </row>
    <row r="250" spans="5:10" ht="18" customHeight="1" x14ac:dyDescent="0.25">
      <c r="E250" s="12"/>
      <c r="F250" s="12"/>
      <c r="G250" s="12"/>
      <c r="H250" s="12"/>
      <c r="I250" s="12"/>
      <c r="J250" s="12"/>
    </row>
    <row r="251" spans="5:10" ht="18" customHeight="1" x14ac:dyDescent="0.25">
      <c r="E251" s="12"/>
      <c r="F251" s="12"/>
      <c r="G251" s="12"/>
      <c r="H251" s="12"/>
      <c r="I251" s="12"/>
      <c r="J251" s="12"/>
    </row>
    <row r="252" spans="5:10" ht="18" customHeight="1" x14ac:dyDescent="0.25">
      <c r="E252" s="12"/>
      <c r="F252" s="12"/>
      <c r="G252" s="12"/>
      <c r="H252" s="12"/>
      <c r="I252" s="12"/>
      <c r="J252" s="12"/>
    </row>
    <row r="253" spans="5:10" ht="18" customHeight="1" x14ac:dyDescent="0.25">
      <c r="E253" s="12"/>
      <c r="F253" s="12"/>
      <c r="G253" s="12"/>
      <c r="H253" s="12"/>
      <c r="I253" s="12"/>
      <c r="J253" s="12"/>
    </row>
    <row r="254" spans="5:10" ht="18" customHeight="1" x14ac:dyDescent="0.25">
      <c r="E254" s="12"/>
      <c r="F254" s="12"/>
      <c r="G254" s="12"/>
      <c r="H254" s="12"/>
      <c r="I254" s="12"/>
      <c r="J254" s="12"/>
    </row>
    <row r="255" spans="5:10" ht="18" customHeight="1" x14ac:dyDescent="0.25">
      <c r="E255" s="12"/>
      <c r="F255" s="12"/>
      <c r="G255" s="12"/>
      <c r="H255" s="12"/>
      <c r="I255" s="12"/>
      <c r="J255" s="12"/>
    </row>
    <row r="256" spans="5:10" ht="18" customHeight="1" x14ac:dyDescent="0.25">
      <c r="E256" s="12"/>
      <c r="F256" s="12"/>
      <c r="G256" s="12"/>
      <c r="H256" s="12"/>
      <c r="I256" s="12"/>
      <c r="J256" s="12"/>
    </row>
    <row r="257" spans="5:10" ht="18" customHeight="1" x14ac:dyDescent="0.25">
      <c r="E257" s="12"/>
      <c r="F257" s="12"/>
      <c r="G257" s="12"/>
      <c r="H257" s="12"/>
      <c r="I257" s="12"/>
      <c r="J257" s="12"/>
    </row>
    <row r="258" spans="5:10" ht="18" customHeight="1" x14ac:dyDescent="0.25">
      <c r="E258" s="12"/>
      <c r="F258" s="12"/>
      <c r="G258" s="12"/>
      <c r="H258" s="12"/>
      <c r="I258" s="12"/>
      <c r="J258" s="12"/>
    </row>
    <row r="259" spans="5:10" ht="18" customHeight="1" x14ac:dyDescent="0.25">
      <c r="E259" s="12"/>
      <c r="F259" s="12"/>
      <c r="G259" s="12"/>
      <c r="H259" s="12"/>
      <c r="I259" s="12"/>
      <c r="J259" s="12"/>
    </row>
    <row r="260" spans="5:10" ht="18" customHeight="1" x14ac:dyDescent="0.25">
      <c r="E260" s="12"/>
      <c r="F260" s="12"/>
      <c r="G260" s="12"/>
      <c r="H260" s="12"/>
      <c r="I260" s="12"/>
      <c r="J260" s="12"/>
    </row>
    <row r="261" spans="5:10" ht="18" customHeight="1" x14ac:dyDescent="0.25">
      <c r="E261" s="12"/>
      <c r="F261" s="12"/>
      <c r="G261" s="12"/>
      <c r="H261" s="12"/>
      <c r="I261" s="12"/>
      <c r="J261" s="12"/>
    </row>
    <row r="262" spans="5:10" ht="18" customHeight="1" x14ac:dyDescent="0.25">
      <c r="E262" s="12"/>
      <c r="F262" s="12"/>
      <c r="G262" s="12"/>
      <c r="H262" s="12"/>
      <c r="I262" s="12"/>
      <c r="J262" s="12"/>
    </row>
    <row r="263" spans="5:10" ht="18" customHeight="1" x14ac:dyDescent="0.25">
      <c r="E263" s="12"/>
      <c r="F263" s="12"/>
      <c r="G263" s="12"/>
      <c r="H263" s="12"/>
      <c r="I263" s="12"/>
      <c r="J263" s="12"/>
    </row>
    <row r="264" spans="5:10" ht="18" customHeight="1" x14ac:dyDescent="0.25">
      <c r="E264" s="12"/>
      <c r="F264" s="12"/>
      <c r="G264" s="12"/>
      <c r="H264" s="12"/>
      <c r="I264" s="12"/>
      <c r="J264" s="12"/>
    </row>
    <row r="265" spans="5:10" ht="18" customHeight="1" x14ac:dyDescent="0.25">
      <c r="E265" s="12"/>
      <c r="F265" s="12"/>
      <c r="G265" s="12"/>
      <c r="H265" s="12"/>
      <c r="I265" s="12"/>
      <c r="J265" s="12"/>
    </row>
    <row r="266" spans="5:10" ht="18" customHeight="1" x14ac:dyDescent="0.25">
      <c r="E266" s="12"/>
      <c r="F266" s="12"/>
      <c r="G266" s="12"/>
      <c r="H266" s="12"/>
      <c r="I266" s="12"/>
      <c r="J266" s="12"/>
    </row>
    <row r="267" spans="5:10" ht="18" customHeight="1" x14ac:dyDescent="0.25">
      <c r="E267" s="12"/>
      <c r="F267" s="12"/>
      <c r="G267" s="12"/>
      <c r="H267" s="12"/>
      <c r="I267" s="12"/>
      <c r="J267" s="12"/>
    </row>
    <row r="268" spans="5:10" ht="18" customHeight="1" x14ac:dyDescent="0.25">
      <c r="E268" s="12"/>
      <c r="F268" s="12"/>
      <c r="G268" s="12"/>
      <c r="H268" s="12"/>
      <c r="I268" s="12"/>
      <c r="J268" s="12"/>
    </row>
    <row r="269" spans="5:10" ht="18" customHeight="1" x14ac:dyDescent="0.25">
      <c r="E269" s="12"/>
      <c r="F269" s="12"/>
      <c r="G269" s="12"/>
      <c r="H269" s="12"/>
      <c r="I269" s="12"/>
      <c r="J269" s="12"/>
    </row>
    <row r="270" spans="5:10" ht="18" customHeight="1" x14ac:dyDescent="0.25">
      <c r="E270" s="12"/>
      <c r="F270" s="12"/>
      <c r="G270" s="12"/>
      <c r="H270" s="12"/>
      <c r="I270" s="12"/>
      <c r="J270" s="12"/>
    </row>
    <row r="271" spans="5:10" ht="18" customHeight="1" x14ac:dyDescent="0.25">
      <c r="E271" s="12"/>
      <c r="F271" s="12"/>
      <c r="G271" s="12"/>
      <c r="H271" s="12"/>
      <c r="I271" s="12"/>
      <c r="J271" s="12"/>
    </row>
    <row r="272" spans="5:10" ht="18" customHeight="1" x14ac:dyDescent="0.25">
      <c r="E272" s="12"/>
      <c r="F272" s="12"/>
      <c r="G272" s="12"/>
      <c r="H272" s="12"/>
      <c r="I272" s="12"/>
      <c r="J272" s="12"/>
    </row>
    <row r="273" spans="5:10" ht="18" customHeight="1" x14ac:dyDescent="0.25">
      <c r="E273" s="12"/>
      <c r="F273" s="12"/>
      <c r="G273" s="12"/>
      <c r="H273" s="12"/>
      <c r="I273" s="12"/>
      <c r="J273" s="12"/>
    </row>
    <row r="274" spans="5:10" ht="18" customHeight="1" x14ac:dyDescent="0.25">
      <c r="E274" s="12"/>
      <c r="F274" s="12"/>
      <c r="G274" s="12"/>
      <c r="H274" s="12"/>
      <c r="I274" s="12"/>
      <c r="J274" s="12"/>
    </row>
    <row r="275" spans="5:10" ht="18" customHeight="1" x14ac:dyDescent="0.25">
      <c r="E275" s="12"/>
      <c r="F275" s="12"/>
      <c r="G275" s="12"/>
      <c r="H275" s="12"/>
      <c r="I275" s="12"/>
      <c r="J275" s="12"/>
    </row>
    <row r="276" spans="5:10" ht="18" customHeight="1" x14ac:dyDescent="0.25">
      <c r="E276" s="12"/>
      <c r="F276" s="12"/>
      <c r="G276" s="12"/>
      <c r="H276" s="12"/>
      <c r="I276" s="12"/>
      <c r="J276" s="12"/>
    </row>
    <row r="277" spans="5:10" ht="18" customHeight="1" x14ac:dyDescent="0.25">
      <c r="E277" s="12"/>
      <c r="F277" s="12"/>
      <c r="G277" s="12"/>
      <c r="H277" s="12"/>
      <c r="I277" s="12"/>
      <c r="J277" s="12"/>
    </row>
    <row r="278" spans="5:10" ht="18" customHeight="1" x14ac:dyDescent="0.25">
      <c r="E278" s="12"/>
      <c r="F278" s="12"/>
      <c r="G278" s="12"/>
      <c r="H278" s="12"/>
      <c r="I278" s="12"/>
      <c r="J278" s="12"/>
    </row>
    <row r="279" spans="5:10" ht="18" customHeight="1" x14ac:dyDescent="0.25">
      <c r="E279" s="12"/>
      <c r="F279" s="12"/>
      <c r="G279" s="12"/>
      <c r="H279" s="12"/>
      <c r="I279" s="12"/>
      <c r="J279" s="12"/>
    </row>
    <row r="280" spans="5:10" ht="18" customHeight="1" x14ac:dyDescent="0.25">
      <c r="E280" s="12"/>
      <c r="F280" s="12"/>
      <c r="G280" s="12"/>
      <c r="H280" s="12"/>
      <c r="I280" s="12"/>
      <c r="J280" s="12"/>
    </row>
    <row r="281" spans="5:10" ht="18" customHeight="1" x14ac:dyDescent="0.25">
      <c r="E281" s="12"/>
      <c r="F281" s="12"/>
      <c r="G281" s="12"/>
      <c r="H281" s="12"/>
      <c r="I281" s="12"/>
      <c r="J281" s="12"/>
    </row>
    <row r="282" spans="5:10" ht="18" customHeight="1" x14ac:dyDescent="0.25">
      <c r="E282" s="12"/>
      <c r="F282" s="12"/>
      <c r="G282" s="12"/>
      <c r="H282" s="12"/>
      <c r="I282" s="12"/>
      <c r="J282" s="12"/>
    </row>
    <row r="283" spans="5:10" ht="18" customHeight="1" x14ac:dyDescent="0.25">
      <c r="E283" s="12"/>
      <c r="F283" s="12"/>
      <c r="G283" s="12"/>
      <c r="H283" s="12"/>
      <c r="I283" s="12"/>
      <c r="J283" s="12"/>
    </row>
    <row r="284" spans="5:10" ht="18" customHeight="1" x14ac:dyDescent="0.25">
      <c r="E284" s="12"/>
      <c r="F284" s="12"/>
      <c r="G284" s="12"/>
      <c r="H284" s="12"/>
      <c r="I284" s="12"/>
      <c r="J284" s="12"/>
    </row>
    <row r="285" spans="5:10" ht="18" customHeight="1" x14ac:dyDescent="0.25">
      <c r="E285" s="12"/>
      <c r="F285" s="12"/>
      <c r="G285" s="12"/>
      <c r="H285" s="12"/>
      <c r="I285" s="12"/>
      <c r="J285" s="12"/>
    </row>
    <row r="286" spans="5:10" ht="18" customHeight="1" x14ac:dyDescent="0.25">
      <c r="E286" s="12"/>
      <c r="F286" s="12"/>
      <c r="G286" s="12"/>
      <c r="H286" s="12"/>
      <c r="I286" s="12"/>
      <c r="J286" s="12"/>
    </row>
    <row r="287" spans="5:10" ht="18" customHeight="1" x14ac:dyDescent="0.25">
      <c r="E287" s="12"/>
      <c r="F287" s="12"/>
      <c r="G287" s="12"/>
      <c r="H287" s="12"/>
      <c r="I287" s="12"/>
      <c r="J287" s="12"/>
    </row>
    <row r="288" spans="5:10" ht="18" customHeight="1" x14ac:dyDescent="0.25">
      <c r="E288" s="12"/>
      <c r="F288" s="12"/>
      <c r="G288" s="12"/>
      <c r="H288" s="12"/>
      <c r="I288" s="12"/>
      <c r="J288" s="12"/>
    </row>
    <row r="289" spans="5:10" ht="18" customHeight="1" x14ac:dyDescent="0.25">
      <c r="E289" s="12"/>
      <c r="F289" s="12"/>
      <c r="G289" s="12"/>
      <c r="H289" s="12"/>
      <c r="I289" s="12"/>
      <c r="J289" s="12"/>
    </row>
    <row r="290" spans="5:10" ht="18" customHeight="1" x14ac:dyDescent="0.25">
      <c r="E290" s="12"/>
      <c r="F290" s="12"/>
      <c r="G290" s="12"/>
      <c r="H290" s="12"/>
      <c r="I290" s="12"/>
      <c r="J290" s="12"/>
    </row>
    <row r="291" spans="5:10" ht="18" customHeight="1" x14ac:dyDescent="0.25">
      <c r="E291" s="12"/>
      <c r="F291" s="12"/>
      <c r="G291" s="12"/>
      <c r="H291" s="12"/>
      <c r="I291" s="12"/>
      <c r="J291" s="12"/>
    </row>
    <row r="292" spans="5:10" ht="18" customHeight="1" x14ac:dyDescent="0.25">
      <c r="E292" s="12"/>
      <c r="F292" s="12"/>
      <c r="G292" s="12"/>
      <c r="H292" s="12"/>
      <c r="I292" s="12"/>
      <c r="J292" s="12"/>
    </row>
    <row r="293" spans="5:10" ht="18" customHeight="1" x14ac:dyDescent="0.25">
      <c r="E293" s="12"/>
      <c r="F293" s="12"/>
      <c r="G293" s="12"/>
      <c r="H293" s="12"/>
      <c r="I293" s="12"/>
      <c r="J293" s="12"/>
    </row>
    <row r="294" spans="5:10" ht="18" customHeight="1" x14ac:dyDescent="0.25">
      <c r="E294" s="12"/>
      <c r="F294" s="12"/>
      <c r="G294" s="12"/>
      <c r="H294" s="12"/>
      <c r="I294" s="12"/>
      <c r="J294" s="12"/>
    </row>
    <row r="295" spans="5:10" ht="18" customHeight="1" x14ac:dyDescent="0.25">
      <c r="E295" s="12"/>
      <c r="F295" s="12"/>
      <c r="G295" s="12"/>
      <c r="H295" s="12"/>
      <c r="I295" s="12"/>
      <c r="J295" s="12"/>
    </row>
    <row r="296" spans="5:10" ht="18" customHeight="1" x14ac:dyDescent="0.25">
      <c r="E296" s="12"/>
      <c r="F296" s="12"/>
      <c r="G296" s="12"/>
      <c r="H296" s="12"/>
      <c r="I296" s="12"/>
      <c r="J296" s="12"/>
    </row>
    <row r="297" spans="5:10" ht="18" customHeight="1" x14ac:dyDescent="0.25">
      <c r="E297" s="12"/>
      <c r="F297" s="12"/>
      <c r="G297" s="12"/>
      <c r="H297" s="12"/>
      <c r="I297" s="12"/>
      <c r="J297" s="12"/>
    </row>
    <row r="298" spans="5:10" ht="18" customHeight="1" x14ac:dyDescent="0.25">
      <c r="E298" s="12"/>
      <c r="F298" s="12"/>
      <c r="G298" s="12"/>
      <c r="H298" s="12"/>
      <c r="I298" s="12"/>
      <c r="J298" s="12"/>
    </row>
    <row r="299" spans="5:10" ht="18" customHeight="1" x14ac:dyDescent="0.25">
      <c r="E299" s="12"/>
      <c r="F299" s="12"/>
      <c r="G299" s="12"/>
      <c r="H299" s="12"/>
      <c r="I299" s="12"/>
      <c r="J299" s="12"/>
    </row>
    <row r="300" spans="5:10" ht="18" customHeight="1" x14ac:dyDescent="0.25">
      <c r="E300" s="12"/>
      <c r="F300" s="12"/>
      <c r="G300" s="12"/>
      <c r="H300" s="12"/>
      <c r="I300" s="12"/>
      <c r="J300" s="12"/>
    </row>
    <row r="301" spans="5:10" ht="18" customHeight="1" x14ac:dyDescent="0.25">
      <c r="E301" s="12"/>
      <c r="F301" s="12"/>
      <c r="G301" s="12"/>
      <c r="H301" s="12"/>
      <c r="I301" s="12"/>
      <c r="J301" s="12"/>
    </row>
    <row r="302" spans="5:10" ht="18" customHeight="1" x14ac:dyDescent="0.25">
      <c r="E302" s="12"/>
      <c r="F302" s="12"/>
      <c r="G302" s="12"/>
      <c r="H302" s="12"/>
      <c r="I302" s="12"/>
      <c r="J302" s="12"/>
    </row>
    <row r="303" spans="5:10" ht="18" customHeight="1" x14ac:dyDescent="0.25">
      <c r="E303" s="12"/>
      <c r="F303" s="12"/>
      <c r="G303" s="12"/>
      <c r="H303" s="12"/>
      <c r="I303" s="12"/>
      <c r="J303" s="12"/>
    </row>
    <row r="304" spans="5:10" ht="18" customHeight="1" x14ac:dyDescent="0.25">
      <c r="E304" s="12"/>
      <c r="F304" s="12"/>
      <c r="G304" s="12"/>
      <c r="H304" s="12"/>
      <c r="I304" s="12"/>
      <c r="J304" s="12"/>
    </row>
    <row r="305" spans="5:10" ht="18" customHeight="1" x14ac:dyDescent="0.25">
      <c r="E305" s="12"/>
      <c r="F305" s="12"/>
      <c r="G305" s="12"/>
      <c r="H305" s="12"/>
      <c r="I305" s="12"/>
      <c r="J305" s="12"/>
    </row>
    <row r="306" spans="5:10" ht="18" customHeight="1" x14ac:dyDescent="0.25">
      <c r="E306" s="12"/>
      <c r="F306" s="12"/>
      <c r="G306" s="12"/>
      <c r="H306" s="12"/>
      <c r="I306" s="12"/>
      <c r="J306" s="12"/>
    </row>
    <row r="307" spans="5:10" ht="18" customHeight="1" x14ac:dyDescent="0.25">
      <c r="E307" s="12"/>
      <c r="F307" s="12"/>
      <c r="G307" s="12"/>
      <c r="H307" s="12"/>
      <c r="I307" s="12"/>
      <c r="J307" s="12"/>
    </row>
    <row r="308" spans="5:10" ht="18" customHeight="1" x14ac:dyDescent="0.25">
      <c r="E308" s="12"/>
      <c r="F308" s="12"/>
      <c r="G308" s="12"/>
      <c r="H308" s="12"/>
      <c r="I308" s="12"/>
      <c r="J308" s="12"/>
    </row>
    <row r="309" spans="5:10" ht="18" customHeight="1" x14ac:dyDescent="0.25">
      <c r="E309" s="12"/>
      <c r="F309" s="12"/>
      <c r="G309" s="12"/>
      <c r="H309" s="12"/>
      <c r="I309" s="12"/>
      <c r="J309" s="12"/>
    </row>
    <row r="310" spans="5:10" ht="18" customHeight="1" x14ac:dyDescent="0.25">
      <c r="E310" s="12"/>
      <c r="F310" s="12"/>
      <c r="G310" s="12"/>
      <c r="H310" s="12"/>
      <c r="I310" s="12"/>
      <c r="J310" s="12"/>
    </row>
    <row r="311" spans="5:10" ht="18" customHeight="1" x14ac:dyDescent="0.25">
      <c r="E311" s="12"/>
      <c r="F311" s="12"/>
      <c r="G311" s="12"/>
      <c r="H311" s="12"/>
      <c r="I311" s="12"/>
      <c r="J311" s="12"/>
    </row>
    <row r="312" spans="5:10" ht="18" customHeight="1" x14ac:dyDescent="0.25">
      <c r="E312" s="12"/>
      <c r="F312" s="12"/>
      <c r="G312" s="12"/>
      <c r="H312" s="12"/>
      <c r="I312" s="12"/>
      <c r="J312" s="12"/>
    </row>
    <row r="313" spans="5:10" ht="18" customHeight="1" x14ac:dyDescent="0.25">
      <c r="E313" s="12"/>
      <c r="F313" s="12"/>
      <c r="G313" s="12"/>
      <c r="H313" s="12"/>
      <c r="I313" s="12"/>
      <c r="J313" s="12"/>
    </row>
    <row r="314" spans="5:10" ht="18" customHeight="1" x14ac:dyDescent="0.25">
      <c r="E314" s="12"/>
      <c r="F314" s="12"/>
      <c r="G314" s="12"/>
      <c r="H314" s="12"/>
      <c r="I314" s="12"/>
      <c r="J314" s="12"/>
    </row>
    <row r="315" spans="5:10" ht="18" customHeight="1" x14ac:dyDescent="0.25">
      <c r="E315" s="12"/>
      <c r="F315" s="12"/>
      <c r="G315" s="12"/>
      <c r="H315" s="12"/>
      <c r="I315" s="12"/>
      <c r="J315" s="12"/>
    </row>
    <row r="316" spans="5:10" ht="18" customHeight="1" x14ac:dyDescent="0.25">
      <c r="E316" s="12"/>
      <c r="F316" s="12"/>
      <c r="G316" s="12"/>
      <c r="H316" s="12"/>
      <c r="I316" s="12"/>
      <c r="J316" s="12"/>
    </row>
    <row r="317" spans="5:10" ht="18" customHeight="1" x14ac:dyDescent="0.25">
      <c r="E317" s="12"/>
      <c r="F317" s="12"/>
      <c r="G317" s="12"/>
      <c r="H317" s="12"/>
      <c r="I317" s="12"/>
      <c r="J317" s="12"/>
    </row>
    <row r="318" spans="5:10" ht="18" customHeight="1" x14ac:dyDescent="0.25">
      <c r="E318" s="12"/>
      <c r="F318" s="12"/>
      <c r="G318" s="12"/>
      <c r="H318" s="12"/>
      <c r="I318" s="12"/>
      <c r="J318" s="12"/>
    </row>
    <row r="319" spans="5:10" ht="18" customHeight="1" x14ac:dyDescent="0.25">
      <c r="E319" s="12"/>
      <c r="F319" s="12"/>
      <c r="G319" s="12"/>
      <c r="H319" s="12"/>
      <c r="I319" s="12"/>
      <c r="J319" s="12"/>
    </row>
    <row r="320" spans="5:10" ht="18" customHeight="1" x14ac:dyDescent="0.25">
      <c r="E320" s="12"/>
      <c r="F320" s="12"/>
      <c r="G320" s="12"/>
      <c r="H320" s="12"/>
      <c r="I320" s="12"/>
      <c r="J320" s="12"/>
    </row>
    <row r="321" spans="5:10" ht="18" customHeight="1" x14ac:dyDescent="0.25">
      <c r="E321" s="12"/>
      <c r="F321" s="12"/>
      <c r="G321" s="12"/>
      <c r="H321" s="12"/>
      <c r="I321" s="12"/>
      <c r="J321" s="12"/>
    </row>
    <row r="322" spans="5:10" ht="18" customHeight="1" x14ac:dyDescent="0.25">
      <c r="E322" s="12"/>
      <c r="F322" s="12"/>
      <c r="G322" s="12"/>
      <c r="H322" s="12"/>
      <c r="I322" s="12"/>
      <c r="J322" s="12"/>
    </row>
    <row r="323" spans="5:10" ht="18" customHeight="1" x14ac:dyDescent="0.25">
      <c r="E323" s="12"/>
      <c r="F323" s="12"/>
      <c r="G323" s="12"/>
      <c r="H323" s="12"/>
      <c r="I323" s="12"/>
      <c r="J323" s="12"/>
    </row>
    <row r="324" spans="5:10" ht="18" customHeight="1" x14ac:dyDescent="0.25">
      <c r="E324" s="12"/>
      <c r="F324" s="12"/>
      <c r="G324" s="12"/>
      <c r="H324" s="12"/>
      <c r="I324" s="12"/>
      <c r="J324" s="12"/>
    </row>
    <row r="325" spans="5:10" ht="18" customHeight="1" x14ac:dyDescent="0.25">
      <c r="E325" s="12"/>
      <c r="F325" s="12"/>
      <c r="G325" s="12"/>
      <c r="H325" s="12"/>
      <c r="I325" s="12"/>
      <c r="J325" s="12"/>
    </row>
    <row r="326" spans="5:10" ht="18" customHeight="1" x14ac:dyDescent="0.25">
      <c r="E326" s="12"/>
      <c r="F326" s="12"/>
      <c r="G326" s="12"/>
      <c r="H326" s="12"/>
      <c r="I326" s="12"/>
      <c r="J326" s="12"/>
    </row>
    <row r="327" spans="5:10" ht="18" customHeight="1" x14ac:dyDescent="0.25">
      <c r="E327" s="12"/>
      <c r="F327" s="12"/>
      <c r="G327" s="12"/>
      <c r="H327" s="12"/>
      <c r="I327" s="12"/>
      <c r="J327" s="12"/>
    </row>
    <row r="328" spans="5:10" ht="18" customHeight="1" x14ac:dyDescent="0.25">
      <c r="E328" s="12"/>
      <c r="F328" s="12"/>
      <c r="G328" s="12"/>
      <c r="H328" s="12"/>
      <c r="I328" s="12"/>
      <c r="J328" s="12"/>
    </row>
    <row r="329" spans="5:10" ht="18" customHeight="1" x14ac:dyDescent="0.25">
      <c r="E329" s="12"/>
      <c r="F329" s="12"/>
      <c r="G329" s="12"/>
      <c r="H329" s="12"/>
      <c r="I329" s="12"/>
      <c r="J329" s="12"/>
    </row>
    <row r="330" spans="5:10" ht="18" customHeight="1" x14ac:dyDescent="0.25">
      <c r="E330" s="12"/>
      <c r="F330" s="12"/>
      <c r="G330" s="12"/>
      <c r="H330" s="12"/>
      <c r="I330" s="12"/>
      <c r="J330" s="12"/>
    </row>
    <row r="331" spans="5:10" ht="18" customHeight="1" x14ac:dyDescent="0.25">
      <c r="E331" s="12"/>
      <c r="F331" s="12"/>
      <c r="G331" s="12"/>
      <c r="H331" s="12"/>
      <c r="I331" s="12"/>
      <c r="J331" s="12"/>
    </row>
    <row r="332" spans="5:10" ht="18" customHeight="1" x14ac:dyDescent="0.25">
      <c r="E332" s="12"/>
      <c r="F332" s="12"/>
      <c r="G332" s="12"/>
      <c r="H332" s="12"/>
      <c r="I332" s="12"/>
      <c r="J332" s="12"/>
    </row>
    <row r="333" spans="5:10" ht="18" customHeight="1" x14ac:dyDescent="0.25">
      <c r="E333" s="12"/>
      <c r="F333" s="12"/>
      <c r="G333" s="12"/>
      <c r="H333" s="12"/>
      <c r="I333" s="12"/>
      <c r="J333" s="12"/>
    </row>
    <row r="334" spans="5:10" ht="18" customHeight="1" x14ac:dyDescent="0.25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38</v>
      </c>
      <c r="C2" s="34" t="s">
        <v>48</v>
      </c>
    </row>
    <row r="3" spans="2:5" x14ac:dyDescent="0.25">
      <c r="B3" s="2" t="s">
        <v>39</v>
      </c>
      <c r="C3" s="8" t="s">
        <v>114</v>
      </c>
    </row>
    <row r="4" spans="2:5" x14ac:dyDescent="0.25">
      <c r="B4" s="2"/>
      <c r="C4" s="7" t="s">
        <v>40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25">
      <c r="B9" s="10">
        <v>43994</v>
      </c>
      <c r="C9" s="7" t="s">
        <v>113</v>
      </c>
      <c r="D9" s="7">
        <v>1</v>
      </c>
      <c r="E9" s="50" t="s">
        <v>112</v>
      </c>
    </row>
    <row r="10" spans="2:5" x14ac:dyDescent="0.25">
      <c r="E10" s="2"/>
    </row>
    <row r="11" spans="2:5" x14ac:dyDescent="0.25">
      <c r="E11" s="2"/>
    </row>
    <row r="12" spans="2:5" x14ac:dyDescent="0.25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25">
      <c r="B13" s="10"/>
      <c r="D13" s="7">
        <v>2</v>
      </c>
      <c r="E13" s="2" t="s">
        <v>94</v>
      </c>
    </row>
    <row r="14" spans="2:5" x14ac:dyDescent="0.25">
      <c r="D14" s="7">
        <v>3</v>
      </c>
      <c r="E14" s="2" t="s">
        <v>99</v>
      </c>
    </row>
    <row r="16" spans="2:5" x14ac:dyDescent="0.25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25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25">
      <c r="B20" s="10"/>
      <c r="D20" s="7">
        <v>2</v>
      </c>
      <c r="E20" s="2" t="s">
        <v>88</v>
      </c>
    </row>
    <row r="22" spans="2:5" x14ac:dyDescent="0.25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25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25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25">
      <c r="D28" s="7">
        <v>2</v>
      </c>
      <c r="E28" s="2" t="s">
        <v>74</v>
      </c>
    </row>
    <row r="29" spans="2:5" x14ac:dyDescent="0.25">
      <c r="D29" s="7">
        <v>3</v>
      </c>
      <c r="E29" s="2" t="s">
        <v>75</v>
      </c>
    </row>
    <row r="30" spans="2:5" x14ac:dyDescent="0.25">
      <c r="E30" s="2"/>
    </row>
    <row r="31" spans="2:5" x14ac:dyDescent="0.25">
      <c r="E31" s="2"/>
    </row>
    <row r="32" spans="2:5" x14ac:dyDescent="0.25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25">
      <c r="D33" s="7">
        <v>2</v>
      </c>
      <c r="E33" s="2" t="s">
        <v>58</v>
      </c>
    </row>
    <row r="34" spans="2:5" x14ac:dyDescent="0.25">
      <c r="D34" s="7">
        <v>3</v>
      </c>
      <c r="E34" s="2" t="s">
        <v>59</v>
      </c>
    </row>
    <row r="35" spans="2:5" x14ac:dyDescent="0.25">
      <c r="D35" s="7">
        <v>4</v>
      </c>
      <c r="E35" s="2" t="s">
        <v>60</v>
      </c>
    </row>
    <row r="36" spans="2:5" x14ac:dyDescent="0.25">
      <c r="D36" s="7">
        <v>5</v>
      </c>
      <c r="E36" s="2" t="s">
        <v>61</v>
      </c>
    </row>
    <row r="37" spans="2:5" x14ac:dyDescent="0.25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25">
      <c r="D38" s="7">
        <v>2</v>
      </c>
      <c r="E38" s="2" t="s">
        <v>63</v>
      </c>
    </row>
    <row r="39" spans="2:5" x14ac:dyDescent="0.25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25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25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25">
      <c r="D42" s="7">
        <v>2</v>
      </c>
      <c r="E42" s="2" t="s">
        <v>67</v>
      </c>
    </row>
    <row r="43" spans="2:5" x14ac:dyDescent="0.25">
      <c r="D43" s="7">
        <v>3</v>
      </c>
      <c r="E43" s="2" t="s">
        <v>68</v>
      </c>
    </row>
    <row r="44" spans="2:5" x14ac:dyDescent="0.25">
      <c r="D44" s="7">
        <v>4</v>
      </c>
      <c r="E44" s="2" t="s">
        <v>69</v>
      </c>
    </row>
    <row r="45" spans="2:5" x14ac:dyDescent="0.25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 filterMode="1"/>
  <dimension ref="A1:I1251"/>
  <sheetViews>
    <sheetView workbookViewId="0">
      <selection sqref="A1:XFD1048576"/>
    </sheetView>
  </sheetViews>
  <sheetFormatPr defaultRowHeight="16.5" x14ac:dyDescent="0.25"/>
  <cols>
    <col min="1" max="16384" width="9" style="1"/>
  </cols>
  <sheetData>
    <row r="1" spans="1:9" x14ac:dyDescent="0.25">
      <c r="A1" s="1" t="s">
        <v>0</v>
      </c>
      <c r="B1" s="1" t="s">
        <v>100</v>
      </c>
      <c r="C1" s="1" t="s">
        <v>101</v>
      </c>
      <c r="D1" s="1" t="s">
        <v>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</row>
    <row r="2" spans="1:9" hidden="1" x14ac:dyDescent="0.25">
      <c r="A2" s="1" t="s">
        <v>125</v>
      </c>
      <c r="B2" s="1" t="s">
        <v>2</v>
      </c>
      <c r="C2" s="1" t="s">
        <v>143</v>
      </c>
      <c r="D2" s="1">
        <v>222.78</v>
      </c>
      <c r="E2" s="1">
        <v>0</v>
      </c>
      <c r="F2" s="1">
        <v>0</v>
      </c>
      <c r="G2" s="1">
        <v>0</v>
      </c>
      <c r="H2" s="1">
        <v>1336.6759999999999</v>
      </c>
      <c r="I2" s="1">
        <v>-1336.6759999999999</v>
      </c>
    </row>
    <row r="3" spans="1:9" x14ac:dyDescent="0.25">
      <c r="A3" s="1" t="s">
        <v>125</v>
      </c>
      <c r="B3" s="1" t="s">
        <v>2</v>
      </c>
      <c r="C3" s="1" t="s">
        <v>3</v>
      </c>
      <c r="D3" s="1">
        <v>246.13</v>
      </c>
      <c r="E3" s="1">
        <v>0</v>
      </c>
      <c r="F3" s="1">
        <v>0</v>
      </c>
      <c r="G3" s="1">
        <v>0</v>
      </c>
      <c r="H3" s="1">
        <v>1476.796</v>
      </c>
      <c r="I3" s="1">
        <v>-1476.796</v>
      </c>
    </row>
    <row r="4" spans="1:9" hidden="1" x14ac:dyDescent="0.25">
      <c r="A4" s="1" t="s">
        <v>125</v>
      </c>
      <c r="B4" s="1" t="s">
        <v>144</v>
      </c>
      <c r="C4" s="1" t="s">
        <v>143</v>
      </c>
      <c r="D4" s="1">
        <v>43.2</v>
      </c>
      <c r="E4" s="1">
        <v>0</v>
      </c>
      <c r="F4" s="1">
        <v>0</v>
      </c>
      <c r="G4" s="1">
        <v>0</v>
      </c>
      <c r="H4" s="1">
        <v>259.2</v>
      </c>
      <c r="I4" s="1">
        <v>-259.2</v>
      </c>
    </row>
    <row r="5" spans="1:9" hidden="1" x14ac:dyDescent="0.25">
      <c r="A5" s="1" t="s">
        <v>125</v>
      </c>
      <c r="B5" s="1" t="s">
        <v>144</v>
      </c>
      <c r="C5" s="1" t="s">
        <v>3</v>
      </c>
      <c r="D5" s="1">
        <v>43.2</v>
      </c>
      <c r="E5" s="1">
        <v>0</v>
      </c>
      <c r="F5" s="1">
        <v>0</v>
      </c>
      <c r="G5" s="1">
        <v>0</v>
      </c>
      <c r="H5" s="1">
        <v>259.2</v>
      </c>
      <c r="I5" s="1">
        <v>-259.2</v>
      </c>
    </row>
    <row r="6" spans="1:9" hidden="1" x14ac:dyDescent="0.25">
      <c r="A6" s="1" t="s">
        <v>125</v>
      </c>
      <c r="B6" s="1" t="s">
        <v>12</v>
      </c>
      <c r="C6" s="1" t="s">
        <v>143</v>
      </c>
      <c r="D6" s="1">
        <v>0</v>
      </c>
      <c r="E6" s="1">
        <v>-99.4</v>
      </c>
      <c r="F6" s="1">
        <v>0</v>
      </c>
      <c r="G6" s="1">
        <v>656.06299999999999</v>
      </c>
      <c r="H6" s="1">
        <v>0</v>
      </c>
      <c r="I6" s="1">
        <v>0</v>
      </c>
    </row>
    <row r="7" spans="1:9" hidden="1" x14ac:dyDescent="0.25">
      <c r="A7" s="1" t="s">
        <v>125</v>
      </c>
      <c r="B7" s="1" t="s">
        <v>12</v>
      </c>
      <c r="C7" s="1" t="s">
        <v>3</v>
      </c>
      <c r="D7" s="1">
        <v>0</v>
      </c>
      <c r="E7" s="1">
        <v>-99.4</v>
      </c>
      <c r="F7" s="1">
        <v>0</v>
      </c>
      <c r="G7" s="1">
        <v>656.06299999999999</v>
      </c>
      <c r="H7" s="1">
        <v>0</v>
      </c>
      <c r="I7" s="1">
        <v>-299.06700000000001</v>
      </c>
    </row>
    <row r="8" spans="1:9" hidden="1" x14ac:dyDescent="0.25">
      <c r="A8" s="1" t="s">
        <v>125</v>
      </c>
      <c r="B8" s="1" t="s">
        <v>13</v>
      </c>
      <c r="C8" s="1" t="s">
        <v>143</v>
      </c>
      <c r="D8" s="1">
        <v>0</v>
      </c>
      <c r="E8" s="1">
        <v>-99.4</v>
      </c>
      <c r="F8" s="1">
        <v>0</v>
      </c>
      <c r="G8" s="1">
        <v>536.779</v>
      </c>
      <c r="H8" s="1">
        <v>0</v>
      </c>
      <c r="I8" s="1">
        <v>0</v>
      </c>
    </row>
    <row r="9" spans="1:9" hidden="1" x14ac:dyDescent="0.25">
      <c r="A9" s="1" t="s">
        <v>125</v>
      </c>
      <c r="B9" s="1" t="s">
        <v>13</v>
      </c>
      <c r="C9" s="1" t="s">
        <v>3</v>
      </c>
      <c r="D9" s="1">
        <v>0</v>
      </c>
      <c r="E9" s="1">
        <v>-99.4</v>
      </c>
      <c r="F9" s="1">
        <v>0</v>
      </c>
      <c r="G9" s="1">
        <v>536.779</v>
      </c>
      <c r="H9" s="1">
        <v>0</v>
      </c>
      <c r="I9" s="1">
        <v>-299.06700000000001</v>
      </c>
    </row>
    <row r="10" spans="1:9" hidden="1" x14ac:dyDescent="0.25">
      <c r="A10" s="1" t="s">
        <v>125</v>
      </c>
      <c r="B10" s="1" t="s">
        <v>14</v>
      </c>
      <c r="C10" s="1" t="s">
        <v>143</v>
      </c>
      <c r="D10" s="1">
        <v>0</v>
      </c>
      <c r="E10" s="1">
        <v>0</v>
      </c>
      <c r="F10" s="1">
        <v>-99.4</v>
      </c>
      <c r="G10" s="1">
        <v>-656.06299999999999</v>
      </c>
      <c r="H10" s="1">
        <v>0</v>
      </c>
      <c r="I10" s="1">
        <v>0</v>
      </c>
    </row>
    <row r="11" spans="1:9" hidden="1" x14ac:dyDescent="0.25">
      <c r="A11" s="1" t="s">
        <v>125</v>
      </c>
      <c r="B11" s="1" t="s">
        <v>14</v>
      </c>
      <c r="C11" s="1" t="s">
        <v>3</v>
      </c>
      <c r="D11" s="1">
        <v>0</v>
      </c>
      <c r="E11" s="1">
        <v>0</v>
      </c>
      <c r="F11" s="1">
        <v>-99.4</v>
      </c>
      <c r="G11" s="1">
        <v>-656.06299999999999</v>
      </c>
      <c r="H11" s="1">
        <v>299.06700000000001</v>
      </c>
      <c r="I11" s="1">
        <v>0</v>
      </c>
    </row>
    <row r="12" spans="1:9" hidden="1" x14ac:dyDescent="0.25">
      <c r="A12" s="1" t="s">
        <v>125</v>
      </c>
      <c r="B12" s="1" t="s">
        <v>15</v>
      </c>
      <c r="C12" s="1" t="s">
        <v>143</v>
      </c>
      <c r="D12" s="1">
        <v>0</v>
      </c>
      <c r="E12" s="1">
        <v>0</v>
      </c>
      <c r="F12" s="1">
        <v>-99.4</v>
      </c>
      <c r="G12" s="1">
        <v>-536.779</v>
      </c>
      <c r="H12" s="1">
        <v>0</v>
      </c>
      <c r="I12" s="1">
        <v>0</v>
      </c>
    </row>
    <row r="13" spans="1:9" hidden="1" x14ac:dyDescent="0.25">
      <c r="A13" s="1" t="s">
        <v>125</v>
      </c>
      <c r="B13" s="1" t="s">
        <v>15</v>
      </c>
      <c r="C13" s="1" t="s">
        <v>3</v>
      </c>
      <c r="D13" s="1">
        <v>0</v>
      </c>
      <c r="E13" s="1">
        <v>0</v>
      </c>
      <c r="F13" s="1">
        <v>-99.4</v>
      </c>
      <c r="G13" s="1">
        <v>-536.779</v>
      </c>
      <c r="H13" s="1">
        <v>299.06700000000001</v>
      </c>
      <c r="I13" s="1">
        <v>0</v>
      </c>
    </row>
    <row r="14" spans="1:9" hidden="1" x14ac:dyDescent="0.25">
      <c r="A14" s="1" t="s">
        <v>125</v>
      </c>
      <c r="B14" s="1" t="s">
        <v>145</v>
      </c>
      <c r="C14" s="1" t="s">
        <v>143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125</v>
      </c>
      <c r="B15" s="1" t="s">
        <v>145</v>
      </c>
      <c r="C15" s="1" t="s">
        <v>3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125</v>
      </c>
      <c r="B16" s="1" t="s">
        <v>146</v>
      </c>
      <c r="C16" s="1" t="s">
        <v>143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125</v>
      </c>
      <c r="B17" s="1" t="s">
        <v>146</v>
      </c>
      <c r="C17" s="1" t="s">
        <v>3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125</v>
      </c>
      <c r="B18" s="1" t="s">
        <v>147</v>
      </c>
      <c r="C18" s="1" t="s">
        <v>143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125</v>
      </c>
      <c r="B19" s="1" t="s">
        <v>147</v>
      </c>
      <c r="C19" s="1" t="s">
        <v>3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125</v>
      </c>
      <c r="B20" s="1" t="s">
        <v>148</v>
      </c>
      <c r="C20" s="1" t="s">
        <v>143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125</v>
      </c>
      <c r="B21" s="1" t="s">
        <v>148</v>
      </c>
      <c r="C21" s="1" t="s">
        <v>3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125</v>
      </c>
      <c r="B22" s="1" t="s">
        <v>149</v>
      </c>
      <c r="C22" s="1" t="s">
        <v>143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125</v>
      </c>
      <c r="B23" s="1" t="s">
        <v>149</v>
      </c>
      <c r="C23" s="1" t="s">
        <v>3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125</v>
      </c>
      <c r="B24" s="1" t="s">
        <v>150</v>
      </c>
      <c r="C24" s="1" t="s">
        <v>143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125</v>
      </c>
      <c r="B25" s="1" t="s">
        <v>150</v>
      </c>
      <c r="C25" s="1" t="s">
        <v>3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125</v>
      </c>
      <c r="B26" s="1" t="s">
        <v>16</v>
      </c>
      <c r="C26" s="1" t="s">
        <v>143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125</v>
      </c>
      <c r="B27" s="1" t="s">
        <v>16</v>
      </c>
      <c r="C27" s="1" t="s">
        <v>3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125</v>
      </c>
      <c r="B28" s="1" t="s">
        <v>151</v>
      </c>
      <c r="C28" s="1" t="s">
        <v>143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125</v>
      </c>
      <c r="B29" s="1" t="s">
        <v>151</v>
      </c>
      <c r="C29" s="1" t="s">
        <v>3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125</v>
      </c>
      <c r="B30" s="1" t="s">
        <v>152</v>
      </c>
      <c r="C30" s="1" t="s">
        <v>143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125</v>
      </c>
      <c r="B31" s="1" t="s">
        <v>152</v>
      </c>
      <c r="C31" s="1" t="s">
        <v>3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-7.1999999999999995E-2</v>
      </c>
    </row>
    <row r="32" spans="1:9" hidden="1" x14ac:dyDescent="0.25">
      <c r="A32" s="1" t="s">
        <v>125</v>
      </c>
      <c r="B32" s="1" t="s">
        <v>153</v>
      </c>
      <c r="C32" s="1" t="s">
        <v>143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125</v>
      </c>
      <c r="B33" s="1" t="s">
        <v>153</v>
      </c>
      <c r="C33" s="1" t="s">
        <v>3</v>
      </c>
      <c r="D33" s="1">
        <v>0</v>
      </c>
      <c r="E33" s="1">
        <v>0</v>
      </c>
      <c r="F33" s="1">
        <v>0</v>
      </c>
      <c r="G33" s="1">
        <v>0</v>
      </c>
      <c r="H33" s="1">
        <v>7.1999999999999995E-2</v>
      </c>
      <c r="I33" s="1">
        <v>0</v>
      </c>
    </row>
    <row r="34" spans="1:9" hidden="1" x14ac:dyDescent="0.25">
      <c r="A34" s="1" t="s">
        <v>125</v>
      </c>
      <c r="B34" s="1" t="s">
        <v>154</v>
      </c>
      <c r="C34" s="1" t="s">
        <v>143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</row>
    <row r="35" spans="1:9" hidden="1" x14ac:dyDescent="0.25">
      <c r="A35" s="1" t="s">
        <v>125</v>
      </c>
      <c r="B35" s="1" t="s">
        <v>154</v>
      </c>
      <c r="C35" s="1" t="s">
        <v>3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</row>
    <row r="36" spans="1:9" hidden="1" x14ac:dyDescent="0.25">
      <c r="A36" s="1" t="s">
        <v>125</v>
      </c>
      <c r="B36" s="1" t="s">
        <v>155</v>
      </c>
      <c r="C36" s="1" t="s">
        <v>143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125</v>
      </c>
      <c r="B37" s="1" t="s">
        <v>155</v>
      </c>
      <c r="C37" s="1" t="s">
        <v>3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</row>
    <row r="38" spans="1:9" hidden="1" x14ac:dyDescent="0.25">
      <c r="A38" s="1" t="s">
        <v>125</v>
      </c>
      <c r="B38" s="1" t="s">
        <v>156</v>
      </c>
      <c r="C38" s="1" t="s">
        <v>143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125</v>
      </c>
      <c r="B39" s="1" t="s">
        <v>156</v>
      </c>
      <c r="C39" s="1" t="s">
        <v>3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125</v>
      </c>
      <c r="B40" s="1" t="s">
        <v>4</v>
      </c>
      <c r="C40" s="1" t="s">
        <v>143</v>
      </c>
      <c r="D40" s="1">
        <v>0</v>
      </c>
      <c r="E40" s="1">
        <v>75.78</v>
      </c>
      <c r="F40" s="1">
        <v>0</v>
      </c>
      <c r="G40" s="1">
        <v>500.13099999999997</v>
      </c>
      <c r="H40" s="1">
        <v>0</v>
      </c>
      <c r="I40" s="1">
        <v>0</v>
      </c>
    </row>
    <row r="41" spans="1:9" hidden="1" x14ac:dyDescent="0.25">
      <c r="A41" s="1" t="s">
        <v>125</v>
      </c>
      <c r="B41" s="1" t="s">
        <v>4</v>
      </c>
      <c r="C41" s="1" t="s">
        <v>3</v>
      </c>
      <c r="D41" s="1">
        <v>0</v>
      </c>
      <c r="E41" s="1">
        <v>75.78</v>
      </c>
      <c r="F41" s="1">
        <v>0</v>
      </c>
      <c r="G41" s="1">
        <v>500.13099999999997</v>
      </c>
      <c r="H41" s="1">
        <v>0</v>
      </c>
      <c r="I41" s="1">
        <v>228.00800000000001</v>
      </c>
    </row>
    <row r="42" spans="1:9" hidden="1" x14ac:dyDescent="0.25">
      <c r="A42" s="1" t="s">
        <v>125</v>
      </c>
      <c r="B42" s="1" t="s">
        <v>5</v>
      </c>
      <c r="C42" s="1" t="s">
        <v>143</v>
      </c>
      <c r="D42" s="1">
        <v>0</v>
      </c>
      <c r="E42" s="1">
        <v>0</v>
      </c>
      <c r="F42" s="1">
        <v>75.78</v>
      </c>
      <c r="G42" s="1">
        <v>500.13099999999997</v>
      </c>
      <c r="H42" s="1">
        <v>0</v>
      </c>
      <c r="I42" s="1">
        <v>0</v>
      </c>
    </row>
    <row r="43" spans="1:9" hidden="1" x14ac:dyDescent="0.25">
      <c r="A43" s="1" t="s">
        <v>125</v>
      </c>
      <c r="B43" s="1" t="s">
        <v>5</v>
      </c>
      <c r="C43" s="1" t="s">
        <v>3</v>
      </c>
      <c r="D43" s="1">
        <v>0</v>
      </c>
      <c r="E43" s="1">
        <v>0</v>
      </c>
      <c r="F43" s="1">
        <v>75.78</v>
      </c>
      <c r="G43" s="1">
        <v>500.13099999999997</v>
      </c>
      <c r="H43" s="1">
        <v>228.00800000000001</v>
      </c>
      <c r="I43" s="1">
        <v>0</v>
      </c>
    </row>
    <row r="44" spans="1:9" hidden="1" x14ac:dyDescent="0.25">
      <c r="A44" s="1" t="s">
        <v>125</v>
      </c>
      <c r="B44" s="1" t="s">
        <v>6</v>
      </c>
      <c r="C44" s="1" t="s">
        <v>143</v>
      </c>
      <c r="D44" s="1">
        <v>33.42</v>
      </c>
      <c r="E44" s="1">
        <v>0</v>
      </c>
      <c r="F44" s="1">
        <v>0</v>
      </c>
      <c r="G44" s="1">
        <v>0</v>
      </c>
      <c r="H44" s="1">
        <v>200.501</v>
      </c>
      <c r="I44" s="1">
        <v>-200.501</v>
      </c>
    </row>
    <row r="45" spans="1:9" hidden="1" x14ac:dyDescent="0.25">
      <c r="A45" s="1" t="s">
        <v>125</v>
      </c>
      <c r="B45" s="1" t="s">
        <v>6</v>
      </c>
      <c r="C45" s="1" t="s">
        <v>3</v>
      </c>
      <c r="D45" s="1">
        <v>36.92</v>
      </c>
      <c r="E45" s="1">
        <v>0</v>
      </c>
      <c r="F45" s="1">
        <v>0</v>
      </c>
      <c r="G45" s="1">
        <v>0</v>
      </c>
      <c r="H45" s="1">
        <v>221.51900000000001</v>
      </c>
      <c r="I45" s="1">
        <v>-221.51900000000001</v>
      </c>
    </row>
    <row r="46" spans="1:9" hidden="1" x14ac:dyDescent="0.25">
      <c r="A46" s="1" t="s">
        <v>125</v>
      </c>
      <c r="B46" s="1" t="s">
        <v>7</v>
      </c>
      <c r="C46" s="1" t="s">
        <v>143</v>
      </c>
      <c r="D46" s="1">
        <v>0</v>
      </c>
      <c r="E46" s="1">
        <v>90.93</v>
      </c>
      <c r="F46" s="1">
        <v>0</v>
      </c>
      <c r="G46" s="1">
        <v>600.15700000000004</v>
      </c>
      <c r="H46" s="1">
        <v>0</v>
      </c>
      <c r="I46" s="1">
        <v>0</v>
      </c>
    </row>
    <row r="47" spans="1:9" hidden="1" x14ac:dyDescent="0.25">
      <c r="A47" s="1" t="s">
        <v>125</v>
      </c>
      <c r="B47" s="1" t="s">
        <v>7</v>
      </c>
      <c r="C47" s="1" t="s">
        <v>3</v>
      </c>
      <c r="D47" s="1">
        <v>0</v>
      </c>
      <c r="E47" s="1">
        <v>90.93</v>
      </c>
      <c r="F47" s="1">
        <v>0</v>
      </c>
      <c r="G47" s="1">
        <v>600.15700000000004</v>
      </c>
      <c r="H47" s="1">
        <v>0</v>
      </c>
      <c r="I47" s="1">
        <v>273.61</v>
      </c>
    </row>
    <row r="48" spans="1:9" hidden="1" x14ac:dyDescent="0.25">
      <c r="A48" s="1" t="s">
        <v>125</v>
      </c>
      <c r="B48" s="1" t="s">
        <v>157</v>
      </c>
      <c r="C48" s="1" t="s">
        <v>143</v>
      </c>
      <c r="D48" s="1">
        <v>0</v>
      </c>
      <c r="E48" s="1">
        <v>-90.93</v>
      </c>
      <c r="F48" s="1">
        <v>0</v>
      </c>
      <c r="G48" s="1">
        <v>-600.15700000000004</v>
      </c>
      <c r="H48" s="1">
        <v>0</v>
      </c>
      <c r="I48" s="1">
        <v>0</v>
      </c>
    </row>
    <row r="49" spans="1:9" hidden="1" x14ac:dyDescent="0.25">
      <c r="A49" s="1" t="s">
        <v>125</v>
      </c>
      <c r="B49" s="1" t="s">
        <v>157</v>
      </c>
      <c r="C49" s="1" t="s">
        <v>3</v>
      </c>
      <c r="D49" s="1">
        <v>0</v>
      </c>
      <c r="E49" s="1">
        <v>-90.93</v>
      </c>
      <c r="F49" s="1">
        <v>0</v>
      </c>
      <c r="G49" s="1">
        <v>-600.15700000000004</v>
      </c>
      <c r="H49" s="1">
        <v>0</v>
      </c>
      <c r="I49" s="1">
        <v>-273.61</v>
      </c>
    </row>
    <row r="50" spans="1:9" hidden="1" x14ac:dyDescent="0.25">
      <c r="A50" s="1" t="s">
        <v>125</v>
      </c>
      <c r="B50" s="1" t="s">
        <v>8</v>
      </c>
      <c r="C50" s="1" t="s">
        <v>143</v>
      </c>
      <c r="D50" s="1">
        <v>0</v>
      </c>
      <c r="E50" s="1">
        <v>0</v>
      </c>
      <c r="F50" s="1">
        <v>83.36</v>
      </c>
      <c r="G50" s="1">
        <v>550.14400000000001</v>
      </c>
      <c r="H50" s="1">
        <v>0</v>
      </c>
      <c r="I50" s="1">
        <v>0</v>
      </c>
    </row>
    <row r="51" spans="1:9" hidden="1" x14ac:dyDescent="0.25">
      <c r="A51" s="1" t="s">
        <v>125</v>
      </c>
      <c r="B51" s="1" t="s">
        <v>8</v>
      </c>
      <c r="C51" s="1" t="s">
        <v>3</v>
      </c>
      <c r="D51" s="1">
        <v>0</v>
      </c>
      <c r="E51" s="1">
        <v>0</v>
      </c>
      <c r="F51" s="1">
        <v>83.36</v>
      </c>
      <c r="G51" s="1">
        <v>550.14400000000001</v>
      </c>
      <c r="H51" s="1">
        <v>250.809</v>
      </c>
      <c r="I51" s="1">
        <v>0</v>
      </c>
    </row>
    <row r="52" spans="1:9" hidden="1" x14ac:dyDescent="0.25">
      <c r="A52" s="1" t="s">
        <v>125</v>
      </c>
      <c r="B52" s="1" t="s">
        <v>158</v>
      </c>
      <c r="C52" s="1" t="s">
        <v>143</v>
      </c>
      <c r="D52" s="1">
        <v>0</v>
      </c>
      <c r="E52" s="1">
        <v>0</v>
      </c>
      <c r="F52" s="1">
        <v>-83.36</v>
      </c>
      <c r="G52" s="1">
        <v>-550.14400000000001</v>
      </c>
      <c r="H52" s="1">
        <v>0</v>
      </c>
      <c r="I52" s="1">
        <v>0</v>
      </c>
    </row>
    <row r="53" spans="1:9" hidden="1" x14ac:dyDescent="0.25">
      <c r="A53" s="1" t="s">
        <v>125</v>
      </c>
      <c r="B53" s="1" t="s">
        <v>158</v>
      </c>
      <c r="C53" s="1" t="s">
        <v>3</v>
      </c>
      <c r="D53" s="1">
        <v>0</v>
      </c>
      <c r="E53" s="1">
        <v>0</v>
      </c>
      <c r="F53" s="1">
        <v>-83.36</v>
      </c>
      <c r="G53" s="1">
        <v>-550.14400000000001</v>
      </c>
      <c r="H53" s="1">
        <v>-250.809</v>
      </c>
      <c r="I53" s="1">
        <v>0</v>
      </c>
    </row>
    <row r="54" spans="1:9" hidden="1" x14ac:dyDescent="0.25">
      <c r="A54" s="1" t="s">
        <v>125</v>
      </c>
      <c r="B54" s="1" t="s">
        <v>159</v>
      </c>
      <c r="C54" s="1" t="s">
        <v>143</v>
      </c>
      <c r="D54" s="1">
        <v>311.89</v>
      </c>
      <c r="E54" s="1">
        <v>0</v>
      </c>
      <c r="F54" s="1">
        <v>0</v>
      </c>
      <c r="G54" s="1">
        <v>0</v>
      </c>
      <c r="H54" s="1">
        <v>1871.347</v>
      </c>
      <c r="I54" s="1">
        <v>-1871.347</v>
      </c>
    </row>
    <row r="55" spans="1:9" hidden="1" x14ac:dyDescent="0.25">
      <c r="A55" s="1" t="s">
        <v>125</v>
      </c>
      <c r="B55" s="1" t="s">
        <v>159</v>
      </c>
      <c r="C55" s="1" t="s">
        <v>3</v>
      </c>
      <c r="D55" s="1">
        <v>344.59</v>
      </c>
      <c r="E55" s="1">
        <v>0</v>
      </c>
      <c r="F55" s="1">
        <v>0</v>
      </c>
      <c r="G55" s="1">
        <v>0</v>
      </c>
      <c r="H55" s="1">
        <v>2067.5140000000001</v>
      </c>
      <c r="I55" s="1">
        <v>-2067.5140000000001</v>
      </c>
    </row>
    <row r="56" spans="1:9" hidden="1" x14ac:dyDescent="0.25">
      <c r="A56" s="1" t="s">
        <v>125</v>
      </c>
      <c r="B56" s="1" t="s">
        <v>160</v>
      </c>
      <c r="C56" s="1" t="s">
        <v>143</v>
      </c>
      <c r="D56" s="1">
        <v>336.46</v>
      </c>
      <c r="E56" s="1">
        <v>0</v>
      </c>
      <c r="F56" s="1">
        <v>0</v>
      </c>
      <c r="G56" s="1">
        <v>0</v>
      </c>
      <c r="H56" s="1">
        <v>2018.732</v>
      </c>
      <c r="I56" s="1">
        <v>-2018.732</v>
      </c>
    </row>
    <row r="57" spans="1:9" hidden="1" x14ac:dyDescent="0.25">
      <c r="A57" s="1" t="s">
        <v>125</v>
      </c>
      <c r="B57" s="1" t="s">
        <v>160</v>
      </c>
      <c r="C57" s="1" t="s">
        <v>3</v>
      </c>
      <c r="D57" s="1">
        <v>364.48</v>
      </c>
      <c r="E57" s="1">
        <v>0</v>
      </c>
      <c r="F57" s="1">
        <v>0</v>
      </c>
      <c r="G57" s="1">
        <v>0</v>
      </c>
      <c r="H57" s="1">
        <v>2186.875</v>
      </c>
      <c r="I57" s="1">
        <v>-2186.875</v>
      </c>
    </row>
    <row r="58" spans="1:9" hidden="1" x14ac:dyDescent="0.25">
      <c r="A58" s="1" t="s">
        <v>125</v>
      </c>
      <c r="B58" s="1" t="s">
        <v>161</v>
      </c>
      <c r="C58" s="1" t="s">
        <v>143</v>
      </c>
      <c r="D58" s="1">
        <v>288.94</v>
      </c>
      <c r="E58" s="1">
        <v>0</v>
      </c>
      <c r="F58" s="1">
        <v>0</v>
      </c>
      <c r="G58" s="1">
        <v>0</v>
      </c>
      <c r="H58" s="1">
        <v>1733.6120000000001</v>
      </c>
      <c r="I58" s="1">
        <v>-1733.6120000000001</v>
      </c>
    </row>
    <row r="59" spans="1:9" hidden="1" x14ac:dyDescent="0.25">
      <c r="A59" s="1" t="s">
        <v>125</v>
      </c>
      <c r="B59" s="1" t="s">
        <v>161</v>
      </c>
      <c r="C59" s="1" t="s">
        <v>3</v>
      </c>
      <c r="D59" s="1">
        <v>316.95999999999998</v>
      </c>
      <c r="E59" s="1">
        <v>0</v>
      </c>
      <c r="F59" s="1">
        <v>0</v>
      </c>
      <c r="G59" s="1">
        <v>0</v>
      </c>
      <c r="H59" s="1">
        <v>1901.7550000000001</v>
      </c>
      <c r="I59" s="1">
        <v>-1901.7550000000001</v>
      </c>
    </row>
    <row r="60" spans="1:9" hidden="1" x14ac:dyDescent="0.25">
      <c r="A60" s="1" t="s">
        <v>125</v>
      </c>
      <c r="B60" s="1" t="s">
        <v>162</v>
      </c>
      <c r="C60" s="1" t="s">
        <v>143</v>
      </c>
      <c r="D60" s="1">
        <v>298.95999999999998</v>
      </c>
      <c r="E60" s="1">
        <v>-99.4</v>
      </c>
      <c r="F60" s="1">
        <v>0</v>
      </c>
      <c r="G60" s="1">
        <v>656.06299999999999</v>
      </c>
      <c r="H60" s="1">
        <v>1793.7619999999999</v>
      </c>
      <c r="I60" s="1">
        <v>-1793.7619999999999</v>
      </c>
    </row>
    <row r="61" spans="1:9" hidden="1" x14ac:dyDescent="0.25">
      <c r="A61" s="1" t="s">
        <v>125</v>
      </c>
      <c r="B61" s="1" t="s">
        <v>162</v>
      </c>
      <c r="C61" s="1" t="s">
        <v>3</v>
      </c>
      <c r="D61" s="1">
        <v>328.04</v>
      </c>
      <c r="E61" s="1">
        <v>-99.4</v>
      </c>
      <c r="F61" s="1">
        <v>0</v>
      </c>
      <c r="G61" s="1">
        <v>656.06299999999999</v>
      </c>
      <c r="H61" s="1">
        <v>1968.211</v>
      </c>
      <c r="I61" s="1">
        <v>-2267.277</v>
      </c>
    </row>
    <row r="62" spans="1:9" hidden="1" x14ac:dyDescent="0.25">
      <c r="A62" s="1" t="s">
        <v>125</v>
      </c>
      <c r="B62" s="1" t="s">
        <v>163</v>
      </c>
      <c r="C62" s="1" t="s">
        <v>143</v>
      </c>
      <c r="D62" s="1">
        <v>298.95999999999998</v>
      </c>
      <c r="E62" s="1">
        <v>-99.4</v>
      </c>
      <c r="F62" s="1">
        <v>0</v>
      </c>
      <c r="G62" s="1">
        <v>536.779</v>
      </c>
      <c r="H62" s="1">
        <v>1793.7619999999999</v>
      </c>
      <c r="I62" s="1">
        <v>-1793.7619999999999</v>
      </c>
    </row>
    <row r="63" spans="1:9" hidden="1" x14ac:dyDescent="0.25">
      <c r="A63" s="1" t="s">
        <v>125</v>
      </c>
      <c r="B63" s="1" t="s">
        <v>163</v>
      </c>
      <c r="C63" s="1" t="s">
        <v>3</v>
      </c>
      <c r="D63" s="1">
        <v>328.04</v>
      </c>
      <c r="E63" s="1">
        <v>-99.4</v>
      </c>
      <c r="F63" s="1">
        <v>0</v>
      </c>
      <c r="G63" s="1">
        <v>536.779</v>
      </c>
      <c r="H63" s="1">
        <v>1968.211</v>
      </c>
      <c r="I63" s="1">
        <v>-2267.277</v>
      </c>
    </row>
    <row r="64" spans="1:9" hidden="1" x14ac:dyDescent="0.25">
      <c r="A64" s="1" t="s">
        <v>125</v>
      </c>
      <c r="B64" s="1" t="s">
        <v>164</v>
      </c>
      <c r="C64" s="1" t="s">
        <v>143</v>
      </c>
      <c r="D64" s="1">
        <v>298.95999999999998</v>
      </c>
      <c r="E64" s="1">
        <v>99.4</v>
      </c>
      <c r="F64" s="1">
        <v>0</v>
      </c>
      <c r="G64" s="1">
        <v>-656.06299999999999</v>
      </c>
      <c r="H64" s="1">
        <v>1793.7619999999999</v>
      </c>
      <c r="I64" s="1">
        <v>-1793.7619999999999</v>
      </c>
    </row>
    <row r="65" spans="1:9" hidden="1" x14ac:dyDescent="0.25">
      <c r="A65" s="1" t="s">
        <v>125</v>
      </c>
      <c r="B65" s="1" t="s">
        <v>164</v>
      </c>
      <c r="C65" s="1" t="s">
        <v>3</v>
      </c>
      <c r="D65" s="1">
        <v>328.04</v>
      </c>
      <c r="E65" s="1">
        <v>99.4</v>
      </c>
      <c r="F65" s="1">
        <v>0</v>
      </c>
      <c r="G65" s="1">
        <v>-656.06299999999999</v>
      </c>
      <c r="H65" s="1">
        <v>1968.211</v>
      </c>
      <c r="I65" s="1">
        <v>-1669.144</v>
      </c>
    </row>
    <row r="66" spans="1:9" hidden="1" x14ac:dyDescent="0.25">
      <c r="A66" s="1" t="s">
        <v>125</v>
      </c>
      <c r="B66" s="1" t="s">
        <v>165</v>
      </c>
      <c r="C66" s="1" t="s">
        <v>143</v>
      </c>
      <c r="D66" s="1">
        <v>298.95999999999998</v>
      </c>
      <c r="E66" s="1">
        <v>99.4</v>
      </c>
      <c r="F66" s="1">
        <v>0</v>
      </c>
      <c r="G66" s="1">
        <v>-536.779</v>
      </c>
      <c r="H66" s="1">
        <v>1793.7619999999999</v>
      </c>
      <c r="I66" s="1">
        <v>-1793.7619999999999</v>
      </c>
    </row>
    <row r="67" spans="1:9" hidden="1" x14ac:dyDescent="0.25">
      <c r="A67" s="1" t="s">
        <v>125</v>
      </c>
      <c r="B67" s="1" t="s">
        <v>165</v>
      </c>
      <c r="C67" s="1" t="s">
        <v>3</v>
      </c>
      <c r="D67" s="1">
        <v>328.04</v>
      </c>
      <c r="E67" s="1">
        <v>99.4</v>
      </c>
      <c r="F67" s="1">
        <v>0</v>
      </c>
      <c r="G67" s="1">
        <v>-536.779</v>
      </c>
      <c r="H67" s="1">
        <v>1968.211</v>
      </c>
      <c r="I67" s="1">
        <v>-1669.144</v>
      </c>
    </row>
    <row r="68" spans="1:9" hidden="1" x14ac:dyDescent="0.25">
      <c r="A68" s="1" t="s">
        <v>125</v>
      </c>
      <c r="B68" s="1" t="s">
        <v>166</v>
      </c>
      <c r="C68" s="1" t="s">
        <v>143</v>
      </c>
      <c r="D68" s="1">
        <v>298.95999999999998</v>
      </c>
      <c r="E68" s="1">
        <v>0</v>
      </c>
      <c r="F68" s="1">
        <v>-99.4</v>
      </c>
      <c r="G68" s="1">
        <v>-656.06299999999999</v>
      </c>
      <c r="H68" s="1">
        <v>1793.7619999999999</v>
      </c>
      <c r="I68" s="1">
        <v>-1793.7619999999999</v>
      </c>
    </row>
    <row r="69" spans="1:9" hidden="1" x14ac:dyDescent="0.25">
      <c r="A69" s="1" t="s">
        <v>125</v>
      </c>
      <c r="B69" s="1" t="s">
        <v>166</v>
      </c>
      <c r="C69" s="1" t="s">
        <v>3</v>
      </c>
      <c r="D69" s="1">
        <v>328.04</v>
      </c>
      <c r="E69" s="1">
        <v>0</v>
      </c>
      <c r="F69" s="1">
        <v>-99.4</v>
      </c>
      <c r="G69" s="1">
        <v>-656.06299999999999</v>
      </c>
      <c r="H69" s="1">
        <v>2267.277</v>
      </c>
      <c r="I69" s="1">
        <v>-1968.211</v>
      </c>
    </row>
    <row r="70" spans="1:9" hidden="1" x14ac:dyDescent="0.25">
      <c r="A70" s="1" t="s">
        <v>125</v>
      </c>
      <c r="B70" s="1" t="s">
        <v>167</v>
      </c>
      <c r="C70" s="1" t="s">
        <v>143</v>
      </c>
      <c r="D70" s="1">
        <v>298.95999999999998</v>
      </c>
      <c r="E70" s="1">
        <v>0</v>
      </c>
      <c r="F70" s="1">
        <v>-99.4</v>
      </c>
      <c r="G70" s="1">
        <v>-536.779</v>
      </c>
      <c r="H70" s="1">
        <v>1793.7619999999999</v>
      </c>
      <c r="I70" s="1">
        <v>-1793.7619999999999</v>
      </c>
    </row>
    <row r="71" spans="1:9" hidden="1" x14ac:dyDescent="0.25">
      <c r="A71" s="1" t="s">
        <v>125</v>
      </c>
      <c r="B71" s="1" t="s">
        <v>167</v>
      </c>
      <c r="C71" s="1" t="s">
        <v>3</v>
      </c>
      <c r="D71" s="1">
        <v>328.04</v>
      </c>
      <c r="E71" s="1">
        <v>0</v>
      </c>
      <c r="F71" s="1">
        <v>-99.4</v>
      </c>
      <c r="G71" s="1">
        <v>-536.779</v>
      </c>
      <c r="H71" s="1">
        <v>2267.277</v>
      </c>
      <c r="I71" s="1">
        <v>-1968.211</v>
      </c>
    </row>
    <row r="72" spans="1:9" hidden="1" x14ac:dyDescent="0.25">
      <c r="A72" s="1" t="s">
        <v>125</v>
      </c>
      <c r="B72" s="1" t="s">
        <v>168</v>
      </c>
      <c r="C72" s="1" t="s">
        <v>143</v>
      </c>
      <c r="D72" s="1">
        <v>298.95999999999998</v>
      </c>
      <c r="E72" s="1">
        <v>0</v>
      </c>
      <c r="F72" s="1">
        <v>99.4</v>
      </c>
      <c r="G72" s="1">
        <v>656.06299999999999</v>
      </c>
      <c r="H72" s="1">
        <v>1793.7619999999999</v>
      </c>
      <c r="I72" s="1">
        <v>-1793.7619999999999</v>
      </c>
    </row>
    <row r="73" spans="1:9" hidden="1" x14ac:dyDescent="0.25">
      <c r="A73" s="1" t="s">
        <v>125</v>
      </c>
      <c r="B73" s="1" t="s">
        <v>168</v>
      </c>
      <c r="C73" s="1" t="s">
        <v>3</v>
      </c>
      <c r="D73" s="1">
        <v>328.04</v>
      </c>
      <c r="E73" s="1">
        <v>0</v>
      </c>
      <c r="F73" s="1">
        <v>99.4</v>
      </c>
      <c r="G73" s="1">
        <v>656.06299999999999</v>
      </c>
      <c r="H73" s="1">
        <v>1669.144</v>
      </c>
      <c r="I73" s="1">
        <v>-1968.211</v>
      </c>
    </row>
    <row r="74" spans="1:9" hidden="1" x14ac:dyDescent="0.25">
      <c r="A74" s="1" t="s">
        <v>125</v>
      </c>
      <c r="B74" s="1" t="s">
        <v>169</v>
      </c>
      <c r="C74" s="1" t="s">
        <v>143</v>
      </c>
      <c r="D74" s="1">
        <v>298.95999999999998</v>
      </c>
      <c r="E74" s="1">
        <v>0</v>
      </c>
      <c r="F74" s="1">
        <v>99.4</v>
      </c>
      <c r="G74" s="1">
        <v>536.779</v>
      </c>
      <c r="H74" s="1">
        <v>1793.7619999999999</v>
      </c>
      <c r="I74" s="1">
        <v>-1793.7619999999999</v>
      </c>
    </row>
    <row r="75" spans="1:9" hidden="1" x14ac:dyDescent="0.25">
      <c r="A75" s="1" t="s">
        <v>125</v>
      </c>
      <c r="B75" s="1" t="s">
        <v>169</v>
      </c>
      <c r="C75" s="1" t="s">
        <v>3</v>
      </c>
      <c r="D75" s="1">
        <v>328.04</v>
      </c>
      <c r="E75" s="1">
        <v>0</v>
      </c>
      <c r="F75" s="1">
        <v>99.4</v>
      </c>
      <c r="G75" s="1">
        <v>536.779</v>
      </c>
      <c r="H75" s="1">
        <v>1669.144</v>
      </c>
      <c r="I75" s="1">
        <v>-1968.211</v>
      </c>
    </row>
    <row r="76" spans="1:9" hidden="1" x14ac:dyDescent="0.25">
      <c r="A76" s="1" t="s">
        <v>125</v>
      </c>
      <c r="B76" s="1" t="s">
        <v>170</v>
      </c>
      <c r="C76" s="1" t="s">
        <v>143</v>
      </c>
      <c r="D76" s="1">
        <v>278.91000000000003</v>
      </c>
      <c r="E76" s="1">
        <v>-99.4</v>
      </c>
      <c r="F76" s="1">
        <v>0</v>
      </c>
      <c r="G76" s="1">
        <v>656.06299999999999</v>
      </c>
      <c r="H76" s="1">
        <v>1673.461</v>
      </c>
      <c r="I76" s="1">
        <v>-1673.461</v>
      </c>
    </row>
    <row r="77" spans="1:9" hidden="1" x14ac:dyDescent="0.25">
      <c r="A77" s="1" t="s">
        <v>125</v>
      </c>
      <c r="B77" s="1" t="s">
        <v>170</v>
      </c>
      <c r="C77" s="1" t="s">
        <v>3</v>
      </c>
      <c r="D77" s="1">
        <v>305.88</v>
      </c>
      <c r="E77" s="1">
        <v>-99.4</v>
      </c>
      <c r="F77" s="1">
        <v>0</v>
      </c>
      <c r="G77" s="1">
        <v>656.06299999999999</v>
      </c>
      <c r="H77" s="1">
        <v>1835.299</v>
      </c>
      <c r="I77" s="1">
        <v>-2134.366</v>
      </c>
    </row>
    <row r="78" spans="1:9" hidden="1" x14ac:dyDescent="0.25">
      <c r="A78" s="1" t="s">
        <v>125</v>
      </c>
      <c r="B78" s="1" t="s">
        <v>171</v>
      </c>
      <c r="C78" s="1" t="s">
        <v>143</v>
      </c>
      <c r="D78" s="1">
        <v>278.91000000000003</v>
      </c>
      <c r="E78" s="1">
        <v>-99.4</v>
      </c>
      <c r="F78" s="1">
        <v>0</v>
      </c>
      <c r="G78" s="1">
        <v>536.779</v>
      </c>
      <c r="H78" s="1">
        <v>1673.461</v>
      </c>
      <c r="I78" s="1">
        <v>-1673.461</v>
      </c>
    </row>
    <row r="79" spans="1:9" hidden="1" x14ac:dyDescent="0.25">
      <c r="A79" s="1" t="s">
        <v>125</v>
      </c>
      <c r="B79" s="1" t="s">
        <v>171</v>
      </c>
      <c r="C79" s="1" t="s">
        <v>3</v>
      </c>
      <c r="D79" s="1">
        <v>305.88</v>
      </c>
      <c r="E79" s="1">
        <v>-99.4</v>
      </c>
      <c r="F79" s="1">
        <v>0</v>
      </c>
      <c r="G79" s="1">
        <v>536.779</v>
      </c>
      <c r="H79" s="1">
        <v>1835.299</v>
      </c>
      <c r="I79" s="1">
        <v>-2134.366</v>
      </c>
    </row>
    <row r="80" spans="1:9" hidden="1" x14ac:dyDescent="0.25">
      <c r="A80" s="1" t="s">
        <v>125</v>
      </c>
      <c r="B80" s="1" t="s">
        <v>172</v>
      </c>
      <c r="C80" s="1" t="s">
        <v>143</v>
      </c>
      <c r="D80" s="1">
        <v>278.91000000000003</v>
      </c>
      <c r="E80" s="1">
        <v>99.4</v>
      </c>
      <c r="F80" s="1">
        <v>0</v>
      </c>
      <c r="G80" s="1">
        <v>-656.06299999999999</v>
      </c>
      <c r="H80" s="1">
        <v>1673.461</v>
      </c>
      <c r="I80" s="1">
        <v>-1673.461</v>
      </c>
    </row>
    <row r="81" spans="1:9" hidden="1" x14ac:dyDescent="0.25">
      <c r="A81" s="1" t="s">
        <v>125</v>
      </c>
      <c r="B81" s="1" t="s">
        <v>172</v>
      </c>
      <c r="C81" s="1" t="s">
        <v>3</v>
      </c>
      <c r="D81" s="1">
        <v>305.88</v>
      </c>
      <c r="E81" s="1">
        <v>99.4</v>
      </c>
      <c r="F81" s="1">
        <v>0</v>
      </c>
      <c r="G81" s="1">
        <v>-656.06299999999999</v>
      </c>
      <c r="H81" s="1">
        <v>1835.299</v>
      </c>
      <c r="I81" s="1">
        <v>-1536.2329999999999</v>
      </c>
    </row>
    <row r="82" spans="1:9" hidden="1" x14ac:dyDescent="0.25">
      <c r="A82" s="1" t="s">
        <v>125</v>
      </c>
      <c r="B82" s="1" t="s">
        <v>173</v>
      </c>
      <c r="C82" s="1" t="s">
        <v>143</v>
      </c>
      <c r="D82" s="1">
        <v>278.91000000000003</v>
      </c>
      <c r="E82" s="1">
        <v>99.4</v>
      </c>
      <c r="F82" s="1">
        <v>0</v>
      </c>
      <c r="G82" s="1">
        <v>-536.779</v>
      </c>
      <c r="H82" s="1">
        <v>1673.461</v>
      </c>
      <c r="I82" s="1">
        <v>-1673.461</v>
      </c>
    </row>
    <row r="83" spans="1:9" hidden="1" x14ac:dyDescent="0.25">
      <c r="A83" s="1" t="s">
        <v>125</v>
      </c>
      <c r="B83" s="1" t="s">
        <v>173</v>
      </c>
      <c r="C83" s="1" t="s">
        <v>3</v>
      </c>
      <c r="D83" s="1">
        <v>305.88</v>
      </c>
      <c r="E83" s="1">
        <v>99.4</v>
      </c>
      <c r="F83" s="1">
        <v>0</v>
      </c>
      <c r="G83" s="1">
        <v>-536.779</v>
      </c>
      <c r="H83" s="1">
        <v>1835.299</v>
      </c>
      <c r="I83" s="1">
        <v>-1536.2329999999999</v>
      </c>
    </row>
    <row r="84" spans="1:9" hidden="1" x14ac:dyDescent="0.25">
      <c r="A84" s="1" t="s">
        <v>125</v>
      </c>
      <c r="B84" s="1" t="s">
        <v>174</v>
      </c>
      <c r="C84" s="1" t="s">
        <v>143</v>
      </c>
      <c r="D84" s="1">
        <v>278.91000000000003</v>
      </c>
      <c r="E84" s="1">
        <v>0</v>
      </c>
      <c r="F84" s="1">
        <v>-99.4</v>
      </c>
      <c r="G84" s="1">
        <v>-656.06299999999999</v>
      </c>
      <c r="H84" s="1">
        <v>1673.461</v>
      </c>
      <c r="I84" s="1">
        <v>-1673.461</v>
      </c>
    </row>
    <row r="85" spans="1:9" hidden="1" x14ac:dyDescent="0.25">
      <c r="A85" s="1" t="s">
        <v>125</v>
      </c>
      <c r="B85" s="1" t="s">
        <v>174</v>
      </c>
      <c r="C85" s="1" t="s">
        <v>3</v>
      </c>
      <c r="D85" s="1">
        <v>305.88</v>
      </c>
      <c r="E85" s="1">
        <v>0</v>
      </c>
      <c r="F85" s="1">
        <v>-99.4</v>
      </c>
      <c r="G85" s="1">
        <v>-656.06299999999999</v>
      </c>
      <c r="H85" s="1">
        <v>2134.366</v>
      </c>
      <c r="I85" s="1">
        <v>-1835.299</v>
      </c>
    </row>
    <row r="86" spans="1:9" hidden="1" x14ac:dyDescent="0.25">
      <c r="A86" s="1" t="s">
        <v>125</v>
      </c>
      <c r="B86" s="1" t="s">
        <v>175</v>
      </c>
      <c r="C86" s="1" t="s">
        <v>143</v>
      </c>
      <c r="D86" s="1">
        <v>278.91000000000003</v>
      </c>
      <c r="E86" s="1">
        <v>0</v>
      </c>
      <c r="F86" s="1">
        <v>-99.4</v>
      </c>
      <c r="G86" s="1">
        <v>-536.779</v>
      </c>
      <c r="H86" s="1">
        <v>1673.461</v>
      </c>
      <c r="I86" s="1">
        <v>-1673.461</v>
      </c>
    </row>
    <row r="87" spans="1:9" hidden="1" x14ac:dyDescent="0.25">
      <c r="A87" s="1" t="s">
        <v>125</v>
      </c>
      <c r="B87" s="1" t="s">
        <v>175</v>
      </c>
      <c r="C87" s="1" t="s">
        <v>3</v>
      </c>
      <c r="D87" s="1">
        <v>305.88</v>
      </c>
      <c r="E87" s="1">
        <v>0</v>
      </c>
      <c r="F87" s="1">
        <v>-99.4</v>
      </c>
      <c r="G87" s="1">
        <v>-536.779</v>
      </c>
      <c r="H87" s="1">
        <v>2134.366</v>
      </c>
      <c r="I87" s="1">
        <v>-1835.299</v>
      </c>
    </row>
    <row r="88" spans="1:9" hidden="1" x14ac:dyDescent="0.25">
      <c r="A88" s="1" t="s">
        <v>125</v>
      </c>
      <c r="B88" s="1" t="s">
        <v>176</v>
      </c>
      <c r="C88" s="1" t="s">
        <v>143</v>
      </c>
      <c r="D88" s="1">
        <v>278.91000000000003</v>
      </c>
      <c r="E88" s="1">
        <v>0</v>
      </c>
      <c r="F88" s="1">
        <v>99.4</v>
      </c>
      <c r="G88" s="1">
        <v>656.06299999999999</v>
      </c>
      <c r="H88" s="1">
        <v>1673.461</v>
      </c>
      <c r="I88" s="1">
        <v>-1673.461</v>
      </c>
    </row>
    <row r="89" spans="1:9" hidden="1" x14ac:dyDescent="0.25">
      <c r="A89" s="1" t="s">
        <v>125</v>
      </c>
      <c r="B89" s="1" t="s">
        <v>176</v>
      </c>
      <c r="C89" s="1" t="s">
        <v>3</v>
      </c>
      <c r="D89" s="1">
        <v>305.88</v>
      </c>
      <c r="E89" s="1">
        <v>0</v>
      </c>
      <c r="F89" s="1">
        <v>99.4</v>
      </c>
      <c r="G89" s="1">
        <v>656.06299999999999</v>
      </c>
      <c r="H89" s="1">
        <v>1536.2329999999999</v>
      </c>
      <c r="I89" s="1">
        <v>-1835.299</v>
      </c>
    </row>
    <row r="90" spans="1:9" hidden="1" x14ac:dyDescent="0.25">
      <c r="A90" s="1" t="s">
        <v>125</v>
      </c>
      <c r="B90" s="1" t="s">
        <v>177</v>
      </c>
      <c r="C90" s="1" t="s">
        <v>143</v>
      </c>
      <c r="D90" s="1">
        <v>278.91000000000003</v>
      </c>
      <c r="E90" s="1">
        <v>0</v>
      </c>
      <c r="F90" s="1">
        <v>99.4</v>
      </c>
      <c r="G90" s="1">
        <v>536.779</v>
      </c>
      <c r="H90" s="1">
        <v>1673.461</v>
      </c>
      <c r="I90" s="1">
        <v>-1673.461</v>
      </c>
    </row>
    <row r="91" spans="1:9" hidden="1" x14ac:dyDescent="0.25">
      <c r="A91" s="1" t="s">
        <v>125</v>
      </c>
      <c r="B91" s="1" t="s">
        <v>177</v>
      </c>
      <c r="C91" s="1" t="s">
        <v>3</v>
      </c>
      <c r="D91" s="1">
        <v>305.88</v>
      </c>
      <c r="E91" s="1">
        <v>0</v>
      </c>
      <c r="F91" s="1">
        <v>99.4</v>
      </c>
      <c r="G91" s="1">
        <v>536.779</v>
      </c>
      <c r="H91" s="1">
        <v>1536.2329999999999</v>
      </c>
      <c r="I91" s="1">
        <v>-1835.299</v>
      </c>
    </row>
    <row r="92" spans="1:9" hidden="1" x14ac:dyDescent="0.25">
      <c r="A92" s="1" t="s">
        <v>125</v>
      </c>
      <c r="B92" s="1" t="s">
        <v>178</v>
      </c>
      <c r="C92" s="1" t="s">
        <v>143</v>
      </c>
      <c r="D92" s="1">
        <v>322.35000000000002</v>
      </c>
      <c r="E92" s="1">
        <v>-29.82</v>
      </c>
      <c r="F92" s="1">
        <v>0</v>
      </c>
      <c r="G92" s="1">
        <v>196.81899999999999</v>
      </c>
      <c r="H92" s="1">
        <v>1934.1130000000001</v>
      </c>
      <c r="I92" s="1">
        <v>-1934.1130000000001</v>
      </c>
    </row>
    <row r="93" spans="1:9" hidden="1" x14ac:dyDescent="0.25">
      <c r="A93" s="1" t="s">
        <v>125</v>
      </c>
      <c r="B93" s="1" t="s">
        <v>178</v>
      </c>
      <c r="C93" s="1" t="s">
        <v>3</v>
      </c>
      <c r="D93" s="1">
        <v>353.88</v>
      </c>
      <c r="E93" s="1">
        <v>-29.82</v>
      </c>
      <c r="F93" s="1">
        <v>0</v>
      </c>
      <c r="G93" s="1">
        <v>196.81899999999999</v>
      </c>
      <c r="H93" s="1">
        <v>2123.2739999999999</v>
      </c>
      <c r="I93" s="1">
        <v>-2212.9940000000001</v>
      </c>
    </row>
    <row r="94" spans="1:9" hidden="1" x14ac:dyDescent="0.25">
      <c r="A94" s="1" t="s">
        <v>125</v>
      </c>
      <c r="B94" s="1" t="s">
        <v>179</v>
      </c>
      <c r="C94" s="1" t="s">
        <v>143</v>
      </c>
      <c r="D94" s="1">
        <v>322.35000000000002</v>
      </c>
      <c r="E94" s="1">
        <v>-29.82</v>
      </c>
      <c r="F94" s="1">
        <v>0</v>
      </c>
      <c r="G94" s="1">
        <v>161.03399999999999</v>
      </c>
      <c r="H94" s="1">
        <v>1934.1130000000001</v>
      </c>
      <c r="I94" s="1">
        <v>-1934.1130000000001</v>
      </c>
    </row>
    <row r="95" spans="1:9" hidden="1" x14ac:dyDescent="0.25">
      <c r="A95" s="1" t="s">
        <v>125</v>
      </c>
      <c r="B95" s="1" t="s">
        <v>179</v>
      </c>
      <c r="C95" s="1" t="s">
        <v>3</v>
      </c>
      <c r="D95" s="1">
        <v>353.88</v>
      </c>
      <c r="E95" s="1">
        <v>-29.82</v>
      </c>
      <c r="F95" s="1">
        <v>0</v>
      </c>
      <c r="G95" s="1">
        <v>161.03399999999999</v>
      </c>
      <c r="H95" s="1">
        <v>2123.2739999999999</v>
      </c>
      <c r="I95" s="1">
        <v>-2212.9940000000001</v>
      </c>
    </row>
    <row r="96" spans="1:9" hidden="1" x14ac:dyDescent="0.25">
      <c r="A96" s="1" t="s">
        <v>125</v>
      </c>
      <c r="B96" s="1" t="s">
        <v>180</v>
      </c>
      <c r="C96" s="1" t="s">
        <v>143</v>
      </c>
      <c r="D96" s="1">
        <v>322.35000000000002</v>
      </c>
      <c r="E96" s="1">
        <v>29.82</v>
      </c>
      <c r="F96" s="1">
        <v>0</v>
      </c>
      <c r="G96" s="1">
        <v>-196.81899999999999</v>
      </c>
      <c r="H96" s="1">
        <v>1934.1130000000001</v>
      </c>
      <c r="I96" s="1">
        <v>-1934.1130000000001</v>
      </c>
    </row>
    <row r="97" spans="1:9" hidden="1" x14ac:dyDescent="0.25">
      <c r="A97" s="1" t="s">
        <v>125</v>
      </c>
      <c r="B97" s="1" t="s">
        <v>180</v>
      </c>
      <c r="C97" s="1" t="s">
        <v>3</v>
      </c>
      <c r="D97" s="1">
        <v>353.88</v>
      </c>
      <c r="E97" s="1">
        <v>29.82</v>
      </c>
      <c r="F97" s="1">
        <v>0</v>
      </c>
      <c r="G97" s="1">
        <v>-196.81899999999999</v>
      </c>
      <c r="H97" s="1">
        <v>2123.2739999999999</v>
      </c>
      <c r="I97" s="1">
        <v>-2033.5540000000001</v>
      </c>
    </row>
    <row r="98" spans="1:9" hidden="1" x14ac:dyDescent="0.25">
      <c r="A98" s="1" t="s">
        <v>125</v>
      </c>
      <c r="B98" s="1" t="s">
        <v>181</v>
      </c>
      <c r="C98" s="1" t="s">
        <v>143</v>
      </c>
      <c r="D98" s="1">
        <v>322.35000000000002</v>
      </c>
      <c r="E98" s="1">
        <v>29.82</v>
      </c>
      <c r="F98" s="1">
        <v>0</v>
      </c>
      <c r="G98" s="1">
        <v>-161.03399999999999</v>
      </c>
      <c r="H98" s="1">
        <v>1934.1130000000001</v>
      </c>
      <c r="I98" s="1">
        <v>-1934.1130000000001</v>
      </c>
    </row>
    <row r="99" spans="1:9" hidden="1" x14ac:dyDescent="0.25">
      <c r="A99" s="1" t="s">
        <v>125</v>
      </c>
      <c r="B99" s="1" t="s">
        <v>181</v>
      </c>
      <c r="C99" s="1" t="s">
        <v>3</v>
      </c>
      <c r="D99" s="1">
        <v>353.88</v>
      </c>
      <c r="E99" s="1">
        <v>29.82</v>
      </c>
      <c r="F99" s="1">
        <v>0</v>
      </c>
      <c r="G99" s="1">
        <v>-161.03399999999999</v>
      </c>
      <c r="H99" s="1">
        <v>2123.2739999999999</v>
      </c>
      <c r="I99" s="1">
        <v>-2033.5540000000001</v>
      </c>
    </row>
    <row r="100" spans="1:9" hidden="1" x14ac:dyDescent="0.25">
      <c r="A100" s="1" t="s">
        <v>125</v>
      </c>
      <c r="B100" s="1" t="s">
        <v>182</v>
      </c>
      <c r="C100" s="1" t="s">
        <v>143</v>
      </c>
      <c r="D100" s="1">
        <v>322.35000000000002</v>
      </c>
      <c r="E100" s="1">
        <v>0</v>
      </c>
      <c r="F100" s="1">
        <v>-29.82</v>
      </c>
      <c r="G100" s="1">
        <v>-196.81899999999999</v>
      </c>
      <c r="H100" s="1">
        <v>1934.1130000000001</v>
      </c>
      <c r="I100" s="1">
        <v>-1934.1130000000001</v>
      </c>
    </row>
    <row r="101" spans="1:9" hidden="1" x14ac:dyDescent="0.25">
      <c r="A101" s="1" t="s">
        <v>125</v>
      </c>
      <c r="B101" s="1" t="s">
        <v>182</v>
      </c>
      <c r="C101" s="1" t="s">
        <v>3</v>
      </c>
      <c r="D101" s="1">
        <v>353.88</v>
      </c>
      <c r="E101" s="1">
        <v>0</v>
      </c>
      <c r="F101" s="1">
        <v>-29.82</v>
      </c>
      <c r="G101" s="1">
        <v>-196.81899999999999</v>
      </c>
      <c r="H101" s="1">
        <v>2212.9940000000001</v>
      </c>
      <c r="I101" s="1">
        <v>-2123.2739999999999</v>
      </c>
    </row>
    <row r="102" spans="1:9" hidden="1" x14ac:dyDescent="0.25">
      <c r="A102" s="1" t="s">
        <v>125</v>
      </c>
      <c r="B102" s="1" t="s">
        <v>183</v>
      </c>
      <c r="C102" s="1" t="s">
        <v>143</v>
      </c>
      <c r="D102" s="1">
        <v>322.35000000000002</v>
      </c>
      <c r="E102" s="1">
        <v>0</v>
      </c>
      <c r="F102" s="1">
        <v>-29.82</v>
      </c>
      <c r="G102" s="1">
        <v>-161.03399999999999</v>
      </c>
      <c r="H102" s="1">
        <v>1934.1130000000001</v>
      </c>
      <c r="I102" s="1">
        <v>-1934.1130000000001</v>
      </c>
    </row>
    <row r="103" spans="1:9" hidden="1" x14ac:dyDescent="0.25">
      <c r="A103" s="1" t="s">
        <v>125</v>
      </c>
      <c r="B103" s="1" t="s">
        <v>183</v>
      </c>
      <c r="C103" s="1" t="s">
        <v>3</v>
      </c>
      <c r="D103" s="1">
        <v>353.88</v>
      </c>
      <c r="E103" s="1">
        <v>0</v>
      </c>
      <c r="F103" s="1">
        <v>-29.82</v>
      </c>
      <c r="G103" s="1">
        <v>-161.03399999999999</v>
      </c>
      <c r="H103" s="1">
        <v>2212.9940000000001</v>
      </c>
      <c r="I103" s="1">
        <v>-2123.2739999999999</v>
      </c>
    </row>
    <row r="104" spans="1:9" hidden="1" x14ac:dyDescent="0.25">
      <c r="A104" s="1" t="s">
        <v>125</v>
      </c>
      <c r="B104" s="1" t="s">
        <v>184</v>
      </c>
      <c r="C104" s="1" t="s">
        <v>143</v>
      </c>
      <c r="D104" s="1">
        <v>322.35000000000002</v>
      </c>
      <c r="E104" s="1">
        <v>0</v>
      </c>
      <c r="F104" s="1">
        <v>29.82</v>
      </c>
      <c r="G104" s="1">
        <v>196.81899999999999</v>
      </c>
      <c r="H104" s="1">
        <v>1934.1130000000001</v>
      </c>
      <c r="I104" s="1">
        <v>-1934.1130000000001</v>
      </c>
    </row>
    <row r="105" spans="1:9" hidden="1" x14ac:dyDescent="0.25">
      <c r="A105" s="1" t="s">
        <v>125</v>
      </c>
      <c r="B105" s="1" t="s">
        <v>184</v>
      </c>
      <c r="C105" s="1" t="s">
        <v>3</v>
      </c>
      <c r="D105" s="1">
        <v>353.88</v>
      </c>
      <c r="E105" s="1">
        <v>0</v>
      </c>
      <c r="F105" s="1">
        <v>29.82</v>
      </c>
      <c r="G105" s="1">
        <v>196.81899999999999</v>
      </c>
      <c r="H105" s="1">
        <v>2033.5540000000001</v>
      </c>
      <c r="I105" s="1">
        <v>-2123.2739999999999</v>
      </c>
    </row>
    <row r="106" spans="1:9" hidden="1" x14ac:dyDescent="0.25">
      <c r="A106" s="1" t="s">
        <v>125</v>
      </c>
      <c r="B106" s="1" t="s">
        <v>185</v>
      </c>
      <c r="C106" s="1" t="s">
        <v>143</v>
      </c>
      <c r="D106" s="1">
        <v>322.35000000000002</v>
      </c>
      <c r="E106" s="1">
        <v>0</v>
      </c>
      <c r="F106" s="1">
        <v>29.82</v>
      </c>
      <c r="G106" s="1">
        <v>161.03399999999999</v>
      </c>
      <c r="H106" s="1">
        <v>1934.1130000000001</v>
      </c>
      <c r="I106" s="1">
        <v>-1934.1130000000001</v>
      </c>
    </row>
    <row r="107" spans="1:9" hidden="1" x14ac:dyDescent="0.25">
      <c r="A107" s="1" t="s">
        <v>125</v>
      </c>
      <c r="B107" s="1" t="s">
        <v>185</v>
      </c>
      <c r="C107" s="1" t="s">
        <v>3</v>
      </c>
      <c r="D107" s="1">
        <v>353.88</v>
      </c>
      <c r="E107" s="1">
        <v>0</v>
      </c>
      <c r="F107" s="1">
        <v>29.82</v>
      </c>
      <c r="G107" s="1">
        <v>161.03399999999999</v>
      </c>
      <c r="H107" s="1">
        <v>2033.5540000000001</v>
      </c>
      <c r="I107" s="1">
        <v>-2123.2739999999999</v>
      </c>
    </row>
    <row r="108" spans="1:9" hidden="1" x14ac:dyDescent="0.25">
      <c r="A108" s="1" t="s">
        <v>125</v>
      </c>
      <c r="B108" s="1" t="s">
        <v>186</v>
      </c>
      <c r="C108" s="1" t="s">
        <v>143</v>
      </c>
      <c r="D108" s="1">
        <v>255.52</v>
      </c>
      <c r="E108" s="1">
        <v>-29.82</v>
      </c>
      <c r="F108" s="1">
        <v>0</v>
      </c>
      <c r="G108" s="1">
        <v>196.81899999999999</v>
      </c>
      <c r="H108" s="1">
        <v>1533.11</v>
      </c>
      <c r="I108" s="1">
        <v>-1533.11</v>
      </c>
    </row>
    <row r="109" spans="1:9" hidden="1" x14ac:dyDescent="0.25">
      <c r="A109" s="1" t="s">
        <v>125</v>
      </c>
      <c r="B109" s="1" t="s">
        <v>186</v>
      </c>
      <c r="C109" s="1" t="s">
        <v>3</v>
      </c>
      <c r="D109" s="1">
        <v>280.04000000000002</v>
      </c>
      <c r="E109" s="1">
        <v>-29.82</v>
      </c>
      <c r="F109" s="1">
        <v>0</v>
      </c>
      <c r="G109" s="1">
        <v>196.81899999999999</v>
      </c>
      <c r="H109" s="1">
        <v>1680.2360000000001</v>
      </c>
      <c r="I109" s="1">
        <v>-1769.9559999999999</v>
      </c>
    </row>
    <row r="110" spans="1:9" hidden="1" x14ac:dyDescent="0.25">
      <c r="A110" s="1" t="s">
        <v>125</v>
      </c>
      <c r="B110" s="1" t="s">
        <v>187</v>
      </c>
      <c r="C110" s="1" t="s">
        <v>143</v>
      </c>
      <c r="D110" s="1">
        <v>255.52</v>
      </c>
      <c r="E110" s="1">
        <v>-29.82</v>
      </c>
      <c r="F110" s="1">
        <v>0</v>
      </c>
      <c r="G110" s="1">
        <v>161.03399999999999</v>
      </c>
      <c r="H110" s="1">
        <v>1533.11</v>
      </c>
      <c r="I110" s="1">
        <v>-1533.11</v>
      </c>
    </row>
    <row r="111" spans="1:9" hidden="1" x14ac:dyDescent="0.25">
      <c r="A111" s="1" t="s">
        <v>125</v>
      </c>
      <c r="B111" s="1" t="s">
        <v>187</v>
      </c>
      <c r="C111" s="1" t="s">
        <v>3</v>
      </c>
      <c r="D111" s="1">
        <v>280.04000000000002</v>
      </c>
      <c r="E111" s="1">
        <v>-29.82</v>
      </c>
      <c r="F111" s="1">
        <v>0</v>
      </c>
      <c r="G111" s="1">
        <v>161.03399999999999</v>
      </c>
      <c r="H111" s="1">
        <v>1680.2360000000001</v>
      </c>
      <c r="I111" s="1">
        <v>-1769.9559999999999</v>
      </c>
    </row>
    <row r="112" spans="1:9" hidden="1" x14ac:dyDescent="0.25">
      <c r="A112" s="1" t="s">
        <v>125</v>
      </c>
      <c r="B112" s="1" t="s">
        <v>188</v>
      </c>
      <c r="C112" s="1" t="s">
        <v>143</v>
      </c>
      <c r="D112" s="1">
        <v>255.52</v>
      </c>
      <c r="E112" s="1">
        <v>29.82</v>
      </c>
      <c r="F112" s="1">
        <v>0</v>
      </c>
      <c r="G112" s="1">
        <v>-196.81899999999999</v>
      </c>
      <c r="H112" s="1">
        <v>1533.11</v>
      </c>
      <c r="I112" s="1">
        <v>-1533.11</v>
      </c>
    </row>
    <row r="113" spans="1:9" hidden="1" x14ac:dyDescent="0.25">
      <c r="A113" s="1" t="s">
        <v>125</v>
      </c>
      <c r="B113" s="1" t="s">
        <v>188</v>
      </c>
      <c r="C113" s="1" t="s">
        <v>3</v>
      </c>
      <c r="D113" s="1">
        <v>280.04000000000002</v>
      </c>
      <c r="E113" s="1">
        <v>29.82</v>
      </c>
      <c r="F113" s="1">
        <v>0</v>
      </c>
      <c r="G113" s="1">
        <v>-196.81899999999999</v>
      </c>
      <c r="H113" s="1">
        <v>1680.2360000000001</v>
      </c>
      <c r="I113" s="1">
        <v>-1590.5160000000001</v>
      </c>
    </row>
    <row r="114" spans="1:9" hidden="1" x14ac:dyDescent="0.25">
      <c r="A114" s="1" t="s">
        <v>125</v>
      </c>
      <c r="B114" s="1" t="s">
        <v>189</v>
      </c>
      <c r="C114" s="1" t="s">
        <v>143</v>
      </c>
      <c r="D114" s="1">
        <v>255.52</v>
      </c>
      <c r="E114" s="1">
        <v>29.82</v>
      </c>
      <c r="F114" s="1">
        <v>0</v>
      </c>
      <c r="G114" s="1">
        <v>-161.03399999999999</v>
      </c>
      <c r="H114" s="1">
        <v>1533.11</v>
      </c>
      <c r="I114" s="1">
        <v>-1533.11</v>
      </c>
    </row>
    <row r="115" spans="1:9" hidden="1" x14ac:dyDescent="0.25">
      <c r="A115" s="1" t="s">
        <v>125</v>
      </c>
      <c r="B115" s="1" t="s">
        <v>189</v>
      </c>
      <c r="C115" s="1" t="s">
        <v>3</v>
      </c>
      <c r="D115" s="1">
        <v>280.04000000000002</v>
      </c>
      <c r="E115" s="1">
        <v>29.82</v>
      </c>
      <c r="F115" s="1">
        <v>0</v>
      </c>
      <c r="G115" s="1">
        <v>-161.03399999999999</v>
      </c>
      <c r="H115" s="1">
        <v>1680.2360000000001</v>
      </c>
      <c r="I115" s="1">
        <v>-1590.5160000000001</v>
      </c>
    </row>
    <row r="116" spans="1:9" hidden="1" x14ac:dyDescent="0.25">
      <c r="A116" s="1" t="s">
        <v>125</v>
      </c>
      <c r="B116" s="1" t="s">
        <v>190</v>
      </c>
      <c r="C116" s="1" t="s">
        <v>143</v>
      </c>
      <c r="D116" s="1">
        <v>255.52</v>
      </c>
      <c r="E116" s="1">
        <v>0</v>
      </c>
      <c r="F116" s="1">
        <v>-29.82</v>
      </c>
      <c r="G116" s="1">
        <v>-196.81899999999999</v>
      </c>
      <c r="H116" s="1">
        <v>1533.11</v>
      </c>
      <c r="I116" s="1">
        <v>-1533.11</v>
      </c>
    </row>
    <row r="117" spans="1:9" hidden="1" x14ac:dyDescent="0.25">
      <c r="A117" s="1" t="s">
        <v>125</v>
      </c>
      <c r="B117" s="1" t="s">
        <v>190</v>
      </c>
      <c r="C117" s="1" t="s">
        <v>3</v>
      </c>
      <c r="D117" s="1">
        <v>280.04000000000002</v>
      </c>
      <c r="E117" s="1">
        <v>0</v>
      </c>
      <c r="F117" s="1">
        <v>-29.82</v>
      </c>
      <c r="G117" s="1">
        <v>-196.81899999999999</v>
      </c>
      <c r="H117" s="1">
        <v>1769.9559999999999</v>
      </c>
      <c r="I117" s="1">
        <v>-1680.2360000000001</v>
      </c>
    </row>
    <row r="118" spans="1:9" hidden="1" x14ac:dyDescent="0.25">
      <c r="A118" s="1" t="s">
        <v>125</v>
      </c>
      <c r="B118" s="1" t="s">
        <v>191</v>
      </c>
      <c r="C118" s="1" t="s">
        <v>143</v>
      </c>
      <c r="D118" s="1">
        <v>255.52</v>
      </c>
      <c r="E118" s="1">
        <v>0</v>
      </c>
      <c r="F118" s="1">
        <v>-29.82</v>
      </c>
      <c r="G118" s="1">
        <v>-161.03399999999999</v>
      </c>
      <c r="H118" s="1">
        <v>1533.11</v>
      </c>
      <c r="I118" s="1">
        <v>-1533.11</v>
      </c>
    </row>
    <row r="119" spans="1:9" hidden="1" x14ac:dyDescent="0.25">
      <c r="A119" s="1" t="s">
        <v>125</v>
      </c>
      <c r="B119" s="1" t="s">
        <v>191</v>
      </c>
      <c r="C119" s="1" t="s">
        <v>3</v>
      </c>
      <c r="D119" s="1">
        <v>280.04000000000002</v>
      </c>
      <c r="E119" s="1">
        <v>0</v>
      </c>
      <c r="F119" s="1">
        <v>-29.82</v>
      </c>
      <c r="G119" s="1">
        <v>-161.03399999999999</v>
      </c>
      <c r="H119" s="1">
        <v>1769.9559999999999</v>
      </c>
      <c r="I119" s="1">
        <v>-1680.2360000000001</v>
      </c>
    </row>
    <row r="120" spans="1:9" hidden="1" x14ac:dyDescent="0.25">
      <c r="A120" s="1" t="s">
        <v>125</v>
      </c>
      <c r="B120" s="1" t="s">
        <v>192</v>
      </c>
      <c r="C120" s="1" t="s">
        <v>143</v>
      </c>
      <c r="D120" s="1">
        <v>255.52</v>
      </c>
      <c r="E120" s="1">
        <v>0</v>
      </c>
      <c r="F120" s="1">
        <v>29.82</v>
      </c>
      <c r="G120" s="1">
        <v>196.81899999999999</v>
      </c>
      <c r="H120" s="1">
        <v>1533.11</v>
      </c>
      <c r="I120" s="1">
        <v>-1533.11</v>
      </c>
    </row>
    <row r="121" spans="1:9" hidden="1" x14ac:dyDescent="0.25">
      <c r="A121" s="1" t="s">
        <v>125</v>
      </c>
      <c r="B121" s="1" t="s">
        <v>192</v>
      </c>
      <c r="C121" s="1" t="s">
        <v>3</v>
      </c>
      <c r="D121" s="1">
        <v>280.04000000000002</v>
      </c>
      <c r="E121" s="1">
        <v>0</v>
      </c>
      <c r="F121" s="1">
        <v>29.82</v>
      </c>
      <c r="G121" s="1">
        <v>196.81899999999999</v>
      </c>
      <c r="H121" s="1">
        <v>1590.5160000000001</v>
      </c>
      <c r="I121" s="1">
        <v>-1680.2360000000001</v>
      </c>
    </row>
    <row r="122" spans="1:9" hidden="1" x14ac:dyDescent="0.25">
      <c r="A122" s="1" t="s">
        <v>125</v>
      </c>
      <c r="B122" s="1" t="s">
        <v>193</v>
      </c>
      <c r="C122" s="1" t="s">
        <v>143</v>
      </c>
      <c r="D122" s="1">
        <v>255.52</v>
      </c>
      <c r="E122" s="1">
        <v>0</v>
      </c>
      <c r="F122" s="1">
        <v>29.82</v>
      </c>
      <c r="G122" s="1">
        <v>161.03399999999999</v>
      </c>
      <c r="H122" s="1">
        <v>1533.11</v>
      </c>
      <c r="I122" s="1">
        <v>-1533.11</v>
      </c>
    </row>
    <row r="123" spans="1:9" hidden="1" x14ac:dyDescent="0.25">
      <c r="A123" s="1" t="s">
        <v>125</v>
      </c>
      <c r="B123" s="1" t="s">
        <v>193</v>
      </c>
      <c r="C123" s="1" t="s">
        <v>3</v>
      </c>
      <c r="D123" s="1">
        <v>280.04000000000002</v>
      </c>
      <c r="E123" s="1">
        <v>0</v>
      </c>
      <c r="F123" s="1">
        <v>29.82</v>
      </c>
      <c r="G123" s="1">
        <v>161.03399999999999</v>
      </c>
      <c r="H123" s="1">
        <v>1590.5160000000001</v>
      </c>
      <c r="I123" s="1">
        <v>-1680.2360000000001</v>
      </c>
    </row>
    <row r="124" spans="1:9" hidden="1" x14ac:dyDescent="0.25">
      <c r="A124" s="1" t="s">
        <v>125</v>
      </c>
      <c r="B124" s="1" t="s">
        <v>194</v>
      </c>
      <c r="C124" s="1" t="s">
        <v>143</v>
      </c>
      <c r="D124" s="1">
        <v>210.53</v>
      </c>
      <c r="E124" s="1">
        <v>-99.4</v>
      </c>
      <c r="F124" s="1">
        <v>0</v>
      </c>
      <c r="G124" s="1">
        <v>656.06299999999999</v>
      </c>
      <c r="H124" s="1">
        <v>1263.1590000000001</v>
      </c>
      <c r="I124" s="1">
        <v>-1263.1590000000001</v>
      </c>
    </row>
    <row r="125" spans="1:9" hidden="1" x14ac:dyDescent="0.25">
      <c r="A125" s="1" t="s">
        <v>125</v>
      </c>
      <c r="B125" s="1" t="s">
        <v>194</v>
      </c>
      <c r="C125" s="1" t="s">
        <v>3</v>
      </c>
      <c r="D125" s="1">
        <v>232.6</v>
      </c>
      <c r="E125" s="1">
        <v>-99.4</v>
      </c>
      <c r="F125" s="1">
        <v>0</v>
      </c>
      <c r="G125" s="1">
        <v>656.06299999999999</v>
      </c>
      <c r="H125" s="1">
        <v>1395.5719999999999</v>
      </c>
      <c r="I125" s="1">
        <v>-1694.6389999999999</v>
      </c>
    </row>
    <row r="126" spans="1:9" hidden="1" x14ac:dyDescent="0.25">
      <c r="A126" s="1" t="s">
        <v>125</v>
      </c>
      <c r="B126" s="1" t="s">
        <v>195</v>
      </c>
      <c r="C126" s="1" t="s">
        <v>143</v>
      </c>
      <c r="D126" s="1">
        <v>210.53</v>
      </c>
      <c r="E126" s="1">
        <v>-99.4</v>
      </c>
      <c r="F126" s="1">
        <v>0</v>
      </c>
      <c r="G126" s="1">
        <v>536.779</v>
      </c>
      <c r="H126" s="1">
        <v>1263.1590000000001</v>
      </c>
      <c r="I126" s="1">
        <v>-1263.1590000000001</v>
      </c>
    </row>
    <row r="127" spans="1:9" hidden="1" x14ac:dyDescent="0.25">
      <c r="A127" s="1" t="s">
        <v>125</v>
      </c>
      <c r="B127" s="1" t="s">
        <v>195</v>
      </c>
      <c r="C127" s="1" t="s">
        <v>3</v>
      </c>
      <c r="D127" s="1">
        <v>232.6</v>
      </c>
      <c r="E127" s="1">
        <v>-99.4</v>
      </c>
      <c r="F127" s="1">
        <v>0</v>
      </c>
      <c r="G127" s="1">
        <v>536.779</v>
      </c>
      <c r="H127" s="1">
        <v>1395.5719999999999</v>
      </c>
      <c r="I127" s="1">
        <v>-1694.6389999999999</v>
      </c>
    </row>
    <row r="128" spans="1:9" hidden="1" x14ac:dyDescent="0.25">
      <c r="A128" s="1" t="s">
        <v>125</v>
      </c>
      <c r="B128" s="1" t="s">
        <v>196</v>
      </c>
      <c r="C128" s="1" t="s">
        <v>143</v>
      </c>
      <c r="D128" s="1">
        <v>210.53</v>
      </c>
      <c r="E128" s="1">
        <v>99.4</v>
      </c>
      <c r="F128" s="1">
        <v>0</v>
      </c>
      <c r="G128" s="1">
        <v>-656.06299999999999</v>
      </c>
      <c r="H128" s="1">
        <v>1263.1590000000001</v>
      </c>
      <c r="I128" s="1">
        <v>-1263.1590000000001</v>
      </c>
    </row>
    <row r="129" spans="1:9" hidden="1" x14ac:dyDescent="0.25">
      <c r="A129" s="1" t="s">
        <v>125</v>
      </c>
      <c r="B129" s="1" t="s">
        <v>196</v>
      </c>
      <c r="C129" s="1" t="s">
        <v>3</v>
      </c>
      <c r="D129" s="1">
        <v>232.6</v>
      </c>
      <c r="E129" s="1">
        <v>99.4</v>
      </c>
      <c r="F129" s="1">
        <v>0</v>
      </c>
      <c r="G129" s="1">
        <v>-656.06299999999999</v>
      </c>
      <c r="H129" s="1">
        <v>1395.5719999999999</v>
      </c>
      <c r="I129" s="1">
        <v>-1096.5060000000001</v>
      </c>
    </row>
    <row r="130" spans="1:9" hidden="1" x14ac:dyDescent="0.25">
      <c r="A130" s="1" t="s">
        <v>125</v>
      </c>
      <c r="B130" s="1" t="s">
        <v>197</v>
      </c>
      <c r="C130" s="1" t="s">
        <v>143</v>
      </c>
      <c r="D130" s="1">
        <v>210.53</v>
      </c>
      <c r="E130" s="1">
        <v>99.4</v>
      </c>
      <c r="F130" s="1">
        <v>0</v>
      </c>
      <c r="G130" s="1">
        <v>-536.779</v>
      </c>
      <c r="H130" s="1">
        <v>1263.1590000000001</v>
      </c>
      <c r="I130" s="1">
        <v>-1263.1590000000001</v>
      </c>
    </row>
    <row r="131" spans="1:9" hidden="1" x14ac:dyDescent="0.25">
      <c r="A131" s="1" t="s">
        <v>125</v>
      </c>
      <c r="B131" s="1" t="s">
        <v>197</v>
      </c>
      <c r="C131" s="1" t="s">
        <v>3</v>
      </c>
      <c r="D131" s="1">
        <v>232.6</v>
      </c>
      <c r="E131" s="1">
        <v>99.4</v>
      </c>
      <c r="F131" s="1">
        <v>0</v>
      </c>
      <c r="G131" s="1">
        <v>-536.779</v>
      </c>
      <c r="H131" s="1">
        <v>1395.5719999999999</v>
      </c>
      <c r="I131" s="1">
        <v>-1096.5060000000001</v>
      </c>
    </row>
    <row r="132" spans="1:9" hidden="1" x14ac:dyDescent="0.25">
      <c r="A132" s="1" t="s">
        <v>125</v>
      </c>
      <c r="B132" s="1" t="s">
        <v>198</v>
      </c>
      <c r="C132" s="1" t="s">
        <v>143</v>
      </c>
      <c r="D132" s="1">
        <v>210.53</v>
      </c>
      <c r="E132" s="1">
        <v>0</v>
      </c>
      <c r="F132" s="1">
        <v>-99.4</v>
      </c>
      <c r="G132" s="1">
        <v>-656.06299999999999</v>
      </c>
      <c r="H132" s="1">
        <v>1263.1590000000001</v>
      </c>
      <c r="I132" s="1">
        <v>-1263.1590000000001</v>
      </c>
    </row>
    <row r="133" spans="1:9" hidden="1" x14ac:dyDescent="0.25">
      <c r="A133" s="1" t="s">
        <v>125</v>
      </c>
      <c r="B133" s="1" t="s">
        <v>198</v>
      </c>
      <c r="C133" s="1" t="s">
        <v>3</v>
      </c>
      <c r="D133" s="1">
        <v>232.6</v>
      </c>
      <c r="E133" s="1">
        <v>0</v>
      </c>
      <c r="F133" s="1">
        <v>-99.4</v>
      </c>
      <c r="G133" s="1">
        <v>-656.06299999999999</v>
      </c>
      <c r="H133" s="1">
        <v>1694.6389999999999</v>
      </c>
      <c r="I133" s="1">
        <v>-1395.5719999999999</v>
      </c>
    </row>
    <row r="134" spans="1:9" hidden="1" x14ac:dyDescent="0.25">
      <c r="A134" s="1" t="s">
        <v>125</v>
      </c>
      <c r="B134" s="1" t="s">
        <v>199</v>
      </c>
      <c r="C134" s="1" t="s">
        <v>143</v>
      </c>
      <c r="D134" s="1">
        <v>210.53</v>
      </c>
      <c r="E134" s="1">
        <v>0</v>
      </c>
      <c r="F134" s="1">
        <v>-99.4</v>
      </c>
      <c r="G134" s="1">
        <v>-536.779</v>
      </c>
      <c r="H134" s="1">
        <v>1263.1590000000001</v>
      </c>
      <c r="I134" s="1">
        <v>-1263.1590000000001</v>
      </c>
    </row>
    <row r="135" spans="1:9" hidden="1" x14ac:dyDescent="0.25">
      <c r="A135" s="1" t="s">
        <v>125</v>
      </c>
      <c r="B135" s="1" t="s">
        <v>199</v>
      </c>
      <c r="C135" s="1" t="s">
        <v>3</v>
      </c>
      <c r="D135" s="1">
        <v>232.6</v>
      </c>
      <c r="E135" s="1">
        <v>0</v>
      </c>
      <c r="F135" s="1">
        <v>-99.4</v>
      </c>
      <c r="G135" s="1">
        <v>-536.779</v>
      </c>
      <c r="H135" s="1">
        <v>1694.6389999999999</v>
      </c>
      <c r="I135" s="1">
        <v>-1395.5719999999999</v>
      </c>
    </row>
    <row r="136" spans="1:9" hidden="1" x14ac:dyDescent="0.25">
      <c r="A136" s="1" t="s">
        <v>125</v>
      </c>
      <c r="B136" s="1" t="s">
        <v>200</v>
      </c>
      <c r="C136" s="1" t="s">
        <v>143</v>
      </c>
      <c r="D136" s="1">
        <v>210.53</v>
      </c>
      <c r="E136" s="1">
        <v>0</v>
      </c>
      <c r="F136" s="1">
        <v>99.4</v>
      </c>
      <c r="G136" s="1">
        <v>656.06299999999999</v>
      </c>
      <c r="H136" s="1">
        <v>1263.1590000000001</v>
      </c>
      <c r="I136" s="1">
        <v>-1263.1590000000001</v>
      </c>
    </row>
    <row r="137" spans="1:9" hidden="1" x14ac:dyDescent="0.25">
      <c r="A137" s="1" t="s">
        <v>125</v>
      </c>
      <c r="B137" s="1" t="s">
        <v>200</v>
      </c>
      <c r="C137" s="1" t="s">
        <v>3</v>
      </c>
      <c r="D137" s="1">
        <v>232.6</v>
      </c>
      <c r="E137" s="1">
        <v>0</v>
      </c>
      <c r="F137" s="1">
        <v>99.4</v>
      </c>
      <c r="G137" s="1">
        <v>656.06299999999999</v>
      </c>
      <c r="H137" s="1">
        <v>1096.5060000000001</v>
      </c>
      <c r="I137" s="1">
        <v>-1395.5719999999999</v>
      </c>
    </row>
    <row r="138" spans="1:9" hidden="1" x14ac:dyDescent="0.25">
      <c r="A138" s="1" t="s">
        <v>125</v>
      </c>
      <c r="B138" s="1" t="s">
        <v>201</v>
      </c>
      <c r="C138" s="1" t="s">
        <v>143</v>
      </c>
      <c r="D138" s="1">
        <v>210.53</v>
      </c>
      <c r="E138" s="1">
        <v>0</v>
      </c>
      <c r="F138" s="1">
        <v>99.4</v>
      </c>
      <c r="G138" s="1">
        <v>536.779</v>
      </c>
      <c r="H138" s="1">
        <v>1263.1590000000001</v>
      </c>
      <c r="I138" s="1">
        <v>-1263.1590000000001</v>
      </c>
    </row>
    <row r="139" spans="1:9" hidden="1" x14ac:dyDescent="0.25">
      <c r="A139" s="1" t="s">
        <v>125</v>
      </c>
      <c r="B139" s="1" t="s">
        <v>201</v>
      </c>
      <c r="C139" s="1" t="s">
        <v>3</v>
      </c>
      <c r="D139" s="1">
        <v>232.6</v>
      </c>
      <c r="E139" s="1">
        <v>0</v>
      </c>
      <c r="F139" s="1">
        <v>99.4</v>
      </c>
      <c r="G139" s="1">
        <v>536.779</v>
      </c>
      <c r="H139" s="1">
        <v>1096.5060000000001</v>
      </c>
      <c r="I139" s="1">
        <v>-1395.5719999999999</v>
      </c>
    </row>
    <row r="140" spans="1:9" hidden="1" x14ac:dyDescent="0.25">
      <c r="A140" s="1" t="s">
        <v>125</v>
      </c>
      <c r="B140" s="1" t="s">
        <v>202</v>
      </c>
      <c r="C140" s="1" t="s">
        <v>143</v>
      </c>
      <c r="D140" s="1">
        <v>190.48</v>
      </c>
      <c r="E140" s="1">
        <v>-99.4</v>
      </c>
      <c r="F140" s="1">
        <v>0</v>
      </c>
      <c r="G140" s="1">
        <v>656.06299999999999</v>
      </c>
      <c r="H140" s="1">
        <v>1142.8579999999999</v>
      </c>
      <c r="I140" s="1">
        <v>-1142.8579999999999</v>
      </c>
    </row>
    <row r="141" spans="1:9" hidden="1" x14ac:dyDescent="0.25">
      <c r="A141" s="1" t="s">
        <v>125</v>
      </c>
      <c r="B141" s="1" t="s">
        <v>202</v>
      </c>
      <c r="C141" s="1" t="s">
        <v>3</v>
      </c>
      <c r="D141" s="1">
        <v>210.44</v>
      </c>
      <c r="E141" s="1">
        <v>-99.4</v>
      </c>
      <c r="F141" s="1">
        <v>0</v>
      </c>
      <c r="G141" s="1">
        <v>656.06299999999999</v>
      </c>
      <c r="H141" s="1">
        <v>1262.6600000000001</v>
      </c>
      <c r="I141" s="1">
        <v>-1561.7270000000001</v>
      </c>
    </row>
    <row r="142" spans="1:9" hidden="1" x14ac:dyDescent="0.25">
      <c r="A142" s="1" t="s">
        <v>125</v>
      </c>
      <c r="B142" s="1" t="s">
        <v>203</v>
      </c>
      <c r="C142" s="1" t="s">
        <v>143</v>
      </c>
      <c r="D142" s="1">
        <v>190.48</v>
      </c>
      <c r="E142" s="1">
        <v>-99.4</v>
      </c>
      <c r="F142" s="1">
        <v>0</v>
      </c>
      <c r="G142" s="1">
        <v>536.779</v>
      </c>
      <c r="H142" s="1">
        <v>1142.8579999999999</v>
      </c>
      <c r="I142" s="1">
        <v>-1142.8579999999999</v>
      </c>
    </row>
    <row r="143" spans="1:9" hidden="1" x14ac:dyDescent="0.25">
      <c r="A143" s="1" t="s">
        <v>125</v>
      </c>
      <c r="B143" s="1" t="s">
        <v>203</v>
      </c>
      <c r="C143" s="1" t="s">
        <v>3</v>
      </c>
      <c r="D143" s="1">
        <v>210.44</v>
      </c>
      <c r="E143" s="1">
        <v>-99.4</v>
      </c>
      <c r="F143" s="1">
        <v>0</v>
      </c>
      <c r="G143" s="1">
        <v>536.779</v>
      </c>
      <c r="H143" s="1">
        <v>1262.6600000000001</v>
      </c>
      <c r="I143" s="1">
        <v>-1561.7270000000001</v>
      </c>
    </row>
    <row r="144" spans="1:9" hidden="1" x14ac:dyDescent="0.25">
      <c r="A144" s="1" t="s">
        <v>125</v>
      </c>
      <c r="B144" s="1" t="s">
        <v>204</v>
      </c>
      <c r="C144" s="1" t="s">
        <v>143</v>
      </c>
      <c r="D144" s="1">
        <v>190.48</v>
      </c>
      <c r="E144" s="1">
        <v>99.4</v>
      </c>
      <c r="F144" s="1">
        <v>0</v>
      </c>
      <c r="G144" s="1">
        <v>-656.06299999999999</v>
      </c>
      <c r="H144" s="1">
        <v>1142.8579999999999</v>
      </c>
      <c r="I144" s="1">
        <v>-1142.8579999999999</v>
      </c>
    </row>
    <row r="145" spans="1:9" hidden="1" x14ac:dyDescent="0.25">
      <c r="A145" s="1" t="s">
        <v>125</v>
      </c>
      <c r="B145" s="1" t="s">
        <v>204</v>
      </c>
      <c r="C145" s="1" t="s">
        <v>3</v>
      </c>
      <c r="D145" s="1">
        <v>210.44</v>
      </c>
      <c r="E145" s="1">
        <v>99.4</v>
      </c>
      <c r="F145" s="1">
        <v>0</v>
      </c>
      <c r="G145" s="1">
        <v>-656.06299999999999</v>
      </c>
      <c r="H145" s="1">
        <v>1262.6600000000001</v>
      </c>
      <c r="I145" s="1">
        <v>-963.59400000000005</v>
      </c>
    </row>
    <row r="146" spans="1:9" hidden="1" x14ac:dyDescent="0.25">
      <c r="A146" s="1" t="s">
        <v>125</v>
      </c>
      <c r="B146" s="1" t="s">
        <v>205</v>
      </c>
      <c r="C146" s="1" t="s">
        <v>143</v>
      </c>
      <c r="D146" s="1">
        <v>190.48</v>
      </c>
      <c r="E146" s="1">
        <v>99.4</v>
      </c>
      <c r="F146" s="1">
        <v>0</v>
      </c>
      <c r="G146" s="1">
        <v>-536.779</v>
      </c>
      <c r="H146" s="1">
        <v>1142.8579999999999</v>
      </c>
      <c r="I146" s="1">
        <v>-1142.8579999999999</v>
      </c>
    </row>
    <row r="147" spans="1:9" hidden="1" x14ac:dyDescent="0.25">
      <c r="A147" s="1" t="s">
        <v>125</v>
      </c>
      <c r="B147" s="1" t="s">
        <v>205</v>
      </c>
      <c r="C147" s="1" t="s">
        <v>3</v>
      </c>
      <c r="D147" s="1">
        <v>210.44</v>
      </c>
      <c r="E147" s="1">
        <v>99.4</v>
      </c>
      <c r="F147" s="1">
        <v>0</v>
      </c>
      <c r="G147" s="1">
        <v>-536.779</v>
      </c>
      <c r="H147" s="1">
        <v>1262.6600000000001</v>
      </c>
      <c r="I147" s="1">
        <v>-963.59400000000005</v>
      </c>
    </row>
    <row r="148" spans="1:9" hidden="1" x14ac:dyDescent="0.25">
      <c r="A148" s="1" t="s">
        <v>125</v>
      </c>
      <c r="B148" s="1" t="s">
        <v>206</v>
      </c>
      <c r="C148" s="1" t="s">
        <v>143</v>
      </c>
      <c r="D148" s="1">
        <v>190.48</v>
      </c>
      <c r="E148" s="1">
        <v>0</v>
      </c>
      <c r="F148" s="1">
        <v>-99.4</v>
      </c>
      <c r="G148" s="1">
        <v>-656.06299999999999</v>
      </c>
      <c r="H148" s="1">
        <v>1142.8579999999999</v>
      </c>
      <c r="I148" s="1">
        <v>-1142.8579999999999</v>
      </c>
    </row>
    <row r="149" spans="1:9" hidden="1" x14ac:dyDescent="0.25">
      <c r="A149" s="1" t="s">
        <v>125</v>
      </c>
      <c r="B149" s="1" t="s">
        <v>206</v>
      </c>
      <c r="C149" s="1" t="s">
        <v>3</v>
      </c>
      <c r="D149" s="1">
        <v>210.44</v>
      </c>
      <c r="E149" s="1">
        <v>0</v>
      </c>
      <c r="F149" s="1">
        <v>-99.4</v>
      </c>
      <c r="G149" s="1">
        <v>-656.06299999999999</v>
      </c>
      <c r="H149" s="1">
        <v>1561.7270000000001</v>
      </c>
      <c r="I149" s="1">
        <v>-1262.6600000000001</v>
      </c>
    </row>
    <row r="150" spans="1:9" hidden="1" x14ac:dyDescent="0.25">
      <c r="A150" s="1" t="s">
        <v>125</v>
      </c>
      <c r="B150" s="1" t="s">
        <v>207</v>
      </c>
      <c r="C150" s="1" t="s">
        <v>143</v>
      </c>
      <c r="D150" s="1">
        <v>190.48</v>
      </c>
      <c r="E150" s="1">
        <v>0</v>
      </c>
      <c r="F150" s="1">
        <v>-99.4</v>
      </c>
      <c r="G150" s="1">
        <v>-536.779</v>
      </c>
      <c r="H150" s="1">
        <v>1142.8579999999999</v>
      </c>
      <c r="I150" s="1">
        <v>-1142.8579999999999</v>
      </c>
    </row>
    <row r="151" spans="1:9" hidden="1" x14ac:dyDescent="0.25">
      <c r="A151" s="1" t="s">
        <v>125</v>
      </c>
      <c r="B151" s="1" t="s">
        <v>207</v>
      </c>
      <c r="C151" s="1" t="s">
        <v>3</v>
      </c>
      <c r="D151" s="1">
        <v>210.44</v>
      </c>
      <c r="E151" s="1">
        <v>0</v>
      </c>
      <c r="F151" s="1">
        <v>-99.4</v>
      </c>
      <c r="G151" s="1">
        <v>-536.779</v>
      </c>
      <c r="H151" s="1">
        <v>1561.7270000000001</v>
      </c>
      <c r="I151" s="1">
        <v>-1262.6600000000001</v>
      </c>
    </row>
    <row r="152" spans="1:9" hidden="1" x14ac:dyDescent="0.25">
      <c r="A152" s="1" t="s">
        <v>125</v>
      </c>
      <c r="B152" s="1" t="s">
        <v>208</v>
      </c>
      <c r="C152" s="1" t="s">
        <v>143</v>
      </c>
      <c r="D152" s="1">
        <v>190.48</v>
      </c>
      <c r="E152" s="1">
        <v>0</v>
      </c>
      <c r="F152" s="1">
        <v>99.4</v>
      </c>
      <c r="G152" s="1">
        <v>656.06299999999999</v>
      </c>
      <c r="H152" s="1">
        <v>1142.8579999999999</v>
      </c>
      <c r="I152" s="1">
        <v>-1142.8579999999999</v>
      </c>
    </row>
    <row r="153" spans="1:9" hidden="1" x14ac:dyDescent="0.25">
      <c r="A153" s="1" t="s">
        <v>125</v>
      </c>
      <c r="B153" s="1" t="s">
        <v>208</v>
      </c>
      <c r="C153" s="1" t="s">
        <v>3</v>
      </c>
      <c r="D153" s="1">
        <v>210.44</v>
      </c>
      <c r="E153" s="1">
        <v>0</v>
      </c>
      <c r="F153" s="1">
        <v>99.4</v>
      </c>
      <c r="G153" s="1">
        <v>656.06299999999999</v>
      </c>
      <c r="H153" s="1">
        <v>963.59400000000005</v>
      </c>
      <c r="I153" s="1">
        <v>-1262.6600000000001</v>
      </c>
    </row>
    <row r="154" spans="1:9" hidden="1" x14ac:dyDescent="0.25">
      <c r="A154" s="1" t="s">
        <v>125</v>
      </c>
      <c r="B154" s="1" t="s">
        <v>209</v>
      </c>
      <c r="C154" s="1" t="s">
        <v>143</v>
      </c>
      <c r="D154" s="1">
        <v>190.48</v>
      </c>
      <c r="E154" s="1">
        <v>0</v>
      </c>
      <c r="F154" s="1">
        <v>99.4</v>
      </c>
      <c r="G154" s="1">
        <v>536.779</v>
      </c>
      <c r="H154" s="1">
        <v>1142.8579999999999</v>
      </c>
      <c r="I154" s="1">
        <v>-1142.8579999999999</v>
      </c>
    </row>
    <row r="155" spans="1:9" hidden="1" x14ac:dyDescent="0.25">
      <c r="A155" s="1" t="s">
        <v>125</v>
      </c>
      <c r="B155" s="1" t="s">
        <v>209</v>
      </c>
      <c r="C155" s="1" t="s">
        <v>3</v>
      </c>
      <c r="D155" s="1">
        <v>210.44</v>
      </c>
      <c r="E155" s="1">
        <v>0</v>
      </c>
      <c r="F155" s="1">
        <v>99.4</v>
      </c>
      <c r="G155" s="1">
        <v>536.779</v>
      </c>
      <c r="H155" s="1">
        <v>963.59400000000005</v>
      </c>
      <c r="I155" s="1">
        <v>-1262.6600000000001</v>
      </c>
    </row>
    <row r="156" spans="1:9" hidden="1" x14ac:dyDescent="0.25">
      <c r="A156" s="1" t="s">
        <v>125</v>
      </c>
      <c r="B156" s="1" t="s">
        <v>210</v>
      </c>
      <c r="C156" s="1" t="s">
        <v>143</v>
      </c>
      <c r="D156" s="1">
        <v>233.92</v>
      </c>
      <c r="E156" s="1">
        <v>-29.82</v>
      </c>
      <c r="F156" s="1">
        <v>0</v>
      </c>
      <c r="G156" s="1">
        <v>196.81899999999999</v>
      </c>
      <c r="H156" s="1">
        <v>1403.51</v>
      </c>
      <c r="I156" s="1">
        <v>-1403.51</v>
      </c>
    </row>
    <row r="157" spans="1:9" hidden="1" x14ac:dyDescent="0.25">
      <c r="A157" s="1" t="s">
        <v>125</v>
      </c>
      <c r="B157" s="1" t="s">
        <v>210</v>
      </c>
      <c r="C157" s="1" t="s">
        <v>3</v>
      </c>
      <c r="D157" s="1">
        <v>258.44</v>
      </c>
      <c r="E157" s="1">
        <v>-29.82</v>
      </c>
      <c r="F157" s="1">
        <v>0</v>
      </c>
      <c r="G157" s="1">
        <v>196.81899999999999</v>
      </c>
      <c r="H157" s="1">
        <v>1550.636</v>
      </c>
      <c r="I157" s="1">
        <v>-1640.356</v>
      </c>
    </row>
    <row r="158" spans="1:9" hidden="1" x14ac:dyDescent="0.25">
      <c r="A158" s="1" t="s">
        <v>125</v>
      </c>
      <c r="B158" s="1" t="s">
        <v>211</v>
      </c>
      <c r="C158" s="1" t="s">
        <v>143</v>
      </c>
      <c r="D158" s="1">
        <v>233.92</v>
      </c>
      <c r="E158" s="1">
        <v>-29.82</v>
      </c>
      <c r="F158" s="1">
        <v>0</v>
      </c>
      <c r="G158" s="1">
        <v>161.03399999999999</v>
      </c>
      <c r="H158" s="1">
        <v>1403.51</v>
      </c>
      <c r="I158" s="1">
        <v>-1403.51</v>
      </c>
    </row>
    <row r="159" spans="1:9" hidden="1" x14ac:dyDescent="0.25">
      <c r="A159" s="1" t="s">
        <v>125</v>
      </c>
      <c r="B159" s="1" t="s">
        <v>211</v>
      </c>
      <c r="C159" s="1" t="s">
        <v>3</v>
      </c>
      <c r="D159" s="1">
        <v>258.44</v>
      </c>
      <c r="E159" s="1">
        <v>-29.82</v>
      </c>
      <c r="F159" s="1">
        <v>0</v>
      </c>
      <c r="G159" s="1">
        <v>161.03399999999999</v>
      </c>
      <c r="H159" s="1">
        <v>1550.636</v>
      </c>
      <c r="I159" s="1">
        <v>-1640.356</v>
      </c>
    </row>
    <row r="160" spans="1:9" hidden="1" x14ac:dyDescent="0.25">
      <c r="A160" s="1" t="s">
        <v>125</v>
      </c>
      <c r="B160" s="1" t="s">
        <v>212</v>
      </c>
      <c r="C160" s="1" t="s">
        <v>143</v>
      </c>
      <c r="D160" s="1">
        <v>233.92</v>
      </c>
      <c r="E160" s="1">
        <v>29.82</v>
      </c>
      <c r="F160" s="1">
        <v>0</v>
      </c>
      <c r="G160" s="1">
        <v>-196.81899999999999</v>
      </c>
      <c r="H160" s="1">
        <v>1403.51</v>
      </c>
      <c r="I160" s="1">
        <v>-1403.51</v>
      </c>
    </row>
    <row r="161" spans="1:9" hidden="1" x14ac:dyDescent="0.25">
      <c r="A161" s="1" t="s">
        <v>125</v>
      </c>
      <c r="B161" s="1" t="s">
        <v>212</v>
      </c>
      <c r="C161" s="1" t="s">
        <v>3</v>
      </c>
      <c r="D161" s="1">
        <v>258.44</v>
      </c>
      <c r="E161" s="1">
        <v>29.82</v>
      </c>
      <c r="F161" s="1">
        <v>0</v>
      </c>
      <c r="G161" s="1">
        <v>-196.81899999999999</v>
      </c>
      <c r="H161" s="1">
        <v>1550.636</v>
      </c>
      <c r="I161" s="1">
        <v>-1460.9159999999999</v>
      </c>
    </row>
    <row r="162" spans="1:9" hidden="1" x14ac:dyDescent="0.25">
      <c r="A162" s="1" t="s">
        <v>125</v>
      </c>
      <c r="B162" s="1" t="s">
        <v>213</v>
      </c>
      <c r="C162" s="1" t="s">
        <v>143</v>
      </c>
      <c r="D162" s="1">
        <v>233.92</v>
      </c>
      <c r="E162" s="1">
        <v>29.82</v>
      </c>
      <c r="F162" s="1">
        <v>0</v>
      </c>
      <c r="G162" s="1">
        <v>-161.03399999999999</v>
      </c>
      <c r="H162" s="1">
        <v>1403.51</v>
      </c>
      <c r="I162" s="1">
        <v>-1403.51</v>
      </c>
    </row>
    <row r="163" spans="1:9" hidden="1" x14ac:dyDescent="0.25">
      <c r="A163" s="1" t="s">
        <v>125</v>
      </c>
      <c r="B163" s="1" t="s">
        <v>213</v>
      </c>
      <c r="C163" s="1" t="s">
        <v>3</v>
      </c>
      <c r="D163" s="1">
        <v>258.44</v>
      </c>
      <c r="E163" s="1">
        <v>29.82</v>
      </c>
      <c r="F163" s="1">
        <v>0</v>
      </c>
      <c r="G163" s="1">
        <v>-161.03399999999999</v>
      </c>
      <c r="H163" s="1">
        <v>1550.636</v>
      </c>
      <c r="I163" s="1">
        <v>-1460.9159999999999</v>
      </c>
    </row>
    <row r="164" spans="1:9" hidden="1" x14ac:dyDescent="0.25">
      <c r="A164" s="1" t="s">
        <v>125</v>
      </c>
      <c r="B164" s="1" t="s">
        <v>214</v>
      </c>
      <c r="C164" s="1" t="s">
        <v>143</v>
      </c>
      <c r="D164" s="1">
        <v>233.92</v>
      </c>
      <c r="E164" s="1">
        <v>0</v>
      </c>
      <c r="F164" s="1">
        <v>-29.82</v>
      </c>
      <c r="G164" s="1">
        <v>-196.81899999999999</v>
      </c>
      <c r="H164" s="1">
        <v>1403.51</v>
      </c>
      <c r="I164" s="1">
        <v>-1403.51</v>
      </c>
    </row>
    <row r="165" spans="1:9" hidden="1" x14ac:dyDescent="0.25">
      <c r="A165" s="1" t="s">
        <v>125</v>
      </c>
      <c r="B165" s="1" t="s">
        <v>214</v>
      </c>
      <c r="C165" s="1" t="s">
        <v>3</v>
      </c>
      <c r="D165" s="1">
        <v>258.44</v>
      </c>
      <c r="E165" s="1">
        <v>0</v>
      </c>
      <c r="F165" s="1">
        <v>-29.82</v>
      </c>
      <c r="G165" s="1">
        <v>-196.81899999999999</v>
      </c>
      <c r="H165" s="1">
        <v>1640.356</v>
      </c>
      <c r="I165" s="1">
        <v>-1550.636</v>
      </c>
    </row>
    <row r="166" spans="1:9" hidden="1" x14ac:dyDescent="0.25">
      <c r="A166" s="1" t="s">
        <v>125</v>
      </c>
      <c r="B166" s="1" t="s">
        <v>215</v>
      </c>
      <c r="C166" s="1" t="s">
        <v>143</v>
      </c>
      <c r="D166" s="1">
        <v>233.92</v>
      </c>
      <c r="E166" s="1">
        <v>0</v>
      </c>
      <c r="F166" s="1">
        <v>-29.82</v>
      </c>
      <c r="G166" s="1">
        <v>-161.03399999999999</v>
      </c>
      <c r="H166" s="1">
        <v>1403.51</v>
      </c>
      <c r="I166" s="1">
        <v>-1403.51</v>
      </c>
    </row>
    <row r="167" spans="1:9" hidden="1" x14ac:dyDescent="0.25">
      <c r="A167" s="1" t="s">
        <v>125</v>
      </c>
      <c r="B167" s="1" t="s">
        <v>215</v>
      </c>
      <c r="C167" s="1" t="s">
        <v>3</v>
      </c>
      <c r="D167" s="1">
        <v>258.44</v>
      </c>
      <c r="E167" s="1">
        <v>0</v>
      </c>
      <c r="F167" s="1">
        <v>-29.82</v>
      </c>
      <c r="G167" s="1">
        <v>-161.03399999999999</v>
      </c>
      <c r="H167" s="1">
        <v>1640.356</v>
      </c>
      <c r="I167" s="1">
        <v>-1550.636</v>
      </c>
    </row>
    <row r="168" spans="1:9" hidden="1" x14ac:dyDescent="0.25">
      <c r="A168" s="1" t="s">
        <v>125</v>
      </c>
      <c r="B168" s="1" t="s">
        <v>216</v>
      </c>
      <c r="C168" s="1" t="s">
        <v>143</v>
      </c>
      <c r="D168" s="1">
        <v>233.92</v>
      </c>
      <c r="E168" s="1">
        <v>0</v>
      </c>
      <c r="F168" s="1">
        <v>29.82</v>
      </c>
      <c r="G168" s="1">
        <v>196.81899999999999</v>
      </c>
      <c r="H168" s="1">
        <v>1403.51</v>
      </c>
      <c r="I168" s="1">
        <v>-1403.51</v>
      </c>
    </row>
    <row r="169" spans="1:9" hidden="1" x14ac:dyDescent="0.25">
      <c r="A169" s="1" t="s">
        <v>125</v>
      </c>
      <c r="B169" s="1" t="s">
        <v>216</v>
      </c>
      <c r="C169" s="1" t="s">
        <v>3</v>
      </c>
      <c r="D169" s="1">
        <v>258.44</v>
      </c>
      <c r="E169" s="1">
        <v>0</v>
      </c>
      <c r="F169" s="1">
        <v>29.82</v>
      </c>
      <c r="G169" s="1">
        <v>196.81899999999999</v>
      </c>
      <c r="H169" s="1">
        <v>1460.9159999999999</v>
      </c>
      <c r="I169" s="1">
        <v>-1550.636</v>
      </c>
    </row>
    <row r="170" spans="1:9" hidden="1" x14ac:dyDescent="0.25">
      <c r="A170" s="1" t="s">
        <v>125</v>
      </c>
      <c r="B170" s="1" t="s">
        <v>217</v>
      </c>
      <c r="C170" s="1" t="s">
        <v>143</v>
      </c>
      <c r="D170" s="1">
        <v>233.92</v>
      </c>
      <c r="E170" s="1">
        <v>0</v>
      </c>
      <c r="F170" s="1">
        <v>29.82</v>
      </c>
      <c r="G170" s="1">
        <v>161.03399999999999</v>
      </c>
      <c r="H170" s="1">
        <v>1403.51</v>
      </c>
      <c r="I170" s="1">
        <v>-1403.51</v>
      </c>
    </row>
    <row r="171" spans="1:9" hidden="1" x14ac:dyDescent="0.25">
      <c r="A171" s="1" t="s">
        <v>125</v>
      </c>
      <c r="B171" s="1" t="s">
        <v>217</v>
      </c>
      <c r="C171" s="1" t="s">
        <v>3</v>
      </c>
      <c r="D171" s="1">
        <v>258.44</v>
      </c>
      <c r="E171" s="1">
        <v>0</v>
      </c>
      <c r="F171" s="1">
        <v>29.82</v>
      </c>
      <c r="G171" s="1">
        <v>161.03399999999999</v>
      </c>
      <c r="H171" s="1">
        <v>1460.9159999999999</v>
      </c>
      <c r="I171" s="1">
        <v>-1550.636</v>
      </c>
    </row>
    <row r="172" spans="1:9" hidden="1" x14ac:dyDescent="0.25">
      <c r="A172" s="1" t="s">
        <v>125</v>
      </c>
      <c r="B172" s="1" t="s">
        <v>218</v>
      </c>
      <c r="C172" s="1" t="s">
        <v>143</v>
      </c>
      <c r="D172" s="1">
        <v>167.08</v>
      </c>
      <c r="E172" s="1">
        <v>-29.82</v>
      </c>
      <c r="F172" s="1">
        <v>0</v>
      </c>
      <c r="G172" s="1">
        <v>196.81899999999999</v>
      </c>
      <c r="H172" s="1">
        <v>1002.5069999999999</v>
      </c>
      <c r="I172" s="1">
        <v>-1002.5069999999999</v>
      </c>
    </row>
    <row r="173" spans="1:9" hidden="1" x14ac:dyDescent="0.25">
      <c r="A173" s="1" t="s">
        <v>125</v>
      </c>
      <c r="B173" s="1" t="s">
        <v>218</v>
      </c>
      <c r="C173" s="1" t="s">
        <v>3</v>
      </c>
      <c r="D173" s="1">
        <v>184.6</v>
      </c>
      <c r="E173" s="1">
        <v>-29.82</v>
      </c>
      <c r="F173" s="1">
        <v>0</v>
      </c>
      <c r="G173" s="1">
        <v>196.81899999999999</v>
      </c>
      <c r="H173" s="1">
        <v>1107.597</v>
      </c>
      <c r="I173" s="1">
        <v>-1197.317</v>
      </c>
    </row>
    <row r="174" spans="1:9" hidden="1" x14ac:dyDescent="0.25">
      <c r="A174" s="1" t="s">
        <v>125</v>
      </c>
      <c r="B174" s="1" t="s">
        <v>219</v>
      </c>
      <c r="C174" s="1" t="s">
        <v>143</v>
      </c>
      <c r="D174" s="1">
        <v>167.08</v>
      </c>
      <c r="E174" s="1">
        <v>-29.82</v>
      </c>
      <c r="F174" s="1">
        <v>0</v>
      </c>
      <c r="G174" s="1">
        <v>161.03399999999999</v>
      </c>
      <c r="H174" s="1">
        <v>1002.5069999999999</v>
      </c>
      <c r="I174" s="1">
        <v>-1002.5069999999999</v>
      </c>
    </row>
    <row r="175" spans="1:9" hidden="1" x14ac:dyDescent="0.25">
      <c r="A175" s="1" t="s">
        <v>125</v>
      </c>
      <c r="B175" s="1" t="s">
        <v>219</v>
      </c>
      <c r="C175" s="1" t="s">
        <v>3</v>
      </c>
      <c r="D175" s="1">
        <v>184.6</v>
      </c>
      <c r="E175" s="1">
        <v>-29.82</v>
      </c>
      <c r="F175" s="1">
        <v>0</v>
      </c>
      <c r="G175" s="1">
        <v>161.03399999999999</v>
      </c>
      <c r="H175" s="1">
        <v>1107.597</v>
      </c>
      <c r="I175" s="1">
        <v>-1197.317</v>
      </c>
    </row>
    <row r="176" spans="1:9" hidden="1" x14ac:dyDescent="0.25">
      <c r="A176" s="1" t="s">
        <v>125</v>
      </c>
      <c r="B176" s="1" t="s">
        <v>220</v>
      </c>
      <c r="C176" s="1" t="s">
        <v>143</v>
      </c>
      <c r="D176" s="1">
        <v>167.08</v>
      </c>
      <c r="E176" s="1">
        <v>29.82</v>
      </c>
      <c r="F176" s="1">
        <v>0</v>
      </c>
      <c r="G176" s="1">
        <v>-196.81899999999999</v>
      </c>
      <c r="H176" s="1">
        <v>1002.5069999999999</v>
      </c>
      <c r="I176" s="1">
        <v>-1002.5069999999999</v>
      </c>
    </row>
    <row r="177" spans="1:9" hidden="1" x14ac:dyDescent="0.25">
      <c r="A177" s="1" t="s">
        <v>125</v>
      </c>
      <c r="B177" s="1" t="s">
        <v>220</v>
      </c>
      <c r="C177" s="1" t="s">
        <v>3</v>
      </c>
      <c r="D177" s="1">
        <v>184.6</v>
      </c>
      <c r="E177" s="1">
        <v>29.82</v>
      </c>
      <c r="F177" s="1">
        <v>0</v>
      </c>
      <c r="G177" s="1">
        <v>-196.81899999999999</v>
      </c>
      <c r="H177" s="1">
        <v>1107.597</v>
      </c>
      <c r="I177" s="1">
        <v>-1017.877</v>
      </c>
    </row>
    <row r="178" spans="1:9" hidden="1" x14ac:dyDescent="0.25">
      <c r="A178" s="1" t="s">
        <v>125</v>
      </c>
      <c r="B178" s="1" t="s">
        <v>221</v>
      </c>
      <c r="C178" s="1" t="s">
        <v>143</v>
      </c>
      <c r="D178" s="1">
        <v>167.08</v>
      </c>
      <c r="E178" s="1">
        <v>29.82</v>
      </c>
      <c r="F178" s="1">
        <v>0</v>
      </c>
      <c r="G178" s="1">
        <v>-161.03399999999999</v>
      </c>
      <c r="H178" s="1">
        <v>1002.5069999999999</v>
      </c>
      <c r="I178" s="1">
        <v>-1002.5069999999999</v>
      </c>
    </row>
    <row r="179" spans="1:9" hidden="1" x14ac:dyDescent="0.25">
      <c r="A179" s="1" t="s">
        <v>125</v>
      </c>
      <c r="B179" s="1" t="s">
        <v>221</v>
      </c>
      <c r="C179" s="1" t="s">
        <v>3</v>
      </c>
      <c r="D179" s="1">
        <v>184.6</v>
      </c>
      <c r="E179" s="1">
        <v>29.82</v>
      </c>
      <c r="F179" s="1">
        <v>0</v>
      </c>
      <c r="G179" s="1">
        <v>-161.03399999999999</v>
      </c>
      <c r="H179" s="1">
        <v>1107.597</v>
      </c>
      <c r="I179" s="1">
        <v>-1017.877</v>
      </c>
    </row>
    <row r="180" spans="1:9" hidden="1" x14ac:dyDescent="0.25">
      <c r="A180" s="1" t="s">
        <v>125</v>
      </c>
      <c r="B180" s="1" t="s">
        <v>222</v>
      </c>
      <c r="C180" s="1" t="s">
        <v>143</v>
      </c>
      <c r="D180" s="1">
        <v>167.08</v>
      </c>
      <c r="E180" s="1">
        <v>0</v>
      </c>
      <c r="F180" s="1">
        <v>-29.82</v>
      </c>
      <c r="G180" s="1">
        <v>-196.81899999999999</v>
      </c>
      <c r="H180" s="1">
        <v>1002.5069999999999</v>
      </c>
      <c r="I180" s="1">
        <v>-1002.5069999999999</v>
      </c>
    </row>
    <row r="181" spans="1:9" hidden="1" x14ac:dyDescent="0.25">
      <c r="A181" s="1" t="s">
        <v>125</v>
      </c>
      <c r="B181" s="1" t="s">
        <v>222</v>
      </c>
      <c r="C181" s="1" t="s">
        <v>3</v>
      </c>
      <c r="D181" s="1">
        <v>184.6</v>
      </c>
      <c r="E181" s="1">
        <v>0</v>
      </c>
      <c r="F181" s="1">
        <v>-29.82</v>
      </c>
      <c r="G181" s="1">
        <v>-196.81899999999999</v>
      </c>
      <c r="H181" s="1">
        <v>1197.317</v>
      </c>
      <c r="I181" s="1">
        <v>-1107.597</v>
      </c>
    </row>
    <row r="182" spans="1:9" hidden="1" x14ac:dyDescent="0.25">
      <c r="A182" s="1" t="s">
        <v>125</v>
      </c>
      <c r="B182" s="1" t="s">
        <v>223</v>
      </c>
      <c r="C182" s="1" t="s">
        <v>143</v>
      </c>
      <c r="D182" s="1">
        <v>167.08</v>
      </c>
      <c r="E182" s="1">
        <v>0</v>
      </c>
      <c r="F182" s="1">
        <v>-29.82</v>
      </c>
      <c r="G182" s="1">
        <v>-161.03399999999999</v>
      </c>
      <c r="H182" s="1">
        <v>1002.5069999999999</v>
      </c>
      <c r="I182" s="1">
        <v>-1002.5069999999999</v>
      </c>
    </row>
    <row r="183" spans="1:9" hidden="1" x14ac:dyDescent="0.25">
      <c r="A183" s="1" t="s">
        <v>125</v>
      </c>
      <c r="B183" s="1" t="s">
        <v>223</v>
      </c>
      <c r="C183" s="1" t="s">
        <v>3</v>
      </c>
      <c r="D183" s="1">
        <v>184.6</v>
      </c>
      <c r="E183" s="1">
        <v>0</v>
      </c>
      <c r="F183" s="1">
        <v>-29.82</v>
      </c>
      <c r="G183" s="1">
        <v>-161.03399999999999</v>
      </c>
      <c r="H183" s="1">
        <v>1197.317</v>
      </c>
      <c r="I183" s="1">
        <v>-1107.597</v>
      </c>
    </row>
    <row r="184" spans="1:9" hidden="1" x14ac:dyDescent="0.25">
      <c r="A184" s="1" t="s">
        <v>125</v>
      </c>
      <c r="B184" s="1" t="s">
        <v>224</v>
      </c>
      <c r="C184" s="1" t="s">
        <v>143</v>
      </c>
      <c r="D184" s="1">
        <v>167.08</v>
      </c>
      <c r="E184" s="1">
        <v>0</v>
      </c>
      <c r="F184" s="1">
        <v>29.82</v>
      </c>
      <c r="G184" s="1">
        <v>196.81899999999999</v>
      </c>
      <c r="H184" s="1">
        <v>1002.5069999999999</v>
      </c>
      <c r="I184" s="1">
        <v>-1002.5069999999999</v>
      </c>
    </row>
    <row r="185" spans="1:9" hidden="1" x14ac:dyDescent="0.25">
      <c r="A185" s="1" t="s">
        <v>125</v>
      </c>
      <c r="B185" s="1" t="s">
        <v>224</v>
      </c>
      <c r="C185" s="1" t="s">
        <v>3</v>
      </c>
      <c r="D185" s="1">
        <v>184.6</v>
      </c>
      <c r="E185" s="1">
        <v>0</v>
      </c>
      <c r="F185" s="1">
        <v>29.82</v>
      </c>
      <c r="G185" s="1">
        <v>196.81899999999999</v>
      </c>
      <c r="H185" s="1">
        <v>1017.877</v>
      </c>
      <c r="I185" s="1">
        <v>-1107.597</v>
      </c>
    </row>
    <row r="186" spans="1:9" hidden="1" x14ac:dyDescent="0.25">
      <c r="A186" s="1" t="s">
        <v>125</v>
      </c>
      <c r="B186" s="1" t="s">
        <v>225</v>
      </c>
      <c r="C186" s="1" t="s">
        <v>143</v>
      </c>
      <c r="D186" s="1">
        <v>167.08</v>
      </c>
      <c r="E186" s="1">
        <v>0</v>
      </c>
      <c r="F186" s="1">
        <v>29.82</v>
      </c>
      <c r="G186" s="1">
        <v>161.03399999999999</v>
      </c>
      <c r="H186" s="1">
        <v>1002.5069999999999</v>
      </c>
      <c r="I186" s="1">
        <v>-1002.5069999999999</v>
      </c>
    </row>
    <row r="187" spans="1:9" hidden="1" x14ac:dyDescent="0.25">
      <c r="A187" s="1" t="s">
        <v>125</v>
      </c>
      <c r="B187" s="1" t="s">
        <v>225</v>
      </c>
      <c r="C187" s="1" t="s">
        <v>3</v>
      </c>
      <c r="D187" s="1">
        <v>184.6</v>
      </c>
      <c r="E187" s="1">
        <v>0</v>
      </c>
      <c r="F187" s="1">
        <v>29.82</v>
      </c>
      <c r="G187" s="1">
        <v>161.03399999999999</v>
      </c>
      <c r="H187" s="1">
        <v>1017.877</v>
      </c>
      <c r="I187" s="1">
        <v>-1107.597</v>
      </c>
    </row>
    <row r="188" spans="1:9" hidden="1" x14ac:dyDescent="0.25">
      <c r="A188" s="1" t="s">
        <v>125</v>
      </c>
      <c r="B188" s="1" t="s">
        <v>226</v>
      </c>
      <c r="C188" s="1" t="s">
        <v>143</v>
      </c>
      <c r="D188" s="1">
        <v>298.95999999999998</v>
      </c>
      <c r="E188" s="1">
        <v>90.93</v>
      </c>
      <c r="F188" s="1">
        <v>0</v>
      </c>
      <c r="G188" s="1">
        <v>600.15700000000004</v>
      </c>
      <c r="H188" s="1">
        <v>1793.7619999999999</v>
      </c>
      <c r="I188" s="1">
        <v>-1793.7619999999999</v>
      </c>
    </row>
    <row r="189" spans="1:9" hidden="1" x14ac:dyDescent="0.25">
      <c r="A189" s="1" t="s">
        <v>125</v>
      </c>
      <c r="B189" s="1" t="s">
        <v>226</v>
      </c>
      <c r="C189" s="1" t="s">
        <v>3</v>
      </c>
      <c r="D189" s="1">
        <v>328.04</v>
      </c>
      <c r="E189" s="1">
        <v>90.93</v>
      </c>
      <c r="F189" s="1">
        <v>0</v>
      </c>
      <c r="G189" s="1">
        <v>600.15700000000004</v>
      </c>
      <c r="H189" s="1">
        <v>1968.211</v>
      </c>
      <c r="I189" s="1">
        <v>-1694.6010000000001</v>
      </c>
    </row>
    <row r="190" spans="1:9" hidden="1" x14ac:dyDescent="0.25">
      <c r="A190" s="1" t="s">
        <v>125</v>
      </c>
      <c r="B190" s="1" t="s">
        <v>227</v>
      </c>
      <c r="C190" s="1" t="s">
        <v>143</v>
      </c>
      <c r="D190" s="1">
        <v>298.95999999999998</v>
      </c>
      <c r="E190" s="1">
        <v>-90.93</v>
      </c>
      <c r="F190" s="1">
        <v>0</v>
      </c>
      <c r="G190" s="1">
        <v>-600.15700000000004</v>
      </c>
      <c r="H190" s="1">
        <v>1793.7619999999999</v>
      </c>
      <c r="I190" s="1">
        <v>-1793.7619999999999</v>
      </c>
    </row>
    <row r="191" spans="1:9" hidden="1" x14ac:dyDescent="0.25">
      <c r="A191" s="1" t="s">
        <v>125</v>
      </c>
      <c r="B191" s="1" t="s">
        <v>227</v>
      </c>
      <c r="C191" s="1" t="s">
        <v>3</v>
      </c>
      <c r="D191" s="1">
        <v>328.04</v>
      </c>
      <c r="E191" s="1">
        <v>-90.93</v>
      </c>
      <c r="F191" s="1">
        <v>0</v>
      </c>
      <c r="G191" s="1">
        <v>-600.15700000000004</v>
      </c>
      <c r="H191" s="1">
        <v>1968.211</v>
      </c>
      <c r="I191" s="1">
        <v>-2241.8209999999999</v>
      </c>
    </row>
    <row r="192" spans="1:9" hidden="1" x14ac:dyDescent="0.25">
      <c r="A192" s="1" t="s">
        <v>125</v>
      </c>
      <c r="B192" s="1" t="s">
        <v>228</v>
      </c>
      <c r="C192" s="1" t="s">
        <v>143</v>
      </c>
      <c r="D192" s="1">
        <v>278.91000000000003</v>
      </c>
      <c r="E192" s="1">
        <v>90.93</v>
      </c>
      <c r="F192" s="1">
        <v>0</v>
      </c>
      <c r="G192" s="1">
        <v>600.15700000000004</v>
      </c>
      <c r="H192" s="1">
        <v>1673.461</v>
      </c>
      <c r="I192" s="1">
        <v>-1673.461</v>
      </c>
    </row>
    <row r="193" spans="1:9" hidden="1" x14ac:dyDescent="0.25">
      <c r="A193" s="1" t="s">
        <v>125</v>
      </c>
      <c r="B193" s="1" t="s">
        <v>228</v>
      </c>
      <c r="C193" s="1" t="s">
        <v>3</v>
      </c>
      <c r="D193" s="1">
        <v>305.88</v>
      </c>
      <c r="E193" s="1">
        <v>90.93</v>
      </c>
      <c r="F193" s="1">
        <v>0</v>
      </c>
      <c r="G193" s="1">
        <v>600.15700000000004</v>
      </c>
      <c r="H193" s="1">
        <v>1835.299</v>
      </c>
      <c r="I193" s="1">
        <v>-1561.69</v>
      </c>
    </row>
    <row r="194" spans="1:9" hidden="1" x14ac:dyDescent="0.25">
      <c r="A194" s="1" t="s">
        <v>125</v>
      </c>
      <c r="B194" s="1" t="s">
        <v>229</v>
      </c>
      <c r="C194" s="1" t="s">
        <v>143</v>
      </c>
      <c r="D194" s="1">
        <v>278.91000000000003</v>
      </c>
      <c r="E194" s="1">
        <v>-90.93</v>
      </c>
      <c r="F194" s="1">
        <v>0</v>
      </c>
      <c r="G194" s="1">
        <v>-600.15700000000004</v>
      </c>
      <c r="H194" s="1">
        <v>1673.461</v>
      </c>
      <c r="I194" s="1">
        <v>-1673.461</v>
      </c>
    </row>
    <row r="195" spans="1:9" hidden="1" x14ac:dyDescent="0.25">
      <c r="A195" s="1" t="s">
        <v>125</v>
      </c>
      <c r="B195" s="1" t="s">
        <v>229</v>
      </c>
      <c r="C195" s="1" t="s">
        <v>3</v>
      </c>
      <c r="D195" s="1">
        <v>305.88</v>
      </c>
      <c r="E195" s="1">
        <v>-90.93</v>
      </c>
      <c r="F195" s="1">
        <v>0</v>
      </c>
      <c r="G195" s="1">
        <v>-600.15700000000004</v>
      </c>
      <c r="H195" s="1">
        <v>1835.299</v>
      </c>
      <c r="I195" s="1">
        <v>-2108.9090000000001</v>
      </c>
    </row>
    <row r="196" spans="1:9" hidden="1" x14ac:dyDescent="0.25">
      <c r="A196" s="1" t="s">
        <v>125</v>
      </c>
      <c r="B196" s="1" t="s">
        <v>230</v>
      </c>
      <c r="C196" s="1" t="s">
        <v>143</v>
      </c>
      <c r="D196" s="1">
        <v>298.95999999999998</v>
      </c>
      <c r="E196" s="1">
        <v>0</v>
      </c>
      <c r="F196" s="1">
        <v>83.36</v>
      </c>
      <c r="G196" s="1">
        <v>550.14400000000001</v>
      </c>
      <c r="H196" s="1">
        <v>1793.7619999999999</v>
      </c>
      <c r="I196" s="1">
        <v>-1793.7619999999999</v>
      </c>
    </row>
    <row r="197" spans="1:9" hidden="1" x14ac:dyDescent="0.25">
      <c r="A197" s="1" t="s">
        <v>125</v>
      </c>
      <c r="B197" s="1" t="s">
        <v>230</v>
      </c>
      <c r="C197" s="1" t="s">
        <v>3</v>
      </c>
      <c r="D197" s="1">
        <v>328.04</v>
      </c>
      <c r="E197" s="1">
        <v>0</v>
      </c>
      <c r="F197" s="1">
        <v>83.36</v>
      </c>
      <c r="G197" s="1">
        <v>550.14400000000001</v>
      </c>
      <c r="H197" s="1">
        <v>2219.02</v>
      </c>
      <c r="I197" s="1">
        <v>-1968.211</v>
      </c>
    </row>
    <row r="198" spans="1:9" hidden="1" x14ac:dyDescent="0.25">
      <c r="A198" s="1" t="s">
        <v>125</v>
      </c>
      <c r="B198" s="1" t="s">
        <v>231</v>
      </c>
      <c r="C198" s="1" t="s">
        <v>143</v>
      </c>
      <c r="D198" s="1">
        <v>298.95999999999998</v>
      </c>
      <c r="E198" s="1">
        <v>0</v>
      </c>
      <c r="F198" s="1">
        <v>-83.36</v>
      </c>
      <c r="G198" s="1">
        <v>-550.14400000000001</v>
      </c>
      <c r="H198" s="1">
        <v>1793.7619999999999</v>
      </c>
      <c r="I198" s="1">
        <v>-1793.7619999999999</v>
      </c>
    </row>
    <row r="199" spans="1:9" hidden="1" x14ac:dyDescent="0.25">
      <c r="A199" s="1" t="s">
        <v>125</v>
      </c>
      <c r="B199" s="1" t="s">
        <v>231</v>
      </c>
      <c r="C199" s="1" t="s">
        <v>3</v>
      </c>
      <c r="D199" s="1">
        <v>328.04</v>
      </c>
      <c r="E199" s="1">
        <v>0</v>
      </c>
      <c r="F199" s="1">
        <v>-83.36</v>
      </c>
      <c r="G199" s="1">
        <v>-550.14400000000001</v>
      </c>
      <c r="H199" s="1">
        <v>1717.402</v>
      </c>
      <c r="I199" s="1">
        <v>-1968.211</v>
      </c>
    </row>
    <row r="200" spans="1:9" hidden="1" x14ac:dyDescent="0.25">
      <c r="A200" s="1" t="s">
        <v>125</v>
      </c>
      <c r="B200" s="1" t="s">
        <v>232</v>
      </c>
      <c r="C200" s="1" t="s">
        <v>143</v>
      </c>
      <c r="D200" s="1">
        <v>278.91000000000003</v>
      </c>
      <c r="E200" s="1">
        <v>0</v>
      </c>
      <c r="F200" s="1">
        <v>83.36</v>
      </c>
      <c r="G200" s="1">
        <v>550.14400000000001</v>
      </c>
      <c r="H200" s="1">
        <v>1673.461</v>
      </c>
      <c r="I200" s="1">
        <v>-1673.461</v>
      </c>
    </row>
    <row r="201" spans="1:9" hidden="1" x14ac:dyDescent="0.25">
      <c r="A201" s="1" t="s">
        <v>125</v>
      </c>
      <c r="B201" s="1" t="s">
        <v>232</v>
      </c>
      <c r="C201" s="1" t="s">
        <v>3</v>
      </c>
      <c r="D201" s="1">
        <v>305.88</v>
      </c>
      <c r="E201" s="1">
        <v>0</v>
      </c>
      <c r="F201" s="1">
        <v>83.36</v>
      </c>
      <c r="G201" s="1">
        <v>550.14400000000001</v>
      </c>
      <c r="H201" s="1">
        <v>2086.1080000000002</v>
      </c>
      <c r="I201" s="1">
        <v>-1835.299</v>
      </c>
    </row>
    <row r="202" spans="1:9" hidden="1" x14ac:dyDescent="0.25">
      <c r="A202" s="1" t="s">
        <v>125</v>
      </c>
      <c r="B202" s="1" t="s">
        <v>233</v>
      </c>
      <c r="C202" s="1" t="s">
        <v>143</v>
      </c>
      <c r="D202" s="1">
        <v>278.91000000000003</v>
      </c>
      <c r="E202" s="1">
        <v>0</v>
      </c>
      <c r="F202" s="1">
        <v>-83.36</v>
      </c>
      <c r="G202" s="1">
        <v>-550.14400000000001</v>
      </c>
      <c r="H202" s="1">
        <v>1673.461</v>
      </c>
      <c r="I202" s="1">
        <v>-1673.461</v>
      </c>
    </row>
    <row r="203" spans="1:9" hidden="1" x14ac:dyDescent="0.25">
      <c r="A203" s="1" t="s">
        <v>125</v>
      </c>
      <c r="B203" s="1" t="s">
        <v>233</v>
      </c>
      <c r="C203" s="1" t="s">
        <v>3</v>
      </c>
      <c r="D203" s="1">
        <v>305.88</v>
      </c>
      <c r="E203" s="1">
        <v>0</v>
      </c>
      <c r="F203" s="1">
        <v>-83.36</v>
      </c>
      <c r="G203" s="1">
        <v>-550.14400000000001</v>
      </c>
      <c r="H203" s="1">
        <v>1584.49</v>
      </c>
      <c r="I203" s="1">
        <v>-1835.299</v>
      </c>
    </row>
    <row r="204" spans="1:9" hidden="1" x14ac:dyDescent="0.25">
      <c r="A204" s="1" t="s">
        <v>125</v>
      </c>
      <c r="B204" s="1" t="s">
        <v>234</v>
      </c>
      <c r="C204" s="1" t="s">
        <v>143</v>
      </c>
      <c r="D204" s="1">
        <v>322.35000000000002</v>
      </c>
      <c r="E204" s="1">
        <v>27.28</v>
      </c>
      <c r="F204" s="1">
        <v>0</v>
      </c>
      <c r="G204" s="1">
        <v>180.047</v>
      </c>
      <c r="H204" s="1">
        <v>1934.1130000000001</v>
      </c>
      <c r="I204" s="1">
        <v>-1934.1130000000001</v>
      </c>
    </row>
    <row r="205" spans="1:9" hidden="1" x14ac:dyDescent="0.25">
      <c r="A205" s="1" t="s">
        <v>125</v>
      </c>
      <c r="B205" s="1" t="s">
        <v>234</v>
      </c>
      <c r="C205" s="1" t="s">
        <v>3</v>
      </c>
      <c r="D205" s="1">
        <v>353.88</v>
      </c>
      <c r="E205" s="1">
        <v>27.28</v>
      </c>
      <c r="F205" s="1">
        <v>0</v>
      </c>
      <c r="G205" s="1">
        <v>180.047</v>
      </c>
      <c r="H205" s="1">
        <v>2123.2739999999999</v>
      </c>
      <c r="I205" s="1">
        <v>-2041.192</v>
      </c>
    </row>
    <row r="206" spans="1:9" hidden="1" x14ac:dyDescent="0.25">
      <c r="A206" s="1" t="s">
        <v>125</v>
      </c>
      <c r="B206" s="1" t="s">
        <v>235</v>
      </c>
      <c r="C206" s="1" t="s">
        <v>143</v>
      </c>
      <c r="D206" s="1">
        <v>322.35000000000002</v>
      </c>
      <c r="E206" s="1">
        <v>-27.28</v>
      </c>
      <c r="F206" s="1">
        <v>0</v>
      </c>
      <c r="G206" s="1">
        <v>-180.047</v>
      </c>
      <c r="H206" s="1">
        <v>1934.1130000000001</v>
      </c>
      <c r="I206" s="1">
        <v>-1934.1130000000001</v>
      </c>
    </row>
    <row r="207" spans="1:9" hidden="1" x14ac:dyDescent="0.25">
      <c r="A207" s="1" t="s">
        <v>125</v>
      </c>
      <c r="B207" s="1" t="s">
        <v>235</v>
      </c>
      <c r="C207" s="1" t="s">
        <v>3</v>
      </c>
      <c r="D207" s="1">
        <v>353.88</v>
      </c>
      <c r="E207" s="1">
        <v>-27.28</v>
      </c>
      <c r="F207" s="1">
        <v>0</v>
      </c>
      <c r="G207" s="1">
        <v>-180.047</v>
      </c>
      <c r="H207" s="1">
        <v>2123.2739999999999</v>
      </c>
      <c r="I207" s="1">
        <v>-2205.357</v>
      </c>
    </row>
    <row r="208" spans="1:9" hidden="1" x14ac:dyDescent="0.25">
      <c r="A208" s="1" t="s">
        <v>125</v>
      </c>
      <c r="B208" s="1" t="s">
        <v>236</v>
      </c>
      <c r="C208" s="1" t="s">
        <v>143</v>
      </c>
      <c r="D208" s="1">
        <v>255.52</v>
      </c>
      <c r="E208" s="1">
        <v>27.28</v>
      </c>
      <c r="F208" s="1">
        <v>0</v>
      </c>
      <c r="G208" s="1">
        <v>180.047</v>
      </c>
      <c r="H208" s="1">
        <v>1533.11</v>
      </c>
      <c r="I208" s="1">
        <v>-1533.11</v>
      </c>
    </row>
    <row r="209" spans="1:9" hidden="1" x14ac:dyDescent="0.25">
      <c r="A209" s="1" t="s">
        <v>125</v>
      </c>
      <c r="B209" s="1" t="s">
        <v>236</v>
      </c>
      <c r="C209" s="1" t="s">
        <v>3</v>
      </c>
      <c r="D209" s="1">
        <v>280.04000000000002</v>
      </c>
      <c r="E209" s="1">
        <v>27.28</v>
      </c>
      <c r="F209" s="1">
        <v>0</v>
      </c>
      <c r="G209" s="1">
        <v>180.047</v>
      </c>
      <c r="H209" s="1">
        <v>1680.2360000000001</v>
      </c>
      <c r="I209" s="1">
        <v>-1598.153</v>
      </c>
    </row>
    <row r="210" spans="1:9" hidden="1" x14ac:dyDescent="0.25">
      <c r="A210" s="1" t="s">
        <v>125</v>
      </c>
      <c r="B210" s="1" t="s">
        <v>237</v>
      </c>
      <c r="C210" s="1" t="s">
        <v>143</v>
      </c>
      <c r="D210" s="1">
        <v>255.52</v>
      </c>
      <c r="E210" s="1">
        <v>-27.28</v>
      </c>
      <c r="F210" s="1">
        <v>0</v>
      </c>
      <c r="G210" s="1">
        <v>-180.047</v>
      </c>
      <c r="H210" s="1">
        <v>1533.11</v>
      </c>
      <c r="I210" s="1">
        <v>-1533.11</v>
      </c>
    </row>
    <row r="211" spans="1:9" hidden="1" x14ac:dyDescent="0.25">
      <c r="A211" s="1" t="s">
        <v>125</v>
      </c>
      <c r="B211" s="1" t="s">
        <v>237</v>
      </c>
      <c r="C211" s="1" t="s">
        <v>3</v>
      </c>
      <c r="D211" s="1">
        <v>280.04000000000002</v>
      </c>
      <c r="E211" s="1">
        <v>-27.28</v>
      </c>
      <c r="F211" s="1">
        <v>0</v>
      </c>
      <c r="G211" s="1">
        <v>-180.047</v>
      </c>
      <c r="H211" s="1">
        <v>1680.2360000000001</v>
      </c>
      <c r="I211" s="1">
        <v>-1762.319</v>
      </c>
    </row>
    <row r="212" spans="1:9" hidden="1" x14ac:dyDescent="0.25">
      <c r="A212" s="1" t="s">
        <v>125</v>
      </c>
      <c r="B212" s="1" t="s">
        <v>238</v>
      </c>
      <c r="C212" s="1" t="s">
        <v>143</v>
      </c>
      <c r="D212" s="1">
        <v>322.35000000000002</v>
      </c>
      <c r="E212" s="1">
        <v>0</v>
      </c>
      <c r="F212" s="1">
        <v>25.01</v>
      </c>
      <c r="G212" s="1">
        <v>165.04300000000001</v>
      </c>
      <c r="H212" s="1">
        <v>1934.1130000000001</v>
      </c>
      <c r="I212" s="1">
        <v>-1934.1130000000001</v>
      </c>
    </row>
    <row r="213" spans="1:9" hidden="1" x14ac:dyDescent="0.25">
      <c r="A213" s="1" t="s">
        <v>125</v>
      </c>
      <c r="B213" s="1" t="s">
        <v>238</v>
      </c>
      <c r="C213" s="1" t="s">
        <v>3</v>
      </c>
      <c r="D213" s="1">
        <v>353.88</v>
      </c>
      <c r="E213" s="1">
        <v>0</v>
      </c>
      <c r="F213" s="1">
        <v>25.01</v>
      </c>
      <c r="G213" s="1">
        <v>165.04300000000001</v>
      </c>
      <c r="H213" s="1">
        <v>2198.5169999999998</v>
      </c>
      <c r="I213" s="1">
        <v>-2123.2739999999999</v>
      </c>
    </row>
    <row r="214" spans="1:9" hidden="1" x14ac:dyDescent="0.25">
      <c r="A214" s="1" t="s">
        <v>125</v>
      </c>
      <c r="B214" s="1" t="s">
        <v>239</v>
      </c>
      <c r="C214" s="1" t="s">
        <v>143</v>
      </c>
      <c r="D214" s="1">
        <v>322.35000000000002</v>
      </c>
      <c r="E214" s="1">
        <v>0</v>
      </c>
      <c r="F214" s="1">
        <v>-25.01</v>
      </c>
      <c r="G214" s="1">
        <v>-165.04300000000001</v>
      </c>
      <c r="H214" s="1">
        <v>1934.1130000000001</v>
      </c>
      <c r="I214" s="1">
        <v>-1934.1130000000001</v>
      </c>
    </row>
    <row r="215" spans="1:9" hidden="1" x14ac:dyDescent="0.25">
      <c r="A215" s="1" t="s">
        <v>125</v>
      </c>
      <c r="B215" s="1" t="s">
        <v>239</v>
      </c>
      <c r="C215" s="1" t="s">
        <v>3</v>
      </c>
      <c r="D215" s="1">
        <v>353.88</v>
      </c>
      <c r="E215" s="1">
        <v>0</v>
      </c>
      <c r="F215" s="1">
        <v>-25.01</v>
      </c>
      <c r="G215" s="1">
        <v>-165.04300000000001</v>
      </c>
      <c r="H215" s="1">
        <v>2048.0320000000002</v>
      </c>
      <c r="I215" s="1">
        <v>-2123.2739999999999</v>
      </c>
    </row>
    <row r="216" spans="1:9" hidden="1" x14ac:dyDescent="0.25">
      <c r="A216" s="1" t="s">
        <v>125</v>
      </c>
      <c r="B216" s="1" t="s">
        <v>240</v>
      </c>
      <c r="C216" s="1" t="s">
        <v>143</v>
      </c>
      <c r="D216" s="1">
        <v>255.52</v>
      </c>
      <c r="E216" s="1">
        <v>0</v>
      </c>
      <c r="F216" s="1">
        <v>25.01</v>
      </c>
      <c r="G216" s="1">
        <v>165.04300000000001</v>
      </c>
      <c r="H216" s="1">
        <v>1533.11</v>
      </c>
      <c r="I216" s="1">
        <v>-1533.11</v>
      </c>
    </row>
    <row r="217" spans="1:9" hidden="1" x14ac:dyDescent="0.25">
      <c r="A217" s="1" t="s">
        <v>125</v>
      </c>
      <c r="B217" s="1" t="s">
        <v>240</v>
      </c>
      <c r="C217" s="1" t="s">
        <v>3</v>
      </c>
      <c r="D217" s="1">
        <v>280.04000000000002</v>
      </c>
      <c r="E217" s="1">
        <v>0</v>
      </c>
      <c r="F217" s="1">
        <v>25.01</v>
      </c>
      <c r="G217" s="1">
        <v>165.04300000000001</v>
      </c>
      <c r="H217" s="1">
        <v>1755.4780000000001</v>
      </c>
      <c r="I217" s="1">
        <v>-1680.2360000000001</v>
      </c>
    </row>
    <row r="218" spans="1:9" hidden="1" x14ac:dyDescent="0.25">
      <c r="A218" s="1" t="s">
        <v>125</v>
      </c>
      <c r="B218" s="1" t="s">
        <v>241</v>
      </c>
      <c r="C218" s="1" t="s">
        <v>143</v>
      </c>
      <c r="D218" s="1">
        <v>255.52</v>
      </c>
      <c r="E218" s="1">
        <v>0</v>
      </c>
      <c r="F218" s="1">
        <v>-25.01</v>
      </c>
      <c r="G218" s="1">
        <v>-165.04300000000001</v>
      </c>
      <c r="H218" s="1">
        <v>1533.11</v>
      </c>
      <c r="I218" s="1">
        <v>-1533.11</v>
      </c>
    </row>
    <row r="219" spans="1:9" hidden="1" x14ac:dyDescent="0.25">
      <c r="A219" s="1" t="s">
        <v>125</v>
      </c>
      <c r="B219" s="1" t="s">
        <v>241</v>
      </c>
      <c r="C219" s="1" t="s">
        <v>3</v>
      </c>
      <c r="D219" s="1">
        <v>280.04000000000002</v>
      </c>
      <c r="E219" s="1">
        <v>0</v>
      </c>
      <c r="F219" s="1">
        <v>-25.01</v>
      </c>
      <c r="G219" s="1">
        <v>-165.04300000000001</v>
      </c>
      <c r="H219" s="1">
        <v>1604.9929999999999</v>
      </c>
      <c r="I219" s="1">
        <v>-1680.2360000000001</v>
      </c>
    </row>
    <row r="220" spans="1:9" hidden="1" x14ac:dyDescent="0.25">
      <c r="A220" s="1" t="s">
        <v>125</v>
      </c>
      <c r="B220" s="1" t="s">
        <v>242</v>
      </c>
      <c r="C220" s="1" t="s">
        <v>143</v>
      </c>
      <c r="D220" s="1">
        <v>210.53</v>
      </c>
      <c r="E220" s="1">
        <v>90.93</v>
      </c>
      <c r="F220" s="1">
        <v>0</v>
      </c>
      <c r="G220" s="1">
        <v>600.15700000000004</v>
      </c>
      <c r="H220" s="1">
        <v>1263.1590000000001</v>
      </c>
      <c r="I220" s="1">
        <v>-1263.1590000000001</v>
      </c>
    </row>
    <row r="221" spans="1:9" hidden="1" x14ac:dyDescent="0.25">
      <c r="A221" s="1" t="s">
        <v>125</v>
      </c>
      <c r="B221" s="1" t="s">
        <v>242</v>
      </c>
      <c r="C221" s="1" t="s">
        <v>3</v>
      </c>
      <c r="D221" s="1">
        <v>232.6</v>
      </c>
      <c r="E221" s="1">
        <v>90.93</v>
      </c>
      <c r="F221" s="1">
        <v>0</v>
      </c>
      <c r="G221" s="1">
        <v>600.15700000000004</v>
      </c>
      <c r="H221" s="1">
        <v>1395.5719999999999</v>
      </c>
      <c r="I221" s="1">
        <v>-1121.962</v>
      </c>
    </row>
    <row r="222" spans="1:9" hidden="1" x14ac:dyDescent="0.25">
      <c r="A222" s="1" t="s">
        <v>125</v>
      </c>
      <c r="B222" s="1" t="s">
        <v>243</v>
      </c>
      <c r="C222" s="1" t="s">
        <v>143</v>
      </c>
      <c r="D222" s="1">
        <v>210.53</v>
      </c>
      <c r="E222" s="1">
        <v>-90.93</v>
      </c>
      <c r="F222" s="1">
        <v>0</v>
      </c>
      <c r="G222" s="1">
        <v>-600.15700000000004</v>
      </c>
      <c r="H222" s="1">
        <v>1263.1590000000001</v>
      </c>
      <c r="I222" s="1">
        <v>-1263.1590000000001</v>
      </c>
    </row>
    <row r="223" spans="1:9" hidden="1" x14ac:dyDescent="0.25">
      <c r="A223" s="1" t="s">
        <v>125</v>
      </c>
      <c r="B223" s="1" t="s">
        <v>243</v>
      </c>
      <c r="C223" s="1" t="s">
        <v>3</v>
      </c>
      <c r="D223" s="1">
        <v>232.6</v>
      </c>
      <c r="E223" s="1">
        <v>-90.93</v>
      </c>
      <c r="F223" s="1">
        <v>0</v>
      </c>
      <c r="G223" s="1">
        <v>-600.15700000000004</v>
      </c>
      <c r="H223" s="1">
        <v>1395.5719999999999</v>
      </c>
      <c r="I223" s="1">
        <v>-1669.182</v>
      </c>
    </row>
    <row r="224" spans="1:9" hidden="1" x14ac:dyDescent="0.25">
      <c r="A224" s="1" t="s">
        <v>125</v>
      </c>
      <c r="B224" s="1" t="s">
        <v>244</v>
      </c>
      <c r="C224" s="1" t="s">
        <v>143</v>
      </c>
      <c r="D224" s="1">
        <v>190.48</v>
      </c>
      <c r="E224" s="1">
        <v>90.93</v>
      </c>
      <c r="F224" s="1">
        <v>0</v>
      </c>
      <c r="G224" s="1">
        <v>600.15700000000004</v>
      </c>
      <c r="H224" s="1">
        <v>1142.8579999999999</v>
      </c>
      <c r="I224" s="1">
        <v>-1142.8579999999999</v>
      </c>
    </row>
    <row r="225" spans="1:9" hidden="1" x14ac:dyDescent="0.25">
      <c r="A225" s="1" t="s">
        <v>125</v>
      </c>
      <c r="B225" s="1" t="s">
        <v>244</v>
      </c>
      <c r="C225" s="1" t="s">
        <v>3</v>
      </c>
      <c r="D225" s="1">
        <v>210.44</v>
      </c>
      <c r="E225" s="1">
        <v>90.93</v>
      </c>
      <c r="F225" s="1">
        <v>0</v>
      </c>
      <c r="G225" s="1">
        <v>600.15700000000004</v>
      </c>
      <c r="H225" s="1">
        <v>1262.6600000000001</v>
      </c>
      <c r="I225" s="1">
        <v>-989.05100000000004</v>
      </c>
    </row>
    <row r="226" spans="1:9" hidden="1" x14ac:dyDescent="0.25">
      <c r="A226" s="1" t="s">
        <v>125</v>
      </c>
      <c r="B226" s="1" t="s">
        <v>245</v>
      </c>
      <c r="C226" s="1" t="s">
        <v>143</v>
      </c>
      <c r="D226" s="1">
        <v>190.48</v>
      </c>
      <c r="E226" s="1">
        <v>-90.93</v>
      </c>
      <c r="F226" s="1">
        <v>0</v>
      </c>
      <c r="G226" s="1">
        <v>-600.15700000000004</v>
      </c>
      <c r="H226" s="1">
        <v>1142.8579999999999</v>
      </c>
      <c r="I226" s="1">
        <v>-1142.8579999999999</v>
      </c>
    </row>
    <row r="227" spans="1:9" hidden="1" x14ac:dyDescent="0.25">
      <c r="A227" s="1" t="s">
        <v>125</v>
      </c>
      <c r="B227" s="1" t="s">
        <v>245</v>
      </c>
      <c r="C227" s="1" t="s">
        <v>3</v>
      </c>
      <c r="D227" s="1">
        <v>210.44</v>
      </c>
      <c r="E227" s="1">
        <v>-90.93</v>
      </c>
      <c r="F227" s="1">
        <v>0</v>
      </c>
      <c r="G227" s="1">
        <v>-600.15700000000004</v>
      </c>
      <c r="H227" s="1">
        <v>1262.6600000000001</v>
      </c>
      <c r="I227" s="1">
        <v>-1536.27</v>
      </c>
    </row>
    <row r="228" spans="1:9" hidden="1" x14ac:dyDescent="0.25">
      <c r="A228" s="1" t="s">
        <v>125</v>
      </c>
      <c r="B228" s="1" t="s">
        <v>246</v>
      </c>
      <c r="C228" s="1" t="s">
        <v>143</v>
      </c>
      <c r="D228" s="1">
        <v>210.53</v>
      </c>
      <c r="E228" s="1">
        <v>0</v>
      </c>
      <c r="F228" s="1">
        <v>83.36</v>
      </c>
      <c r="G228" s="1">
        <v>550.14400000000001</v>
      </c>
      <c r="H228" s="1">
        <v>1263.1590000000001</v>
      </c>
      <c r="I228" s="1">
        <v>-1263.1590000000001</v>
      </c>
    </row>
    <row r="229" spans="1:9" hidden="1" x14ac:dyDescent="0.25">
      <c r="A229" s="1" t="s">
        <v>125</v>
      </c>
      <c r="B229" s="1" t="s">
        <v>246</v>
      </c>
      <c r="C229" s="1" t="s">
        <v>3</v>
      </c>
      <c r="D229" s="1">
        <v>232.6</v>
      </c>
      <c r="E229" s="1">
        <v>0</v>
      </c>
      <c r="F229" s="1">
        <v>83.36</v>
      </c>
      <c r="G229" s="1">
        <v>550.14400000000001</v>
      </c>
      <c r="H229" s="1">
        <v>1646.3810000000001</v>
      </c>
      <c r="I229" s="1">
        <v>-1395.5719999999999</v>
      </c>
    </row>
    <row r="230" spans="1:9" hidden="1" x14ac:dyDescent="0.25">
      <c r="A230" s="1" t="s">
        <v>125</v>
      </c>
      <c r="B230" s="1" t="s">
        <v>247</v>
      </c>
      <c r="C230" s="1" t="s">
        <v>143</v>
      </c>
      <c r="D230" s="1">
        <v>210.53</v>
      </c>
      <c r="E230" s="1">
        <v>0</v>
      </c>
      <c r="F230" s="1">
        <v>-83.36</v>
      </c>
      <c r="G230" s="1">
        <v>-550.14400000000001</v>
      </c>
      <c r="H230" s="1">
        <v>1263.1590000000001</v>
      </c>
      <c r="I230" s="1">
        <v>-1263.1590000000001</v>
      </c>
    </row>
    <row r="231" spans="1:9" hidden="1" x14ac:dyDescent="0.25">
      <c r="A231" s="1" t="s">
        <v>125</v>
      </c>
      <c r="B231" s="1" t="s">
        <v>247</v>
      </c>
      <c r="C231" s="1" t="s">
        <v>3</v>
      </c>
      <c r="D231" s="1">
        <v>232.6</v>
      </c>
      <c r="E231" s="1">
        <v>0</v>
      </c>
      <c r="F231" s="1">
        <v>-83.36</v>
      </c>
      <c r="G231" s="1">
        <v>-550.14400000000001</v>
      </c>
      <c r="H231" s="1">
        <v>1144.7629999999999</v>
      </c>
      <c r="I231" s="1">
        <v>-1395.5719999999999</v>
      </c>
    </row>
    <row r="232" spans="1:9" hidden="1" x14ac:dyDescent="0.25">
      <c r="A232" s="1" t="s">
        <v>125</v>
      </c>
      <c r="B232" s="1" t="s">
        <v>248</v>
      </c>
      <c r="C232" s="1" t="s">
        <v>143</v>
      </c>
      <c r="D232" s="1">
        <v>190.48</v>
      </c>
      <c r="E232" s="1">
        <v>0</v>
      </c>
      <c r="F232" s="1">
        <v>83.36</v>
      </c>
      <c r="G232" s="1">
        <v>550.14400000000001</v>
      </c>
      <c r="H232" s="1">
        <v>1142.8579999999999</v>
      </c>
      <c r="I232" s="1">
        <v>-1142.8579999999999</v>
      </c>
    </row>
    <row r="233" spans="1:9" hidden="1" x14ac:dyDescent="0.25">
      <c r="A233" s="1" t="s">
        <v>125</v>
      </c>
      <c r="B233" s="1" t="s">
        <v>248</v>
      </c>
      <c r="C233" s="1" t="s">
        <v>3</v>
      </c>
      <c r="D233" s="1">
        <v>210.44</v>
      </c>
      <c r="E233" s="1">
        <v>0</v>
      </c>
      <c r="F233" s="1">
        <v>83.36</v>
      </c>
      <c r="G233" s="1">
        <v>550.14400000000001</v>
      </c>
      <c r="H233" s="1">
        <v>1513.4690000000001</v>
      </c>
      <c r="I233" s="1">
        <v>-1262.6600000000001</v>
      </c>
    </row>
    <row r="234" spans="1:9" hidden="1" x14ac:dyDescent="0.25">
      <c r="A234" s="1" t="s">
        <v>125</v>
      </c>
      <c r="B234" s="1" t="s">
        <v>249</v>
      </c>
      <c r="C234" s="1" t="s">
        <v>143</v>
      </c>
      <c r="D234" s="1">
        <v>190.48</v>
      </c>
      <c r="E234" s="1">
        <v>0</v>
      </c>
      <c r="F234" s="1">
        <v>-83.36</v>
      </c>
      <c r="G234" s="1">
        <v>-550.14400000000001</v>
      </c>
      <c r="H234" s="1">
        <v>1142.8579999999999</v>
      </c>
      <c r="I234" s="1">
        <v>-1142.8579999999999</v>
      </c>
    </row>
    <row r="235" spans="1:9" hidden="1" x14ac:dyDescent="0.25">
      <c r="A235" s="1" t="s">
        <v>125</v>
      </c>
      <c r="B235" s="1" t="s">
        <v>249</v>
      </c>
      <c r="C235" s="1" t="s">
        <v>3</v>
      </c>
      <c r="D235" s="1">
        <v>210.44</v>
      </c>
      <c r="E235" s="1">
        <v>0</v>
      </c>
      <c r="F235" s="1">
        <v>-83.36</v>
      </c>
      <c r="G235" s="1">
        <v>-550.14400000000001</v>
      </c>
      <c r="H235" s="1">
        <v>1011.852</v>
      </c>
      <c r="I235" s="1">
        <v>-1262.6600000000001</v>
      </c>
    </row>
    <row r="236" spans="1:9" hidden="1" x14ac:dyDescent="0.25">
      <c r="A236" s="1" t="s">
        <v>125</v>
      </c>
      <c r="B236" s="1" t="s">
        <v>250</v>
      </c>
      <c r="C236" s="1" t="s">
        <v>143</v>
      </c>
      <c r="D236" s="1">
        <v>233.92</v>
      </c>
      <c r="E236" s="1">
        <v>27.28</v>
      </c>
      <c r="F236" s="1">
        <v>0</v>
      </c>
      <c r="G236" s="1">
        <v>180.047</v>
      </c>
      <c r="H236" s="1">
        <v>1403.51</v>
      </c>
      <c r="I236" s="1">
        <v>-1403.51</v>
      </c>
    </row>
    <row r="237" spans="1:9" hidden="1" x14ac:dyDescent="0.25">
      <c r="A237" s="1" t="s">
        <v>125</v>
      </c>
      <c r="B237" s="1" t="s">
        <v>250</v>
      </c>
      <c r="C237" s="1" t="s">
        <v>3</v>
      </c>
      <c r="D237" s="1">
        <v>258.44</v>
      </c>
      <c r="E237" s="1">
        <v>27.28</v>
      </c>
      <c r="F237" s="1">
        <v>0</v>
      </c>
      <c r="G237" s="1">
        <v>180.047</v>
      </c>
      <c r="H237" s="1">
        <v>1550.636</v>
      </c>
      <c r="I237" s="1">
        <v>-1468.5530000000001</v>
      </c>
    </row>
    <row r="238" spans="1:9" hidden="1" x14ac:dyDescent="0.25">
      <c r="A238" s="1" t="s">
        <v>125</v>
      </c>
      <c r="B238" s="1" t="s">
        <v>251</v>
      </c>
      <c r="C238" s="1" t="s">
        <v>143</v>
      </c>
      <c r="D238" s="1">
        <v>233.92</v>
      </c>
      <c r="E238" s="1">
        <v>-27.28</v>
      </c>
      <c r="F238" s="1">
        <v>0</v>
      </c>
      <c r="G238" s="1">
        <v>-180.047</v>
      </c>
      <c r="H238" s="1">
        <v>1403.51</v>
      </c>
      <c r="I238" s="1">
        <v>-1403.51</v>
      </c>
    </row>
    <row r="239" spans="1:9" hidden="1" x14ac:dyDescent="0.25">
      <c r="A239" s="1" t="s">
        <v>125</v>
      </c>
      <c r="B239" s="1" t="s">
        <v>251</v>
      </c>
      <c r="C239" s="1" t="s">
        <v>3</v>
      </c>
      <c r="D239" s="1">
        <v>258.44</v>
      </c>
      <c r="E239" s="1">
        <v>-27.28</v>
      </c>
      <c r="F239" s="1">
        <v>0</v>
      </c>
      <c r="G239" s="1">
        <v>-180.047</v>
      </c>
      <c r="H239" s="1">
        <v>1550.636</v>
      </c>
      <c r="I239" s="1">
        <v>-1632.7190000000001</v>
      </c>
    </row>
    <row r="240" spans="1:9" hidden="1" x14ac:dyDescent="0.25">
      <c r="A240" s="1" t="s">
        <v>125</v>
      </c>
      <c r="B240" s="1" t="s">
        <v>252</v>
      </c>
      <c r="C240" s="1" t="s">
        <v>143</v>
      </c>
      <c r="D240" s="1">
        <v>167.08</v>
      </c>
      <c r="E240" s="1">
        <v>27.28</v>
      </c>
      <c r="F240" s="1">
        <v>0</v>
      </c>
      <c r="G240" s="1">
        <v>180.047</v>
      </c>
      <c r="H240" s="1">
        <v>1002.5069999999999</v>
      </c>
      <c r="I240" s="1">
        <v>-1002.5069999999999</v>
      </c>
    </row>
    <row r="241" spans="1:9" hidden="1" x14ac:dyDescent="0.25">
      <c r="A241" s="1" t="s">
        <v>125</v>
      </c>
      <c r="B241" s="1" t="s">
        <v>252</v>
      </c>
      <c r="C241" s="1" t="s">
        <v>3</v>
      </c>
      <c r="D241" s="1">
        <v>184.6</v>
      </c>
      <c r="E241" s="1">
        <v>27.28</v>
      </c>
      <c r="F241" s="1">
        <v>0</v>
      </c>
      <c r="G241" s="1">
        <v>180.047</v>
      </c>
      <c r="H241" s="1">
        <v>1107.597</v>
      </c>
      <c r="I241" s="1">
        <v>-1025.5139999999999</v>
      </c>
    </row>
    <row r="242" spans="1:9" hidden="1" x14ac:dyDescent="0.25">
      <c r="A242" s="1" t="s">
        <v>125</v>
      </c>
      <c r="B242" s="1" t="s">
        <v>253</v>
      </c>
      <c r="C242" s="1" t="s">
        <v>143</v>
      </c>
      <c r="D242" s="1">
        <v>167.08</v>
      </c>
      <c r="E242" s="1">
        <v>-27.28</v>
      </c>
      <c r="F242" s="1">
        <v>0</v>
      </c>
      <c r="G242" s="1">
        <v>-180.047</v>
      </c>
      <c r="H242" s="1">
        <v>1002.5069999999999</v>
      </c>
      <c r="I242" s="1">
        <v>-1002.5069999999999</v>
      </c>
    </row>
    <row r="243" spans="1:9" hidden="1" x14ac:dyDescent="0.25">
      <c r="A243" s="1" t="s">
        <v>125</v>
      </c>
      <c r="B243" s="1" t="s">
        <v>253</v>
      </c>
      <c r="C243" s="1" t="s">
        <v>3</v>
      </c>
      <c r="D243" s="1">
        <v>184.6</v>
      </c>
      <c r="E243" s="1">
        <v>-27.28</v>
      </c>
      <c r="F243" s="1">
        <v>0</v>
      </c>
      <c r="G243" s="1">
        <v>-180.047</v>
      </c>
      <c r="H243" s="1">
        <v>1107.597</v>
      </c>
      <c r="I243" s="1">
        <v>-1189.68</v>
      </c>
    </row>
    <row r="244" spans="1:9" hidden="1" x14ac:dyDescent="0.25">
      <c r="A244" s="1" t="s">
        <v>125</v>
      </c>
      <c r="B244" s="1" t="s">
        <v>254</v>
      </c>
      <c r="C244" s="1" t="s">
        <v>143</v>
      </c>
      <c r="D244" s="1">
        <v>233.92</v>
      </c>
      <c r="E244" s="1">
        <v>0</v>
      </c>
      <c r="F244" s="1">
        <v>25.01</v>
      </c>
      <c r="G244" s="1">
        <v>165.04300000000001</v>
      </c>
      <c r="H244" s="1">
        <v>1403.51</v>
      </c>
      <c r="I244" s="1">
        <v>-1403.51</v>
      </c>
    </row>
    <row r="245" spans="1:9" hidden="1" x14ac:dyDescent="0.25">
      <c r="A245" s="1" t="s">
        <v>125</v>
      </c>
      <c r="B245" s="1" t="s">
        <v>254</v>
      </c>
      <c r="C245" s="1" t="s">
        <v>3</v>
      </c>
      <c r="D245" s="1">
        <v>258.44</v>
      </c>
      <c r="E245" s="1">
        <v>0</v>
      </c>
      <c r="F245" s="1">
        <v>25.01</v>
      </c>
      <c r="G245" s="1">
        <v>165.04300000000001</v>
      </c>
      <c r="H245" s="1">
        <v>1625.8779999999999</v>
      </c>
      <c r="I245" s="1">
        <v>-1550.636</v>
      </c>
    </row>
    <row r="246" spans="1:9" hidden="1" x14ac:dyDescent="0.25">
      <c r="A246" s="1" t="s">
        <v>125</v>
      </c>
      <c r="B246" s="1" t="s">
        <v>255</v>
      </c>
      <c r="C246" s="1" t="s">
        <v>143</v>
      </c>
      <c r="D246" s="1">
        <v>233.92</v>
      </c>
      <c r="E246" s="1">
        <v>0</v>
      </c>
      <c r="F246" s="1">
        <v>-25.01</v>
      </c>
      <c r="G246" s="1">
        <v>-165.04300000000001</v>
      </c>
      <c r="H246" s="1">
        <v>1403.51</v>
      </c>
      <c r="I246" s="1">
        <v>-1403.51</v>
      </c>
    </row>
    <row r="247" spans="1:9" hidden="1" x14ac:dyDescent="0.25">
      <c r="A247" s="1" t="s">
        <v>125</v>
      </c>
      <c r="B247" s="1" t="s">
        <v>255</v>
      </c>
      <c r="C247" s="1" t="s">
        <v>3</v>
      </c>
      <c r="D247" s="1">
        <v>258.44</v>
      </c>
      <c r="E247" s="1">
        <v>0</v>
      </c>
      <c r="F247" s="1">
        <v>-25.01</v>
      </c>
      <c r="G247" s="1">
        <v>-165.04300000000001</v>
      </c>
      <c r="H247" s="1">
        <v>1475.393</v>
      </c>
      <c r="I247" s="1">
        <v>-1550.636</v>
      </c>
    </row>
    <row r="248" spans="1:9" hidden="1" x14ac:dyDescent="0.25">
      <c r="A248" s="1" t="s">
        <v>125</v>
      </c>
      <c r="B248" s="1" t="s">
        <v>256</v>
      </c>
      <c r="C248" s="1" t="s">
        <v>143</v>
      </c>
      <c r="D248" s="1">
        <v>167.08</v>
      </c>
      <c r="E248" s="1">
        <v>0</v>
      </c>
      <c r="F248" s="1">
        <v>25.01</v>
      </c>
      <c r="G248" s="1">
        <v>165.04300000000001</v>
      </c>
      <c r="H248" s="1">
        <v>1002.5069999999999</v>
      </c>
      <c r="I248" s="1">
        <v>-1002.5069999999999</v>
      </c>
    </row>
    <row r="249" spans="1:9" hidden="1" x14ac:dyDescent="0.25">
      <c r="A249" s="1" t="s">
        <v>125</v>
      </c>
      <c r="B249" s="1" t="s">
        <v>256</v>
      </c>
      <c r="C249" s="1" t="s">
        <v>3</v>
      </c>
      <c r="D249" s="1">
        <v>184.6</v>
      </c>
      <c r="E249" s="1">
        <v>0</v>
      </c>
      <c r="F249" s="1">
        <v>25.01</v>
      </c>
      <c r="G249" s="1">
        <v>165.04300000000001</v>
      </c>
      <c r="H249" s="1">
        <v>1182.8399999999999</v>
      </c>
      <c r="I249" s="1">
        <v>-1107.597</v>
      </c>
    </row>
    <row r="250" spans="1:9" hidden="1" x14ac:dyDescent="0.25">
      <c r="A250" s="1" t="s">
        <v>125</v>
      </c>
      <c r="B250" s="1" t="s">
        <v>257</v>
      </c>
      <c r="C250" s="1" t="s">
        <v>143</v>
      </c>
      <c r="D250" s="1">
        <v>167.08</v>
      </c>
      <c r="E250" s="1">
        <v>0</v>
      </c>
      <c r="F250" s="1">
        <v>-25.01</v>
      </c>
      <c r="G250" s="1">
        <v>-165.04300000000001</v>
      </c>
      <c r="H250" s="1">
        <v>1002.5069999999999</v>
      </c>
      <c r="I250" s="1">
        <v>-1002.5069999999999</v>
      </c>
    </row>
    <row r="251" spans="1:9" hidden="1" x14ac:dyDescent="0.25">
      <c r="A251" s="1" t="s">
        <v>125</v>
      </c>
      <c r="B251" s="1" t="s">
        <v>257</v>
      </c>
      <c r="C251" s="1" t="s">
        <v>3</v>
      </c>
      <c r="D251" s="1">
        <v>184.6</v>
      </c>
      <c r="E251" s="1">
        <v>0</v>
      </c>
      <c r="F251" s="1">
        <v>-25.01</v>
      </c>
      <c r="G251" s="1">
        <v>-165.04300000000001</v>
      </c>
      <c r="H251" s="1">
        <v>1032.354</v>
      </c>
      <c r="I251" s="1">
        <v>-1107.597</v>
      </c>
    </row>
    <row r="252" spans="1:9" hidden="1" x14ac:dyDescent="0.25">
      <c r="A252" s="1" t="s">
        <v>126</v>
      </c>
      <c r="B252" s="1" t="s">
        <v>2</v>
      </c>
      <c r="C252" s="1" t="s">
        <v>143</v>
      </c>
      <c r="D252" s="1">
        <v>468.91</v>
      </c>
      <c r="E252" s="1">
        <v>0</v>
      </c>
      <c r="F252" s="1">
        <v>0</v>
      </c>
      <c r="G252" s="1">
        <v>0</v>
      </c>
      <c r="H252" s="1">
        <v>2813.4720000000002</v>
      </c>
      <c r="I252" s="1">
        <v>-2813.4720000000002</v>
      </c>
    </row>
    <row r="253" spans="1:9" x14ac:dyDescent="0.25">
      <c r="A253" s="1" t="s">
        <v>126</v>
      </c>
      <c r="B253" s="1" t="s">
        <v>2</v>
      </c>
      <c r="C253" s="1" t="s">
        <v>3</v>
      </c>
      <c r="D253" s="1">
        <v>492.27</v>
      </c>
      <c r="E253" s="1">
        <v>0</v>
      </c>
      <c r="F253" s="1">
        <v>0</v>
      </c>
      <c r="G253" s="1">
        <v>0</v>
      </c>
      <c r="H253" s="1">
        <v>2953.5920000000001</v>
      </c>
      <c r="I253" s="1">
        <v>-2953.5920000000001</v>
      </c>
    </row>
    <row r="254" spans="1:9" hidden="1" x14ac:dyDescent="0.25">
      <c r="A254" s="1" t="s">
        <v>126</v>
      </c>
      <c r="B254" s="1" t="s">
        <v>144</v>
      </c>
      <c r="C254" s="1" t="s">
        <v>143</v>
      </c>
      <c r="D254" s="1">
        <v>86.4</v>
      </c>
      <c r="E254" s="1">
        <v>0</v>
      </c>
      <c r="F254" s="1">
        <v>0</v>
      </c>
      <c r="G254" s="1">
        <v>0</v>
      </c>
      <c r="H254" s="1">
        <v>518.4</v>
      </c>
      <c r="I254" s="1">
        <v>-518.4</v>
      </c>
    </row>
    <row r="255" spans="1:9" hidden="1" x14ac:dyDescent="0.25">
      <c r="A255" s="1" t="s">
        <v>126</v>
      </c>
      <c r="B255" s="1" t="s">
        <v>144</v>
      </c>
      <c r="C255" s="1" t="s">
        <v>3</v>
      </c>
      <c r="D255" s="1">
        <v>86.4</v>
      </c>
      <c r="E255" s="1">
        <v>0</v>
      </c>
      <c r="F255" s="1">
        <v>0</v>
      </c>
      <c r="G255" s="1">
        <v>0</v>
      </c>
      <c r="H255" s="1">
        <v>518.4</v>
      </c>
      <c r="I255" s="1">
        <v>-518.4</v>
      </c>
    </row>
    <row r="256" spans="1:9" hidden="1" x14ac:dyDescent="0.25">
      <c r="A256" s="1" t="s">
        <v>126</v>
      </c>
      <c r="B256" s="1" t="s">
        <v>12</v>
      </c>
      <c r="C256" s="1" t="s">
        <v>143</v>
      </c>
      <c r="D256" s="1">
        <v>0</v>
      </c>
      <c r="E256" s="1">
        <v>-177.77</v>
      </c>
      <c r="F256" s="1">
        <v>0</v>
      </c>
      <c r="G256" s="1">
        <v>1173.2660000000001</v>
      </c>
      <c r="H256" s="1">
        <v>0</v>
      </c>
      <c r="I256" s="1">
        <v>-299.06700000000001</v>
      </c>
    </row>
    <row r="257" spans="1:9" hidden="1" x14ac:dyDescent="0.25">
      <c r="A257" s="1" t="s">
        <v>126</v>
      </c>
      <c r="B257" s="1" t="s">
        <v>12</v>
      </c>
      <c r="C257" s="1" t="s">
        <v>3</v>
      </c>
      <c r="D257" s="1">
        <v>0</v>
      </c>
      <c r="E257" s="1">
        <v>-177.77</v>
      </c>
      <c r="F257" s="1">
        <v>0</v>
      </c>
      <c r="G257" s="1">
        <v>1173.2660000000001</v>
      </c>
      <c r="H257" s="1">
        <v>0</v>
      </c>
      <c r="I257" s="1">
        <v>-835.30700000000002</v>
      </c>
    </row>
    <row r="258" spans="1:9" hidden="1" x14ac:dyDescent="0.25">
      <c r="A258" s="1" t="s">
        <v>126</v>
      </c>
      <c r="B258" s="1" t="s">
        <v>13</v>
      </c>
      <c r="C258" s="1" t="s">
        <v>143</v>
      </c>
      <c r="D258" s="1">
        <v>0</v>
      </c>
      <c r="E258" s="1">
        <v>-177.77</v>
      </c>
      <c r="F258" s="1">
        <v>0</v>
      </c>
      <c r="G258" s="1">
        <v>959.94500000000005</v>
      </c>
      <c r="H258" s="1">
        <v>0</v>
      </c>
      <c r="I258" s="1">
        <v>-299.06700000000001</v>
      </c>
    </row>
    <row r="259" spans="1:9" hidden="1" x14ac:dyDescent="0.25">
      <c r="A259" s="1" t="s">
        <v>126</v>
      </c>
      <c r="B259" s="1" t="s">
        <v>13</v>
      </c>
      <c r="C259" s="1" t="s">
        <v>3</v>
      </c>
      <c r="D259" s="1">
        <v>0</v>
      </c>
      <c r="E259" s="1">
        <v>-177.77</v>
      </c>
      <c r="F259" s="1">
        <v>0</v>
      </c>
      <c r="G259" s="1">
        <v>959.94500000000005</v>
      </c>
      <c r="H259" s="1">
        <v>0</v>
      </c>
      <c r="I259" s="1">
        <v>-835.30700000000002</v>
      </c>
    </row>
    <row r="260" spans="1:9" hidden="1" x14ac:dyDescent="0.25">
      <c r="A260" s="1" t="s">
        <v>126</v>
      </c>
      <c r="B260" s="1" t="s">
        <v>14</v>
      </c>
      <c r="C260" s="1" t="s">
        <v>143</v>
      </c>
      <c r="D260" s="1">
        <v>0</v>
      </c>
      <c r="E260" s="1">
        <v>0</v>
      </c>
      <c r="F260" s="1">
        <v>-177.77</v>
      </c>
      <c r="G260" s="1">
        <v>-1173.2660000000001</v>
      </c>
      <c r="H260" s="1">
        <v>299.06700000000001</v>
      </c>
      <c r="I260" s="1">
        <v>0</v>
      </c>
    </row>
    <row r="261" spans="1:9" hidden="1" x14ac:dyDescent="0.25">
      <c r="A261" s="1" t="s">
        <v>126</v>
      </c>
      <c r="B261" s="1" t="s">
        <v>14</v>
      </c>
      <c r="C261" s="1" t="s">
        <v>3</v>
      </c>
      <c r="D261" s="1">
        <v>0</v>
      </c>
      <c r="E261" s="1">
        <v>0</v>
      </c>
      <c r="F261" s="1">
        <v>-177.77</v>
      </c>
      <c r="G261" s="1">
        <v>-1173.2660000000001</v>
      </c>
      <c r="H261" s="1">
        <v>835.30700000000002</v>
      </c>
      <c r="I261" s="1">
        <v>0</v>
      </c>
    </row>
    <row r="262" spans="1:9" hidden="1" x14ac:dyDescent="0.25">
      <c r="A262" s="1" t="s">
        <v>126</v>
      </c>
      <c r="B262" s="1" t="s">
        <v>15</v>
      </c>
      <c r="C262" s="1" t="s">
        <v>143</v>
      </c>
      <c r="D262" s="1">
        <v>0</v>
      </c>
      <c r="E262" s="1">
        <v>0</v>
      </c>
      <c r="F262" s="1">
        <v>-177.77</v>
      </c>
      <c r="G262" s="1">
        <v>-959.94500000000005</v>
      </c>
      <c r="H262" s="1">
        <v>299.06700000000001</v>
      </c>
      <c r="I262" s="1">
        <v>0</v>
      </c>
    </row>
    <row r="263" spans="1:9" hidden="1" x14ac:dyDescent="0.25">
      <c r="A263" s="1" t="s">
        <v>126</v>
      </c>
      <c r="B263" s="1" t="s">
        <v>15</v>
      </c>
      <c r="C263" s="1" t="s">
        <v>3</v>
      </c>
      <c r="D263" s="1">
        <v>0</v>
      </c>
      <c r="E263" s="1">
        <v>0</v>
      </c>
      <c r="F263" s="1">
        <v>-177.77</v>
      </c>
      <c r="G263" s="1">
        <v>-959.94500000000005</v>
      </c>
      <c r="H263" s="1">
        <v>835.30700000000002</v>
      </c>
      <c r="I263" s="1">
        <v>0</v>
      </c>
    </row>
    <row r="264" spans="1:9" hidden="1" x14ac:dyDescent="0.25">
      <c r="A264" s="1" t="s">
        <v>126</v>
      </c>
      <c r="B264" s="1" t="s">
        <v>145</v>
      </c>
      <c r="C264" s="1" t="s">
        <v>143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126</v>
      </c>
      <c r="B265" s="1" t="s">
        <v>145</v>
      </c>
      <c r="C265" s="1" t="s">
        <v>3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126</v>
      </c>
      <c r="B266" s="1" t="s">
        <v>146</v>
      </c>
      <c r="C266" s="1" t="s">
        <v>143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126</v>
      </c>
      <c r="B267" s="1" t="s">
        <v>146</v>
      </c>
      <c r="C267" s="1" t="s">
        <v>3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126</v>
      </c>
      <c r="B268" s="1" t="s">
        <v>147</v>
      </c>
      <c r="C268" s="1" t="s">
        <v>143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126</v>
      </c>
      <c r="B269" s="1" t="s">
        <v>147</v>
      </c>
      <c r="C269" s="1" t="s">
        <v>3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126</v>
      </c>
      <c r="B270" s="1" t="s">
        <v>148</v>
      </c>
      <c r="C270" s="1" t="s">
        <v>143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126</v>
      </c>
      <c r="B271" s="1" t="s">
        <v>148</v>
      </c>
      <c r="C271" s="1" t="s">
        <v>3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126</v>
      </c>
      <c r="B272" s="1" t="s">
        <v>149</v>
      </c>
      <c r="C272" s="1" t="s">
        <v>143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126</v>
      </c>
      <c r="B273" s="1" t="s">
        <v>149</v>
      </c>
      <c r="C273" s="1" t="s">
        <v>3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126</v>
      </c>
      <c r="B274" s="1" t="s">
        <v>150</v>
      </c>
      <c r="C274" s="1" t="s">
        <v>143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126</v>
      </c>
      <c r="B275" s="1" t="s">
        <v>150</v>
      </c>
      <c r="C275" s="1" t="s">
        <v>3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126</v>
      </c>
      <c r="B276" s="1" t="s">
        <v>16</v>
      </c>
      <c r="C276" s="1" t="s">
        <v>143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126</v>
      </c>
      <c r="B277" s="1" t="s">
        <v>16</v>
      </c>
      <c r="C277" s="1" t="s">
        <v>3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126</v>
      </c>
      <c r="B278" s="1" t="s">
        <v>151</v>
      </c>
      <c r="C278" s="1" t="s">
        <v>143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126</v>
      </c>
      <c r="B279" s="1" t="s">
        <v>151</v>
      </c>
      <c r="C279" s="1" t="s">
        <v>3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126</v>
      </c>
      <c r="B280" s="1" t="s">
        <v>152</v>
      </c>
      <c r="C280" s="1" t="s">
        <v>143</v>
      </c>
      <c r="D280" s="1">
        <v>0</v>
      </c>
      <c r="E280" s="1">
        <v>-32.35</v>
      </c>
      <c r="F280" s="1">
        <v>0</v>
      </c>
      <c r="G280" s="1">
        <v>194.12700000000001</v>
      </c>
      <c r="H280" s="1">
        <v>0</v>
      </c>
      <c r="I280" s="1">
        <v>-7.1999999999999995E-2</v>
      </c>
    </row>
    <row r="281" spans="1:9" hidden="1" x14ac:dyDescent="0.25">
      <c r="A281" s="1" t="s">
        <v>126</v>
      </c>
      <c r="B281" s="1" t="s">
        <v>152</v>
      </c>
      <c r="C281" s="1" t="s">
        <v>3</v>
      </c>
      <c r="D281" s="1">
        <v>0</v>
      </c>
      <c r="E281" s="1">
        <v>-32.35</v>
      </c>
      <c r="F281" s="1">
        <v>0</v>
      </c>
      <c r="G281" s="1">
        <v>194.12700000000001</v>
      </c>
      <c r="H281" s="1">
        <v>0</v>
      </c>
      <c r="I281" s="1">
        <v>-97.68</v>
      </c>
    </row>
    <row r="282" spans="1:9" hidden="1" x14ac:dyDescent="0.25">
      <c r="A282" s="1" t="s">
        <v>126</v>
      </c>
      <c r="B282" s="1" t="s">
        <v>153</v>
      </c>
      <c r="C282" s="1" t="s">
        <v>143</v>
      </c>
      <c r="D282" s="1">
        <v>0</v>
      </c>
      <c r="E282" s="1">
        <v>0</v>
      </c>
      <c r="F282" s="1">
        <v>-32.35</v>
      </c>
      <c r="G282" s="1">
        <v>-194.12700000000001</v>
      </c>
      <c r="H282" s="1">
        <v>7.1999999999999995E-2</v>
      </c>
      <c r="I282" s="1">
        <v>0</v>
      </c>
    </row>
    <row r="283" spans="1:9" hidden="1" x14ac:dyDescent="0.25">
      <c r="A283" s="1" t="s">
        <v>126</v>
      </c>
      <c r="B283" s="1" t="s">
        <v>153</v>
      </c>
      <c r="C283" s="1" t="s">
        <v>3</v>
      </c>
      <c r="D283" s="1">
        <v>0</v>
      </c>
      <c r="E283" s="1">
        <v>0</v>
      </c>
      <c r="F283" s="1">
        <v>-32.35</v>
      </c>
      <c r="G283" s="1">
        <v>-194.12700000000001</v>
      </c>
      <c r="H283" s="1">
        <v>97.68</v>
      </c>
      <c r="I283" s="1">
        <v>0</v>
      </c>
    </row>
    <row r="284" spans="1:9" hidden="1" x14ac:dyDescent="0.25">
      <c r="A284" s="1" t="s">
        <v>126</v>
      </c>
      <c r="B284" s="1" t="s">
        <v>154</v>
      </c>
      <c r="C284" s="1" t="s">
        <v>143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</row>
    <row r="285" spans="1:9" hidden="1" x14ac:dyDescent="0.25">
      <c r="A285" s="1" t="s">
        <v>126</v>
      </c>
      <c r="B285" s="1" t="s">
        <v>154</v>
      </c>
      <c r="C285" s="1" t="s">
        <v>3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</row>
    <row r="286" spans="1:9" hidden="1" x14ac:dyDescent="0.25">
      <c r="A286" s="1" t="s">
        <v>126</v>
      </c>
      <c r="B286" s="1" t="s">
        <v>155</v>
      </c>
      <c r="C286" s="1" t="s">
        <v>143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</row>
    <row r="287" spans="1:9" hidden="1" x14ac:dyDescent="0.25">
      <c r="A287" s="1" t="s">
        <v>126</v>
      </c>
      <c r="B287" s="1" t="s">
        <v>155</v>
      </c>
      <c r="C287" s="1" t="s">
        <v>3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</row>
    <row r="288" spans="1:9" hidden="1" x14ac:dyDescent="0.25">
      <c r="A288" s="1" t="s">
        <v>126</v>
      </c>
      <c r="B288" s="1" t="s">
        <v>156</v>
      </c>
      <c r="C288" s="1" t="s">
        <v>143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</row>
    <row r="289" spans="1:9" hidden="1" x14ac:dyDescent="0.25">
      <c r="A289" s="1" t="s">
        <v>126</v>
      </c>
      <c r="B289" s="1" t="s">
        <v>156</v>
      </c>
      <c r="C289" s="1" t="s">
        <v>3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</row>
    <row r="290" spans="1:9" hidden="1" x14ac:dyDescent="0.25">
      <c r="A290" s="1" t="s">
        <v>126</v>
      </c>
      <c r="B290" s="1" t="s">
        <v>4</v>
      </c>
      <c r="C290" s="1" t="s">
        <v>143</v>
      </c>
      <c r="D290" s="1">
        <v>0</v>
      </c>
      <c r="E290" s="1">
        <v>145.57</v>
      </c>
      <c r="F290" s="1">
        <v>0</v>
      </c>
      <c r="G290" s="1">
        <v>961.47</v>
      </c>
      <c r="H290" s="1">
        <v>0</v>
      </c>
      <c r="I290" s="1">
        <v>228.00800000000001</v>
      </c>
    </row>
    <row r="291" spans="1:9" hidden="1" x14ac:dyDescent="0.25">
      <c r="A291" s="1" t="s">
        <v>126</v>
      </c>
      <c r="B291" s="1" t="s">
        <v>4</v>
      </c>
      <c r="C291" s="1" t="s">
        <v>3</v>
      </c>
      <c r="D291" s="1">
        <v>0</v>
      </c>
      <c r="E291" s="1">
        <v>145.57</v>
      </c>
      <c r="F291" s="1">
        <v>0</v>
      </c>
      <c r="G291" s="1">
        <v>961.47</v>
      </c>
      <c r="H291" s="1">
        <v>0</v>
      </c>
      <c r="I291" s="1">
        <v>666.04499999999996</v>
      </c>
    </row>
    <row r="292" spans="1:9" hidden="1" x14ac:dyDescent="0.25">
      <c r="A292" s="1" t="s">
        <v>126</v>
      </c>
      <c r="B292" s="1" t="s">
        <v>5</v>
      </c>
      <c r="C292" s="1" t="s">
        <v>143</v>
      </c>
      <c r="D292" s="1">
        <v>0</v>
      </c>
      <c r="E292" s="1">
        <v>0</v>
      </c>
      <c r="F292" s="1">
        <v>145.57</v>
      </c>
      <c r="G292" s="1">
        <v>961.47</v>
      </c>
      <c r="H292" s="1">
        <v>228.00800000000001</v>
      </c>
      <c r="I292" s="1">
        <v>0</v>
      </c>
    </row>
    <row r="293" spans="1:9" hidden="1" x14ac:dyDescent="0.25">
      <c r="A293" s="1" t="s">
        <v>126</v>
      </c>
      <c r="B293" s="1" t="s">
        <v>5</v>
      </c>
      <c r="C293" s="1" t="s">
        <v>3</v>
      </c>
      <c r="D293" s="1">
        <v>0</v>
      </c>
      <c r="E293" s="1">
        <v>0</v>
      </c>
      <c r="F293" s="1">
        <v>145.57</v>
      </c>
      <c r="G293" s="1">
        <v>961.47</v>
      </c>
      <c r="H293" s="1">
        <v>666.04499999999996</v>
      </c>
      <c r="I293" s="1">
        <v>0</v>
      </c>
    </row>
    <row r="294" spans="1:9" hidden="1" x14ac:dyDescent="0.25">
      <c r="A294" s="1" t="s">
        <v>126</v>
      </c>
      <c r="B294" s="1" t="s">
        <v>6</v>
      </c>
      <c r="C294" s="1" t="s">
        <v>143</v>
      </c>
      <c r="D294" s="1">
        <v>70.34</v>
      </c>
      <c r="E294" s="1">
        <v>0</v>
      </c>
      <c r="F294" s="1">
        <v>0</v>
      </c>
      <c r="G294" s="1">
        <v>0</v>
      </c>
      <c r="H294" s="1">
        <v>422.02100000000002</v>
      </c>
      <c r="I294" s="1">
        <v>-422.02100000000002</v>
      </c>
    </row>
    <row r="295" spans="1:9" hidden="1" x14ac:dyDescent="0.25">
      <c r="A295" s="1" t="s">
        <v>126</v>
      </c>
      <c r="B295" s="1" t="s">
        <v>6</v>
      </c>
      <c r="C295" s="1" t="s">
        <v>3</v>
      </c>
      <c r="D295" s="1">
        <v>73.84</v>
      </c>
      <c r="E295" s="1">
        <v>0</v>
      </c>
      <c r="F295" s="1">
        <v>0</v>
      </c>
      <c r="G295" s="1">
        <v>0</v>
      </c>
      <c r="H295" s="1">
        <v>443.03899999999999</v>
      </c>
      <c r="I295" s="1">
        <v>-443.03899999999999</v>
      </c>
    </row>
    <row r="296" spans="1:9" hidden="1" x14ac:dyDescent="0.25">
      <c r="A296" s="1" t="s">
        <v>126</v>
      </c>
      <c r="B296" s="1" t="s">
        <v>7</v>
      </c>
      <c r="C296" s="1" t="s">
        <v>143</v>
      </c>
      <c r="D296" s="1">
        <v>0</v>
      </c>
      <c r="E296" s="1">
        <v>174.68</v>
      </c>
      <c r="F296" s="1">
        <v>0</v>
      </c>
      <c r="G296" s="1">
        <v>1153.7639999999999</v>
      </c>
      <c r="H296" s="1">
        <v>0</v>
      </c>
      <c r="I296" s="1">
        <v>273.61</v>
      </c>
    </row>
    <row r="297" spans="1:9" hidden="1" x14ac:dyDescent="0.25">
      <c r="A297" s="1" t="s">
        <v>126</v>
      </c>
      <c r="B297" s="1" t="s">
        <v>7</v>
      </c>
      <c r="C297" s="1" t="s">
        <v>3</v>
      </c>
      <c r="D297" s="1">
        <v>0</v>
      </c>
      <c r="E297" s="1">
        <v>174.68</v>
      </c>
      <c r="F297" s="1">
        <v>0</v>
      </c>
      <c r="G297" s="1">
        <v>1153.7639999999999</v>
      </c>
      <c r="H297" s="1">
        <v>0</v>
      </c>
      <c r="I297" s="1">
        <v>799.25400000000002</v>
      </c>
    </row>
    <row r="298" spans="1:9" hidden="1" x14ac:dyDescent="0.25">
      <c r="A298" s="1" t="s">
        <v>126</v>
      </c>
      <c r="B298" s="1" t="s">
        <v>157</v>
      </c>
      <c r="C298" s="1" t="s">
        <v>143</v>
      </c>
      <c r="D298" s="1">
        <v>0</v>
      </c>
      <c r="E298" s="1">
        <v>-174.68</v>
      </c>
      <c r="F298" s="1">
        <v>0</v>
      </c>
      <c r="G298" s="1">
        <v>-1153.7639999999999</v>
      </c>
      <c r="H298" s="1">
        <v>0</v>
      </c>
      <c r="I298" s="1">
        <v>-273.61</v>
      </c>
    </row>
    <row r="299" spans="1:9" hidden="1" x14ac:dyDescent="0.25">
      <c r="A299" s="1" t="s">
        <v>126</v>
      </c>
      <c r="B299" s="1" t="s">
        <v>157</v>
      </c>
      <c r="C299" s="1" t="s">
        <v>3</v>
      </c>
      <c r="D299" s="1">
        <v>0</v>
      </c>
      <c r="E299" s="1">
        <v>-174.68</v>
      </c>
      <c r="F299" s="1">
        <v>0</v>
      </c>
      <c r="G299" s="1">
        <v>-1153.7639999999999</v>
      </c>
      <c r="H299" s="1">
        <v>0</v>
      </c>
      <c r="I299" s="1">
        <v>-799.25400000000002</v>
      </c>
    </row>
    <row r="300" spans="1:9" hidden="1" x14ac:dyDescent="0.25">
      <c r="A300" s="1" t="s">
        <v>126</v>
      </c>
      <c r="B300" s="1" t="s">
        <v>8</v>
      </c>
      <c r="C300" s="1" t="s">
        <v>143</v>
      </c>
      <c r="D300" s="1">
        <v>0</v>
      </c>
      <c r="E300" s="1">
        <v>0</v>
      </c>
      <c r="F300" s="1">
        <v>160.13</v>
      </c>
      <c r="G300" s="1">
        <v>1057.617</v>
      </c>
      <c r="H300" s="1">
        <v>250.809</v>
      </c>
      <c r="I300" s="1">
        <v>0</v>
      </c>
    </row>
    <row r="301" spans="1:9" hidden="1" x14ac:dyDescent="0.25">
      <c r="A301" s="1" t="s">
        <v>126</v>
      </c>
      <c r="B301" s="1" t="s">
        <v>8</v>
      </c>
      <c r="C301" s="1" t="s">
        <v>3</v>
      </c>
      <c r="D301" s="1">
        <v>0</v>
      </c>
      <c r="E301" s="1">
        <v>0</v>
      </c>
      <c r="F301" s="1">
        <v>160.13</v>
      </c>
      <c r="G301" s="1">
        <v>1057.617</v>
      </c>
      <c r="H301" s="1">
        <v>732.65</v>
      </c>
      <c r="I301" s="1">
        <v>0</v>
      </c>
    </row>
    <row r="302" spans="1:9" hidden="1" x14ac:dyDescent="0.25">
      <c r="A302" s="1" t="s">
        <v>126</v>
      </c>
      <c r="B302" s="1" t="s">
        <v>158</v>
      </c>
      <c r="C302" s="1" t="s">
        <v>143</v>
      </c>
      <c r="D302" s="1">
        <v>0</v>
      </c>
      <c r="E302" s="1">
        <v>0</v>
      </c>
      <c r="F302" s="1">
        <v>-160.13</v>
      </c>
      <c r="G302" s="1">
        <v>-1057.617</v>
      </c>
      <c r="H302" s="1">
        <v>-250.809</v>
      </c>
      <c r="I302" s="1">
        <v>0</v>
      </c>
    </row>
    <row r="303" spans="1:9" hidden="1" x14ac:dyDescent="0.25">
      <c r="A303" s="1" t="s">
        <v>126</v>
      </c>
      <c r="B303" s="1" t="s">
        <v>158</v>
      </c>
      <c r="C303" s="1" t="s">
        <v>3</v>
      </c>
      <c r="D303" s="1">
        <v>0</v>
      </c>
      <c r="E303" s="1">
        <v>0</v>
      </c>
      <c r="F303" s="1">
        <v>-160.13</v>
      </c>
      <c r="G303" s="1">
        <v>-1057.617</v>
      </c>
      <c r="H303" s="1">
        <v>-732.65</v>
      </c>
      <c r="I303" s="1">
        <v>0</v>
      </c>
    </row>
    <row r="304" spans="1:9" hidden="1" x14ac:dyDescent="0.25">
      <c r="A304" s="1" t="s">
        <v>126</v>
      </c>
      <c r="B304" s="1" t="s">
        <v>159</v>
      </c>
      <c r="C304" s="1" t="s">
        <v>143</v>
      </c>
      <c r="D304" s="1">
        <v>656.48</v>
      </c>
      <c r="E304" s="1">
        <v>0</v>
      </c>
      <c r="F304" s="1">
        <v>0</v>
      </c>
      <c r="G304" s="1">
        <v>0</v>
      </c>
      <c r="H304" s="1">
        <v>3938.8609999999999</v>
      </c>
      <c r="I304" s="1">
        <v>-3938.8609999999999</v>
      </c>
    </row>
    <row r="305" spans="1:9" hidden="1" x14ac:dyDescent="0.25">
      <c r="A305" s="1" t="s">
        <v>126</v>
      </c>
      <c r="B305" s="1" t="s">
        <v>159</v>
      </c>
      <c r="C305" s="1" t="s">
        <v>3</v>
      </c>
      <c r="D305" s="1">
        <v>689.17</v>
      </c>
      <c r="E305" s="1">
        <v>0</v>
      </c>
      <c r="F305" s="1">
        <v>0</v>
      </c>
      <c r="G305" s="1">
        <v>0</v>
      </c>
      <c r="H305" s="1">
        <v>4135.0280000000002</v>
      </c>
      <c r="I305" s="1">
        <v>-4135.0280000000002</v>
      </c>
    </row>
    <row r="306" spans="1:9" hidden="1" x14ac:dyDescent="0.25">
      <c r="A306" s="1" t="s">
        <v>126</v>
      </c>
      <c r="B306" s="1" t="s">
        <v>160</v>
      </c>
      <c r="C306" s="1" t="s">
        <v>143</v>
      </c>
      <c r="D306" s="1">
        <v>700.93</v>
      </c>
      <c r="E306" s="1">
        <v>0</v>
      </c>
      <c r="F306" s="1">
        <v>0</v>
      </c>
      <c r="G306" s="1">
        <v>0</v>
      </c>
      <c r="H306" s="1">
        <v>4205.607</v>
      </c>
      <c r="I306" s="1">
        <v>-4205.607</v>
      </c>
    </row>
    <row r="307" spans="1:9" hidden="1" x14ac:dyDescent="0.25">
      <c r="A307" s="1" t="s">
        <v>126</v>
      </c>
      <c r="B307" s="1" t="s">
        <v>160</v>
      </c>
      <c r="C307" s="1" t="s">
        <v>3</v>
      </c>
      <c r="D307" s="1">
        <v>728.96</v>
      </c>
      <c r="E307" s="1">
        <v>0</v>
      </c>
      <c r="F307" s="1">
        <v>0</v>
      </c>
      <c r="G307" s="1">
        <v>0</v>
      </c>
      <c r="H307" s="1">
        <v>4373.75</v>
      </c>
      <c r="I307" s="1">
        <v>-4373.75</v>
      </c>
    </row>
    <row r="308" spans="1:9" hidden="1" x14ac:dyDescent="0.25">
      <c r="A308" s="1" t="s">
        <v>126</v>
      </c>
      <c r="B308" s="1" t="s">
        <v>161</v>
      </c>
      <c r="C308" s="1" t="s">
        <v>143</v>
      </c>
      <c r="D308" s="1">
        <v>605.89</v>
      </c>
      <c r="E308" s="1">
        <v>0</v>
      </c>
      <c r="F308" s="1">
        <v>0</v>
      </c>
      <c r="G308" s="1">
        <v>0</v>
      </c>
      <c r="H308" s="1">
        <v>3635.3670000000002</v>
      </c>
      <c r="I308" s="1">
        <v>-3635.3670000000002</v>
      </c>
    </row>
    <row r="309" spans="1:9" hidden="1" x14ac:dyDescent="0.25">
      <c r="A309" s="1" t="s">
        <v>126</v>
      </c>
      <c r="B309" s="1" t="s">
        <v>161</v>
      </c>
      <c r="C309" s="1" t="s">
        <v>3</v>
      </c>
      <c r="D309" s="1">
        <v>633.91999999999996</v>
      </c>
      <c r="E309" s="1">
        <v>0</v>
      </c>
      <c r="F309" s="1">
        <v>0</v>
      </c>
      <c r="G309" s="1">
        <v>0</v>
      </c>
      <c r="H309" s="1">
        <v>3803.51</v>
      </c>
      <c r="I309" s="1">
        <v>-3803.51</v>
      </c>
    </row>
    <row r="310" spans="1:9" hidden="1" x14ac:dyDescent="0.25">
      <c r="A310" s="1" t="s">
        <v>126</v>
      </c>
      <c r="B310" s="1" t="s">
        <v>162</v>
      </c>
      <c r="C310" s="1" t="s">
        <v>143</v>
      </c>
      <c r="D310" s="1">
        <v>627</v>
      </c>
      <c r="E310" s="1">
        <v>-177.77</v>
      </c>
      <c r="F310" s="1">
        <v>0</v>
      </c>
      <c r="G310" s="1">
        <v>1173.2660000000001</v>
      </c>
      <c r="H310" s="1">
        <v>3761.973</v>
      </c>
      <c r="I310" s="1">
        <v>-4061.0390000000002</v>
      </c>
    </row>
    <row r="311" spans="1:9" hidden="1" x14ac:dyDescent="0.25">
      <c r="A311" s="1" t="s">
        <v>126</v>
      </c>
      <c r="B311" s="1" t="s">
        <v>162</v>
      </c>
      <c r="C311" s="1" t="s">
        <v>3</v>
      </c>
      <c r="D311" s="1">
        <v>656.07</v>
      </c>
      <c r="E311" s="1">
        <v>-177.77</v>
      </c>
      <c r="F311" s="1">
        <v>0</v>
      </c>
      <c r="G311" s="1">
        <v>1173.2660000000001</v>
      </c>
      <c r="H311" s="1">
        <v>3936.422</v>
      </c>
      <c r="I311" s="1">
        <v>-4771.7290000000003</v>
      </c>
    </row>
    <row r="312" spans="1:9" hidden="1" x14ac:dyDescent="0.25">
      <c r="A312" s="1" t="s">
        <v>126</v>
      </c>
      <c r="B312" s="1" t="s">
        <v>163</v>
      </c>
      <c r="C312" s="1" t="s">
        <v>143</v>
      </c>
      <c r="D312" s="1">
        <v>627</v>
      </c>
      <c r="E312" s="1">
        <v>-177.77</v>
      </c>
      <c r="F312" s="1">
        <v>0</v>
      </c>
      <c r="G312" s="1">
        <v>959.94500000000005</v>
      </c>
      <c r="H312" s="1">
        <v>3761.973</v>
      </c>
      <c r="I312" s="1">
        <v>-4061.0390000000002</v>
      </c>
    </row>
    <row r="313" spans="1:9" hidden="1" x14ac:dyDescent="0.25">
      <c r="A313" s="1" t="s">
        <v>126</v>
      </c>
      <c r="B313" s="1" t="s">
        <v>163</v>
      </c>
      <c r="C313" s="1" t="s">
        <v>3</v>
      </c>
      <c r="D313" s="1">
        <v>656.07</v>
      </c>
      <c r="E313" s="1">
        <v>-177.77</v>
      </c>
      <c r="F313" s="1">
        <v>0</v>
      </c>
      <c r="G313" s="1">
        <v>959.94500000000005</v>
      </c>
      <c r="H313" s="1">
        <v>3936.422</v>
      </c>
      <c r="I313" s="1">
        <v>-4771.7290000000003</v>
      </c>
    </row>
    <row r="314" spans="1:9" hidden="1" x14ac:dyDescent="0.25">
      <c r="A314" s="1" t="s">
        <v>126</v>
      </c>
      <c r="B314" s="1" t="s">
        <v>164</v>
      </c>
      <c r="C314" s="1" t="s">
        <v>143</v>
      </c>
      <c r="D314" s="1">
        <v>627</v>
      </c>
      <c r="E314" s="1">
        <v>177.77</v>
      </c>
      <c r="F314" s="1">
        <v>0</v>
      </c>
      <c r="G314" s="1">
        <v>-1173.2660000000001</v>
      </c>
      <c r="H314" s="1">
        <v>3761.973</v>
      </c>
      <c r="I314" s="1">
        <v>-3462.9059999999999</v>
      </c>
    </row>
    <row r="315" spans="1:9" hidden="1" x14ac:dyDescent="0.25">
      <c r="A315" s="1" t="s">
        <v>126</v>
      </c>
      <c r="B315" s="1" t="s">
        <v>164</v>
      </c>
      <c r="C315" s="1" t="s">
        <v>3</v>
      </c>
      <c r="D315" s="1">
        <v>656.07</v>
      </c>
      <c r="E315" s="1">
        <v>177.77</v>
      </c>
      <c r="F315" s="1">
        <v>0</v>
      </c>
      <c r="G315" s="1">
        <v>-1173.2660000000001</v>
      </c>
      <c r="H315" s="1">
        <v>3936.422</v>
      </c>
      <c r="I315" s="1">
        <v>-3101.114</v>
      </c>
    </row>
    <row r="316" spans="1:9" hidden="1" x14ac:dyDescent="0.25">
      <c r="A316" s="1" t="s">
        <v>126</v>
      </c>
      <c r="B316" s="1" t="s">
        <v>165</v>
      </c>
      <c r="C316" s="1" t="s">
        <v>143</v>
      </c>
      <c r="D316" s="1">
        <v>627</v>
      </c>
      <c r="E316" s="1">
        <v>177.77</v>
      </c>
      <c r="F316" s="1">
        <v>0</v>
      </c>
      <c r="G316" s="1">
        <v>-959.94500000000005</v>
      </c>
      <c r="H316" s="1">
        <v>3761.973</v>
      </c>
      <c r="I316" s="1">
        <v>-3462.9059999999999</v>
      </c>
    </row>
    <row r="317" spans="1:9" hidden="1" x14ac:dyDescent="0.25">
      <c r="A317" s="1" t="s">
        <v>126</v>
      </c>
      <c r="B317" s="1" t="s">
        <v>165</v>
      </c>
      <c r="C317" s="1" t="s">
        <v>3</v>
      </c>
      <c r="D317" s="1">
        <v>656.07</v>
      </c>
      <c r="E317" s="1">
        <v>177.77</v>
      </c>
      <c r="F317" s="1">
        <v>0</v>
      </c>
      <c r="G317" s="1">
        <v>-959.94500000000005</v>
      </c>
      <c r="H317" s="1">
        <v>3936.422</v>
      </c>
      <c r="I317" s="1">
        <v>-3101.114</v>
      </c>
    </row>
    <row r="318" spans="1:9" hidden="1" x14ac:dyDescent="0.25">
      <c r="A318" s="1" t="s">
        <v>126</v>
      </c>
      <c r="B318" s="1" t="s">
        <v>166</v>
      </c>
      <c r="C318" s="1" t="s">
        <v>143</v>
      </c>
      <c r="D318" s="1">
        <v>627</v>
      </c>
      <c r="E318" s="1">
        <v>0</v>
      </c>
      <c r="F318" s="1">
        <v>-177.77</v>
      </c>
      <c r="G318" s="1">
        <v>-1173.2660000000001</v>
      </c>
      <c r="H318" s="1">
        <v>4061.0390000000002</v>
      </c>
      <c r="I318" s="1">
        <v>-3761.973</v>
      </c>
    </row>
    <row r="319" spans="1:9" hidden="1" x14ac:dyDescent="0.25">
      <c r="A319" s="1" t="s">
        <v>126</v>
      </c>
      <c r="B319" s="1" t="s">
        <v>166</v>
      </c>
      <c r="C319" s="1" t="s">
        <v>3</v>
      </c>
      <c r="D319" s="1">
        <v>656.07</v>
      </c>
      <c r="E319" s="1">
        <v>0</v>
      </c>
      <c r="F319" s="1">
        <v>-177.77</v>
      </c>
      <c r="G319" s="1">
        <v>-1173.2660000000001</v>
      </c>
      <c r="H319" s="1">
        <v>4771.7290000000003</v>
      </c>
      <c r="I319" s="1">
        <v>-3936.422</v>
      </c>
    </row>
    <row r="320" spans="1:9" hidden="1" x14ac:dyDescent="0.25">
      <c r="A320" s="1" t="s">
        <v>126</v>
      </c>
      <c r="B320" s="1" t="s">
        <v>167</v>
      </c>
      <c r="C320" s="1" t="s">
        <v>143</v>
      </c>
      <c r="D320" s="1">
        <v>627</v>
      </c>
      <c r="E320" s="1">
        <v>0</v>
      </c>
      <c r="F320" s="1">
        <v>-177.77</v>
      </c>
      <c r="G320" s="1">
        <v>-959.94500000000005</v>
      </c>
      <c r="H320" s="1">
        <v>4061.0390000000002</v>
      </c>
      <c r="I320" s="1">
        <v>-3761.973</v>
      </c>
    </row>
    <row r="321" spans="1:9" hidden="1" x14ac:dyDescent="0.25">
      <c r="A321" s="1" t="s">
        <v>126</v>
      </c>
      <c r="B321" s="1" t="s">
        <v>167</v>
      </c>
      <c r="C321" s="1" t="s">
        <v>3</v>
      </c>
      <c r="D321" s="1">
        <v>656.07</v>
      </c>
      <c r="E321" s="1">
        <v>0</v>
      </c>
      <c r="F321" s="1">
        <v>-177.77</v>
      </c>
      <c r="G321" s="1">
        <v>-959.94500000000005</v>
      </c>
      <c r="H321" s="1">
        <v>4771.7290000000003</v>
      </c>
      <c r="I321" s="1">
        <v>-3936.422</v>
      </c>
    </row>
    <row r="322" spans="1:9" hidden="1" x14ac:dyDescent="0.25">
      <c r="A322" s="1" t="s">
        <v>126</v>
      </c>
      <c r="B322" s="1" t="s">
        <v>168</v>
      </c>
      <c r="C322" s="1" t="s">
        <v>143</v>
      </c>
      <c r="D322" s="1">
        <v>627</v>
      </c>
      <c r="E322" s="1">
        <v>0</v>
      </c>
      <c r="F322" s="1">
        <v>177.77</v>
      </c>
      <c r="G322" s="1">
        <v>1173.2660000000001</v>
      </c>
      <c r="H322" s="1">
        <v>3462.9059999999999</v>
      </c>
      <c r="I322" s="1">
        <v>-3761.973</v>
      </c>
    </row>
    <row r="323" spans="1:9" hidden="1" x14ac:dyDescent="0.25">
      <c r="A323" s="1" t="s">
        <v>126</v>
      </c>
      <c r="B323" s="1" t="s">
        <v>168</v>
      </c>
      <c r="C323" s="1" t="s">
        <v>3</v>
      </c>
      <c r="D323" s="1">
        <v>656.07</v>
      </c>
      <c r="E323" s="1">
        <v>0</v>
      </c>
      <c r="F323" s="1">
        <v>177.77</v>
      </c>
      <c r="G323" s="1">
        <v>1173.2660000000001</v>
      </c>
      <c r="H323" s="1">
        <v>3101.114</v>
      </c>
      <c r="I323" s="1">
        <v>-3936.422</v>
      </c>
    </row>
    <row r="324" spans="1:9" hidden="1" x14ac:dyDescent="0.25">
      <c r="A324" s="1" t="s">
        <v>126</v>
      </c>
      <c r="B324" s="1" t="s">
        <v>169</v>
      </c>
      <c r="C324" s="1" t="s">
        <v>143</v>
      </c>
      <c r="D324" s="1">
        <v>627</v>
      </c>
      <c r="E324" s="1">
        <v>0</v>
      </c>
      <c r="F324" s="1">
        <v>177.77</v>
      </c>
      <c r="G324" s="1">
        <v>959.94500000000005</v>
      </c>
      <c r="H324" s="1">
        <v>3462.9059999999999</v>
      </c>
      <c r="I324" s="1">
        <v>-3761.973</v>
      </c>
    </row>
    <row r="325" spans="1:9" hidden="1" x14ac:dyDescent="0.25">
      <c r="A325" s="1" t="s">
        <v>126</v>
      </c>
      <c r="B325" s="1" t="s">
        <v>169</v>
      </c>
      <c r="C325" s="1" t="s">
        <v>3</v>
      </c>
      <c r="D325" s="1">
        <v>656.07</v>
      </c>
      <c r="E325" s="1">
        <v>0</v>
      </c>
      <c r="F325" s="1">
        <v>177.77</v>
      </c>
      <c r="G325" s="1">
        <v>959.94500000000005</v>
      </c>
      <c r="H325" s="1">
        <v>3101.114</v>
      </c>
      <c r="I325" s="1">
        <v>-3936.422</v>
      </c>
    </row>
    <row r="326" spans="1:9" hidden="1" x14ac:dyDescent="0.25">
      <c r="A326" s="1" t="s">
        <v>126</v>
      </c>
      <c r="B326" s="1" t="s">
        <v>170</v>
      </c>
      <c r="C326" s="1" t="s">
        <v>143</v>
      </c>
      <c r="D326" s="1">
        <v>584.79</v>
      </c>
      <c r="E326" s="1">
        <v>-177.77</v>
      </c>
      <c r="F326" s="1">
        <v>0</v>
      </c>
      <c r="G326" s="1">
        <v>1173.2660000000001</v>
      </c>
      <c r="H326" s="1">
        <v>3508.76</v>
      </c>
      <c r="I326" s="1">
        <v>-3807.8270000000002</v>
      </c>
    </row>
    <row r="327" spans="1:9" hidden="1" x14ac:dyDescent="0.25">
      <c r="A327" s="1" t="s">
        <v>126</v>
      </c>
      <c r="B327" s="1" t="s">
        <v>170</v>
      </c>
      <c r="C327" s="1" t="s">
        <v>3</v>
      </c>
      <c r="D327" s="1">
        <v>611.77</v>
      </c>
      <c r="E327" s="1">
        <v>-177.77</v>
      </c>
      <c r="F327" s="1">
        <v>0</v>
      </c>
      <c r="G327" s="1">
        <v>1173.2660000000001</v>
      </c>
      <c r="H327" s="1">
        <v>3670.5990000000002</v>
      </c>
      <c r="I327" s="1">
        <v>-4505.9059999999999</v>
      </c>
    </row>
    <row r="328" spans="1:9" hidden="1" x14ac:dyDescent="0.25">
      <c r="A328" s="1" t="s">
        <v>126</v>
      </c>
      <c r="B328" s="1" t="s">
        <v>171</v>
      </c>
      <c r="C328" s="1" t="s">
        <v>143</v>
      </c>
      <c r="D328" s="1">
        <v>584.79</v>
      </c>
      <c r="E328" s="1">
        <v>-177.77</v>
      </c>
      <c r="F328" s="1">
        <v>0</v>
      </c>
      <c r="G328" s="1">
        <v>959.94500000000005</v>
      </c>
      <c r="H328" s="1">
        <v>3508.76</v>
      </c>
      <c r="I328" s="1">
        <v>-3807.8270000000002</v>
      </c>
    </row>
    <row r="329" spans="1:9" hidden="1" x14ac:dyDescent="0.25">
      <c r="A329" s="1" t="s">
        <v>126</v>
      </c>
      <c r="B329" s="1" t="s">
        <v>171</v>
      </c>
      <c r="C329" s="1" t="s">
        <v>3</v>
      </c>
      <c r="D329" s="1">
        <v>611.77</v>
      </c>
      <c r="E329" s="1">
        <v>-177.77</v>
      </c>
      <c r="F329" s="1">
        <v>0</v>
      </c>
      <c r="G329" s="1">
        <v>959.94500000000005</v>
      </c>
      <c r="H329" s="1">
        <v>3670.5990000000002</v>
      </c>
      <c r="I329" s="1">
        <v>-4505.9059999999999</v>
      </c>
    </row>
    <row r="330" spans="1:9" hidden="1" x14ac:dyDescent="0.25">
      <c r="A330" s="1" t="s">
        <v>126</v>
      </c>
      <c r="B330" s="1" t="s">
        <v>172</v>
      </c>
      <c r="C330" s="1" t="s">
        <v>143</v>
      </c>
      <c r="D330" s="1">
        <v>584.79</v>
      </c>
      <c r="E330" s="1">
        <v>177.77</v>
      </c>
      <c r="F330" s="1">
        <v>0</v>
      </c>
      <c r="G330" s="1">
        <v>-1173.2660000000001</v>
      </c>
      <c r="H330" s="1">
        <v>3508.76</v>
      </c>
      <c r="I330" s="1">
        <v>-3209.694</v>
      </c>
    </row>
    <row r="331" spans="1:9" hidden="1" x14ac:dyDescent="0.25">
      <c r="A331" s="1" t="s">
        <v>126</v>
      </c>
      <c r="B331" s="1" t="s">
        <v>172</v>
      </c>
      <c r="C331" s="1" t="s">
        <v>3</v>
      </c>
      <c r="D331" s="1">
        <v>611.77</v>
      </c>
      <c r="E331" s="1">
        <v>177.77</v>
      </c>
      <c r="F331" s="1">
        <v>0</v>
      </c>
      <c r="G331" s="1">
        <v>-1173.2660000000001</v>
      </c>
      <c r="H331" s="1">
        <v>3670.5990000000002</v>
      </c>
      <c r="I331" s="1">
        <v>-2835.2910000000002</v>
      </c>
    </row>
    <row r="332" spans="1:9" hidden="1" x14ac:dyDescent="0.25">
      <c r="A332" s="1" t="s">
        <v>126</v>
      </c>
      <c r="B332" s="1" t="s">
        <v>173</v>
      </c>
      <c r="C332" s="1" t="s">
        <v>143</v>
      </c>
      <c r="D332" s="1">
        <v>584.79</v>
      </c>
      <c r="E332" s="1">
        <v>177.77</v>
      </c>
      <c r="F332" s="1">
        <v>0</v>
      </c>
      <c r="G332" s="1">
        <v>-959.94500000000005</v>
      </c>
      <c r="H332" s="1">
        <v>3508.76</v>
      </c>
      <c r="I332" s="1">
        <v>-3209.694</v>
      </c>
    </row>
    <row r="333" spans="1:9" hidden="1" x14ac:dyDescent="0.25">
      <c r="A333" s="1" t="s">
        <v>126</v>
      </c>
      <c r="B333" s="1" t="s">
        <v>173</v>
      </c>
      <c r="C333" s="1" t="s">
        <v>3</v>
      </c>
      <c r="D333" s="1">
        <v>611.77</v>
      </c>
      <c r="E333" s="1">
        <v>177.77</v>
      </c>
      <c r="F333" s="1">
        <v>0</v>
      </c>
      <c r="G333" s="1">
        <v>-959.94500000000005</v>
      </c>
      <c r="H333" s="1">
        <v>3670.5990000000002</v>
      </c>
      <c r="I333" s="1">
        <v>-2835.2910000000002</v>
      </c>
    </row>
    <row r="334" spans="1:9" hidden="1" x14ac:dyDescent="0.25">
      <c r="A334" s="1" t="s">
        <v>126</v>
      </c>
      <c r="B334" s="1" t="s">
        <v>174</v>
      </c>
      <c r="C334" s="1" t="s">
        <v>143</v>
      </c>
      <c r="D334" s="1">
        <v>584.79</v>
      </c>
      <c r="E334" s="1">
        <v>0</v>
      </c>
      <c r="F334" s="1">
        <v>-177.77</v>
      </c>
      <c r="G334" s="1">
        <v>-1173.2660000000001</v>
      </c>
      <c r="H334" s="1">
        <v>3807.8270000000002</v>
      </c>
      <c r="I334" s="1">
        <v>-3508.76</v>
      </c>
    </row>
    <row r="335" spans="1:9" hidden="1" x14ac:dyDescent="0.25">
      <c r="A335" s="1" t="s">
        <v>126</v>
      </c>
      <c r="B335" s="1" t="s">
        <v>174</v>
      </c>
      <c r="C335" s="1" t="s">
        <v>3</v>
      </c>
      <c r="D335" s="1">
        <v>611.77</v>
      </c>
      <c r="E335" s="1">
        <v>0</v>
      </c>
      <c r="F335" s="1">
        <v>-177.77</v>
      </c>
      <c r="G335" s="1">
        <v>-1173.2660000000001</v>
      </c>
      <c r="H335" s="1">
        <v>4505.9059999999999</v>
      </c>
      <c r="I335" s="1">
        <v>-3670.5990000000002</v>
      </c>
    </row>
    <row r="336" spans="1:9" hidden="1" x14ac:dyDescent="0.25">
      <c r="A336" s="1" t="s">
        <v>126</v>
      </c>
      <c r="B336" s="1" t="s">
        <v>175</v>
      </c>
      <c r="C336" s="1" t="s">
        <v>143</v>
      </c>
      <c r="D336" s="1">
        <v>584.79</v>
      </c>
      <c r="E336" s="1">
        <v>0</v>
      </c>
      <c r="F336" s="1">
        <v>-177.77</v>
      </c>
      <c r="G336" s="1">
        <v>-959.94500000000005</v>
      </c>
      <c r="H336" s="1">
        <v>3807.8270000000002</v>
      </c>
      <c r="I336" s="1">
        <v>-3508.76</v>
      </c>
    </row>
    <row r="337" spans="1:9" hidden="1" x14ac:dyDescent="0.25">
      <c r="A337" s="1" t="s">
        <v>126</v>
      </c>
      <c r="B337" s="1" t="s">
        <v>175</v>
      </c>
      <c r="C337" s="1" t="s">
        <v>3</v>
      </c>
      <c r="D337" s="1">
        <v>611.77</v>
      </c>
      <c r="E337" s="1">
        <v>0</v>
      </c>
      <c r="F337" s="1">
        <v>-177.77</v>
      </c>
      <c r="G337" s="1">
        <v>-959.94500000000005</v>
      </c>
      <c r="H337" s="1">
        <v>4505.9059999999999</v>
      </c>
      <c r="I337" s="1">
        <v>-3670.5990000000002</v>
      </c>
    </row>
    <row r="338" spans="1:9" hidden="1" x14ac:dyDescent="0.25">
      <c r="A338" s="1" t="s">
        <v>126</v>
      </c>
      <c r="B338" s="1" t="s">
        <v>176</v>
      </c>
      <c r="C338" s="1" t="s">
        <v>143</v>
      </c>
      <c r="D338" s="1">
        <v>584.79</v>
      </c>
      <c r="E338" s="1">
        <v>0</v>
      </c>
      <c r="F338" s="1">
        <v>177.77</v>
      </c>
      <c r="G338" s="1">
        <v>1173.2660000000001</v>
      </c>
      <c r="H338" s="1">
        <v>3209.694</v>
      </c>
      <c r="I338" s="1">
        <v>-3508.76</v>
      </c>
    </row>
    <row r="339" spans="1:9" hidden="1" x14ac:dyDescent="0.25">
      <c r="A339" s="1" t="s">
        <v>126</v>
      </c>
      <c r="B339" s="1" t="s">
        <v>176</v>
      </c>
      <c r="C339" s="1" t="s">
        <v>3</v>
      </c>
      <c r="D339" s="1">
        <v>611.77</v>
      </c>
      <c r="E339" s="1">
        <v>0</v>
      </c>
      <c r="F339" s="1">
        <v>177.77</v>
      </c>
      <c r="G339" s="1">
        <v>1173.2660000000001</v>
      </c>
      <c r="H339" s="1">
        <v>2835.2910000000002</v>
      </c>
      <c r="I339" s="1">
        <v>-3670.5990000000002</v>
      </c>
    </row>
    <row r="340" spans="1:9" hidden="1" x14ac:dyDescent="0.25">
      <c r="A340" s="1" t="s">
        <v>126</v>
      </c>
      <c r="B340" s="1" t="s">
        <v>177</v>
      </c>
      <c r="C340" s="1" t="s">
        <v>143</v>
      </c>
      <c r="D340" s="1">
        <v>584.79</v>
      </c>
      <c r="E340" s="1">
        <v>0</v>
      </c>
      <c r="F340" s="1">
        <v>177.77</v>
      </c>
      <c r="G340" s="1">
        <v>959.94500000000005</v>
      </c>
      <c r="H340" s="1">
        <v>3209.694</v>
      </c>
      <c r="I340" s="1">
        <v>-3508.76</v>
      </c>
    </row>
    <row r="341" spans="1:9" hidden="1" x14ac:dyDescent="0.25">
      <c r="A341" s="1" t="s">
        <v>126</v>
      </c>
      <c r="B341" s="1" t="s">
        <v>177</v>
      </c>
      <c r="C341" s="1" t="s">
        <v>3</v>
      </c>
      <c r="D341" s="1">
        <v>611.77</v>
      </c>
      <c r="E341" s="1">
        <v>0</v>
      </c>
      <c r="F341" s="1">
        <v>177.77</v>
      </c>
      <c r="G341" s="1">
        <v>959.94500000000005</v>
      </c>
      <c r="H341" s="1">
        <v>2835.2910000000002</v>
      </c>
      <c r="I341" s="1">
        <v>-3670.5990000000002</v>
      </c>
    </row>
    <row r="342" spans="1:9" hidden="1" x14ac:dyDescent="0.25">
      <c r="A342" s="1" t="s">
        <v>126</v>
      </c>
      <c r="B342" s="1" t="s">
        <v>178</v>
      </c>
      <c r="C342" s="1" t="s">
        <v>143</v>
      </c>
      <c r="D342" s="1">
        <v>676.23</v>
      </c>
      <c r="E342" s="1">
        <v>-53.33</v>
      </c>
      <c r="F342" s="1">
        <v>0</v>
      </c>
      <c r="G342" s="1">
        <v>351.98</v>
      </c>
      <c r="H342" s="1">
        <v>4057.3870000000002</v>
      </c>
      <c r="I342" s="1">
        <v>-4147.107</v>
      </c>
    </row>
    <row r="343" spans="1:9" hidden="1" x14ac:dyDescent="0.25">
      <c r="A343" s="1" t="s">
        <v>126</v>
      </c>
      <c r="B343" s="1" t="s">
        <v>178</v>
      </c>
      <c r="C343" s="1" t="s">
        <v>3</v>
      </c>
      <c r="D343" s="1">
        <v>707.76</v>
      </c>
      <c r="E343" s="1">
        <v>-53.33</v>
      </c>
      <c r="F343" s="1">
        <v>0</v>
      </c>
      <c r="G343" s="1">
        <v>351.98</v>
      </c>
      <c r="H343" s="1">
        <v>4246.549</v>
      </c>
      <c r="I343" s="1">
        <v>-4497.1409999999996</v>
      </c>
    </row>
    <row r="344" spans="1:9" hidden="1" x14ac:dyDescent="0.25">
      <c r="A344" s="1" t="s">
        <v>126</v>
      </c>
      <c r="B344" s="1" t="s">
        <v>179</v>
      </c>
      <c r="C344" s="1" t="s">
        <v>143</v>
      </c>
      <c r="D344" s="1">
        <v>676.23</v>
      </c>
      <c r="E344" s="1">
        <v>-53.33</v>
      </c>
      <c r="F344" s="1">
        <v>0</v>
      </c>
      <c r="G344" s="1">
        <v>287.98399999999998</v>
      </c>
      <c r="H344" s="1">
        <v>4057.3870000000002</v>
      </c>
      <c r="I344" s="1">
        <v>-4147.107</v>
      </c>
    </row>
    <row r="345" spans="1:9" hidden="1" x14ac:dyDescent="0.25">
      <c r="A345" s="1" t="s">
        <v>126</v>
      </c>
      <c r="B345" s="1" t="s">
        <v>179</v>
      </c>
      <c r="C345" s="1" t="s">
        <v>3</v>
      </c>
      <c r="D345" s="1">
        <v>707.76</v>
      </c>
      <c r="E345" s="1">
        <v>-53.33</v>
      </c>
      <c r="F345" s="1">
        <v>0</v>
      </c>
      <c r="G345" s="1">
        <v>287.98399999999998</v>
      </c>
      <c r="H345" s="1">
        <v>4246.549</v>
      </c>
      <c r="I345" s="1">
        <v>-4497.1409999999996</v>
      </c>
    </row>
    <row r="346" spans="1:9" hidden="1" x14ac:dyDescent="0.25">
      <c r="A346" s="1" t="s">
        <v>126</v>
      </c>
      <c r="B346" s="1" t="s">
        <v>180</v>
      </c>
      <c r="C346" s="1" t="s">
        <v>143</v>
      </c>
      <c r="D346" s="1">
        <v>676.23</v>
      </c>
      <c r="E346" s="1">
        <v>53.33</v>
      </c>
      <c r="F346" s="1">
        <v>0</v>
      </c>
      <c r="G346" s="1">
        <v>-351.98</v>
      </c>
      <c r="H346" s="1">
        <v>4057.3870000000002</v>
      </c>
      <c r="I346" s="1">
        <v>-3967.6669999999999</v>
      </c>
    </row>
    <row r="347" spans="1:9" hidden="1" x14ac:dyDescent="0.25">
      <c r="A347" s="1" t="s">
        <v>126</v>
      </c>
      <c r="B347" s="1" t="s">
        <v>180</v>
      </c>
      <c r="C347" s="1" t="s">
        <v>3</v>
      </c>
      <c r="D347" s="1">
        <v>707.76</v>
      </c>
      <c r="E347" s="1">
        <v>53.33</v>
      </c>
      <c r="F347" s="1">
        <v>0</v>
      </c>
      <c r="G347" s="1">
        <v>-351.98</v>
      </c>
      <c r="H347" s="1">
        <v>4246.549</v>
      </c>
      <c r="I347" s="1">
        <v>-3995.9569999999999</v>
      </c>
    </row>
    <row r="348" spans="1:9" hidden="1" x14ac:dyDescent="0.25">
      <c r="A348" s="1" t="s">
        <v>126</v>
      </c>
      <c r="B348" s="1" t="s">
        <v>181</v>
      </c>
      <c r="C348" s="1" t="s">
        <v>143</v>
      </c>
      <c r="D348" s="1">
        <v>676.23</v>
      </c>
      <c r="E348" s="1">
        <v>53.33</v>
      </c>
      <c r="F348" s="1">
        <v>0</v>
      </c>
      <c r="G348" s="1">
        <v>-287.98399999999998</v>
      </c>
      <c r="H348" s="1">
        <v>4057.3870000000002</v>
      </c>
      <c r="I348" s="1">
        <v>-3967.6669999999999</v>
      </c>
    </row>
    <row r="349" spans="1:9" hidden="1" x14ac:dyDescent="0.25">
      <c r="A349" s="1" t="s">
        <v>126</v>
      </c>
      <c r="B349" s="1" t="s">
        <v>181</v>
      </c>
      <c r="C349" s="1" t="s">
        <v>3</v>
      </c>
      <c r="D349" s="1">
        <v>707.76</v>
      </c>
      <c r="E349" s="1">
        <v>53.33</v>
      </c>
      <c r="F349" s="1">
        <v>0</v>
      </c>
      <c r="G349" s="1">
        <v>-287.98399999999998</v>
      </c>
      <c r="H349" s="1">
        <v>4246.549</v>
      </c>
      <c r="I349" s="1">
        <v>-3995.9569999999999</v>
      </c>
    </row>
    <row r="350" spans="1:9" hidden="1" x14ac:dyDescent="0.25">
      <c r="A350" s="1" t="s">
        <v>126</v>
      </c>
      <c r="B350" s="1" t="s">
        <v>182</v>
      </c>
      <c r="C350" s="1" t="s">
        <v>143</v>
      </c>
      <c r="D350" s="1">
        <v>676.23</v>
      </c>
      <c r="E350" s="1">
        <v>0</v>
      </c>
      <c r="F350" s="1">
        <v>-53.33</v>
      </c>
      <c r="G350" s="1">
        <v>-351.98</v>
      </c>
      <c r="H350" s="1">
        <v>4147.107</v>
      </c>
      <c r="I350" s="1">
        <v>-4057.3870000000002</v>
      </c>
    </row>
    <row r="351" spans="1:9" hidden="1" x14ac:dyDescent="0.25">
      <c r="A351" s="1" t="s">
        <v>126</v>
      </c>
      <c r="B351" s="1" t="s">
        <v>182</v>
      </c>
      <c r="C351" s="1" t="s">
        <v>3</v>
      </c>
      <c r="D351" s="1">
        <v>707.76</v>
      </c>
      <c r="E351" s="1">
        <v>0</v>
      </c>
      <c r="F351" s="1">
        <v>-53.33</v>
      </c>
      <c r="G351" s="1">
        <v>-351.98</v>
      </c>
      <c r="H351" s="1">
        <v>4497.1409999999996</v>
      </c>
      <c r="I351" s="1">
        <v>-4246.549</v>
      </c>
    </row>
    <row r="352" spans="1:9" hidden="1" x14ac:dyDescent="0.25">
      <c r="A352" s="1" t="s">
        <v>126</v>
      </c>
      <c r="B352" s="1" t="s">
        <v>183</v>
      </c>
      <c r="C352" s="1" t="s">
        <v>143</v>
      </c>
      <c r="D352" s="1">
        <v>676.23</v>
      </c>
      <c r="E352" s="1">
        <v>0</v>
      </c>
      <c r="F352" s="1">
        <v>-53.33</v>
      </c>
      <c r="G352" s="1">
        <v>-287.98399999999998</v>
      </c>
      <c r="H352" s="1">
        <v>4147.107</v>
      </c>
      <c r="I352" s="1">
        <v>-4057.3870000000002</v>
      </c>
    </row>
    <row r="353" spans="1:9" hidden="1" x14ac:dyDescent="0.25">
      <c r="A353" s="1" t="s">
        <v>126</v>
      </c>
      <c r="B353" s="1" t="s">
        <v>183</v>
      </c>
      <c r="C353" s="1" t="s">
        <v>3</v>
      </c>
      <c r="D353" s="1">
        <v>707.76</v>
      </c>
      <c r="E353" s="1">
        <v>0</v>
      </c>
      <c r="F353" s="1">
        <v>-53.33</v>
      </c>
      <c r="G353" s="1">
        <v>-287.98399999999998</v>
      </c>
      <c r="H353" s="1">
        <v>4497.1409999999996</v>
      </c>
      <c r="I353" s="1">
        <v>-4246.549</v>
      </c>
    </row>
    <row r="354" spans="1:9" hidden="1" x14ac:dyDescent="0.25">
      <c r="A354" s="1" t="s">
        <v>126</v>
      </c>
      <c r="B354" s="1" t="s">
        <v>184</v>
      </c>
      <c r="C354" s="1" t="s">
        <v>143</v>
      </c>
      <c r="D354" s="1">
        <v>676.23</v>
      </c>
      <c r="E354" s="1">
        <v>0</v>
      </c>
      <c r="F354" s="1">
        <v>53.33</v>
      </c>
      <c r="G354" s="1">
        <v>351.98</v>
      </c>
      <c r="H354" s="1">
        <v>3967.6669999999999</v>
      </c>
      <c r="I354" s="1">
        <v>-4057.3870000000002</v>
      </c>
    </row>
    <row r="355" spans="1:9" hidden="1" x14ac:dyDescent="0.25">
      <c r="A355" s="1" t="s">
        <v>126</v>
      </c>
      <c r="B355" s="1" t="s">
        <v>184</v>
      </c>
      <c r="C355" s="1" t="s">
        <v>3</v>
      </c>
      <c r="D355" s="1">
        <v>707.76</v>
      </c>
      <c r="E355" s="1">
        <v>0</v>
      </c>
      <c r="F355" s="1">
        <v>53.33</v>
      </c>
      <c r="G355" s="1">
        <v>351.98</v>
      </c>
      <c r="H355" s="1">
        <v>3995.9569999999999</v>
      </c>
      <c r="I355" s="1">
        <v>-4246.549</v>
      </c>
    </row>
    <row r="356" spans="1:9" hidden="1" x14ac:dyDescent="0.25">
      <c r="A356" s="1" t="s">
        <v>126</v>
      </c>
      <c r="B356" s="1" t="s">
        <v>185</v>
      </c>
      <c r="C356" s="1" t="s">
        <v>143</v>
      </c>
      <c r="D356" s="1">
        <v>676.23</v>
      </c>
      <c r="E356" s="1">
        <v>0</v>
      </c>
      <c r="F356" s="1">
        <v>53.33</v>
      </c>
      <c r="G356" s="1">
        <v>287.98399999999998</v>
      </c>
      <c r="H356" s="1">
        <v>3967.6669999999999</v>
      </c>
      <c r="I356" s="1">
        <v>-4057.3870000000002</v>
      </c>
    </row>
    <row r="357" spans="1:9" hidden="1" x14ac:dyDescent="0.25">
      <c r="A357" s="1" t="s">
        <v>126</v>
      </c>
      <c r="B357" s="1" t="s">
        <v>185</v>
      </c>
      <c r="C357" s="1" t="s">
        <v>3</v>
      </c>
      <c r="D357" s="1">
        <v>707.76</v>
      </c>
      <c r="E357" s="1">
        <v>0</v>
      </c>
      <c r="F357" s="1">
        <v>53.33</v>
      </c>
      <c r="G357" s="1">
        <v>287.98399999999998</v>
      </c>
      <c r="H357" s="1">
        <v>3995.9569999999999</v>
      </c>
      <c r="I357" s="1">
        <v>-4246.549</v>
      </c>
    </row>
    <row r="358" spans="1:9" hidden="1" x14ac:dyDescent="0.25">
      <c r="A358" s="1" t="s">
        <v>126</v>
      </c>
      <c r="B358" s="1" t="s">
        <v>186</v>
      </c>
      <c r="C358" s="1" t="s">
        <v>143</v>
      </c>
      <c r="D358" s="1">
        <v>535.55999999999995</v>
      </c>
      <c r="E358" s="1">
        <v>-53.33</v>
      </c>
      <c r="F358" s="1">
        <v>0</v>
      </c>
      <c r="G358" s="1">
        <v>351.98</v>
      </c>
      <c r="H358" s="1">
        <v>3213.346</v>
      </c>
      <c r="I358" s="1">
        <v>-3303.0659999999998</v>
      </c>
    </row>
    <row r="359" spans="1:9" hidden="1" x14ac:dyDescent="0.25">
      <c r="A359" s="1" t="s">
        <v>126</v>
      </c>
      <c r="B359" s="1" t="s">
        <v>186</v>
      </c>
      <c r="C359" s="1" t="s">
        <v>3</v>
      </c>
      <c r="D359" s="1">
        <v>560.08000000000004</v>
      </c>
      <c r="E359" s="1">
        <v>-53.33</v>
      </c>
      <c r="F359" s="1">
        <v>0</v>
      </c>
      <c r="G359" s="1">
        <v>351.98</v>
      </c>
      <c r="H359" s="1">
        <v>3360.471</v>
      </c>
      <c r="I359" s="1">
        <v>-3611.0639999999999</v>
      </c>
    </row>
    <row r="360" spans="1:9" hidden="1" x14ac:dyDescent="0.25">
      <c r="A360" s="1" t="s">
        <v>126</v>
      </c>
      <c r="B360" s="1" t="s">
        <v>187</v>
      </c>
      <c r="C360" s="1" t="s">
        <v>143</v>
      </c>
      <c r="D360" s="1">
        <v>535.55999999999995</v>
      </c>
      <c r="E360" s="1">
        <v>-53.33</v>
      </c>
      <c r="F360" s="1">
        <v>0</v>
      </c>
      <c r="G360" s="1">
        <v>287.98399999999998</v>
      </c>
      <c r="H360" s="1">
        <v>3213.346</v>
      </c>
      <c r="I360" s="1">
        <v>-3303.0659999999998</v>
      </c>
    </row>
    <row r="361" spans="1:9" hidden="1" x14ac:dyDescent="0.25">
      <c r="A361" s="1" t="s">
        <v>126</v>
      </c>
      <c r="B361" s="1" t="s">
        <v>187</v>
      </c>
      <c r="C361" s="1" t="s">
        <v>3</v>
      </c>
      <c r="D361" s="1">
        <v>560.08000000000004</v>
      </c>
      <c r="E361" s="1">
        <v>-53.33</v>
      </c>
      <c r="F361" s="1">
        <v>0</v>
      </c>
      <c r="G361" s="1">
        <v>287.98399999999998</v>
      </c>
      <c r="H361" s="1">
        <v>3360.471</v>
      </c>
      <c r="I361" s="1">
        <v>-3611.0639999999999</v>
      </c>
    </row>
    <row r="362" spans="1:9" hidden="1" x14ac:dyDescent="0.25">
      <c r="A362" s="1" t="s">
        <v>126</v>
      </c>
      <c r="B362" s="1" t="s">
        <v>188</v>
      </c>
      <c r="C362" s="1" t="s">
        <v>143</v>
      </c>
      <c r="D362" s="1">
        <v>535.55999999999995</v>
      </c>
      <c r="E362" s="1">
        <v>53.33</v>
      </c>
      <c r="F362" s="1">
        <v>0</v>
      </c>
      <c r="G362" s="1">
        <v>-351.98</v>
      </c>
      <c r="H362" s="1">
        <v>3213.346</v>
      </c>
      <c r="I362" s="1">
        <v>-3123.6260000000002</v>
      </c>
    </row>
    <row r="363" spans="1:9" hidden="1" x14ac:dyDescent="0.25">
      <c r="A363" s="1" t="s">
        <v>126</v>
      </c>
      <c r="B363" s="1" t="s">
        <v>188</v>
      </c>
      <c r="C363" s="1" t="s">
        <v>3</v>
      </c>
      <c r="D363" s="1">
        <v>560.08000000000004</v>
      </c>
      <c r="E363" s="1">
        <v>53.33</v>
      </c>
      <c r="F363" s="1">
        <v>0</v>
      </c>
      <c r="G363" s="1">
        <v>-351.98</v>
      </c>
      <c r="H363" s="1">
        <v>3360.471</v>
      </c>
      <c r="I363" s="1">
        <v>-3109.8789999999999</v>
      </c>
    </row>
    <row r="364" spans="1:9" hidden="1" x14ac:dyDescent="0.25">
      <c r="A364" s="1" t="s">
        <v>126</v>
      </c>
      <c r="B364" s="1" t="s">
        <v>189</v>
      </c>
      <c r="C364" s="1" t="s">
        <v>143</v>
      </c>
      <c r="D364" s="1">
        <v>535.55999999999995</v>
      </c>
      <c r="E364" s="1">
        <v>53.33</v>
      </c>
      <c r="F364" s="1">
        <v>0</v>
      </c>
      <c r="G364" s="1">
        <v>-287.98399999999998</v>
      </c>
      <c r="H364" s="1">
        <v>3213.346</v>
      </c>
      <c r="I364" s="1">
        <v>-3123.6260000000002</v>
      </c>
    </row>
    <row r="365" spans="1:9" hidden="1" x14ac:dyDescent="0.25">
      <c r="A365" s="1" t="s">
        <v>126</v>
      </c>
      <c r="B365" s="1" t="s">
        <v>189</v>
      </c>
      <c r="C365" s="1" t="s">
        <v>3</v>
      </c>
      <c r="D365" s="1">
        <v>560.08000000000004</v>
      </c>
      <c r="E365" s="1">
        <v>53.33</v>
      </c>
      <c r="F365" s="1">
        <v>0</v>
      </c>
      <c r="G365" s="1">
        <v>-287.98399999999998</v>
      </c>
      <c r="H365" s="1">
        <v>3360.471</v>
      </c>
      <c r="I365" s="1">
        <v>-3109.8789999999999</v>
      </c>
    </row>
    <row r="366" spans="1:9" hidden="1" x14ac:dyDescent="0.25">
      <c r="A366" s="1" t="s">
        <v>126</v>
      </c>
      <c r="B366" s="1" t="s">
        <v>190</v>
      </c>
      <c r="C366" s="1" t="s">
        <v>143</v>
      </c>
      <c r="D366" s="1">
        <v>535.55999999999995</v>
      </c>
      <c r="E366" s="1">
        <v>0</v>
      </c>
      <c r="F366" s="1">
        <v>-53.33</v>
      </c>
      <c r="G366" s="1">
        <v>-351.98</v>
      </c>
      <c r="H366" s="1">
        <v>3303.0659999999998</v>
      </c>
      <c r="I366" s="1">
        <v>-3213.346</v>
      </c>
    </row>
    <row r="367" spans="1:9" hidden="1" x14ac:dyDescent="0.25">
      <c r="A367" s="1" t="s">
        <v>126</v>
      </c>
      <c r="B367" s="1" t="s">
        <v>190</v>
      </c>
      <c r="C367" s="1" t="s">
        <v>3</v>
      </c>
      <c r="D367" s="1">
        <v>560.08000000000004</v>
      </c>
      <c r="E367" s="1">
        <v>0</v>
      </c>
      <c r="F367" s="1">
        <v>-53.33</v>
      </c>
      <c r="G367" s="1">
        <v>-351.98</v>
      </c>
      <c r="H367" s="1">
        <v>3611.0639999999999</v>
      </c>
      <c r="I367" s="1">
        <v>-3360.471</v>
      </c>
    </row>
    <row r="368" spans="1:9" hidden="1" x14ac:dyDescent="0.25">
      <c r="A368" s="1" t="s">
        <v>126</v>
      </c>
      <c r="B368" s="1" t="s">
        <v>191</v>
      </c>
      <c r="C368" s="1" t="s">
        <v>143</v>
      </c>
      <c r="D368" s="1">
        <v>535.55999999999995</v>
      </c>
      <c r="E368" s="1">
        <v>0</v>
      </c>
      <c r="F368" s="1">
        <v>-53.33</v>
      </c>
      <c r="G368" s="1">
        <v>-287.98399999999998</v>
      </c>
      <c r="H368" s="1">
        <v>3303.0659999999998</v>
      </c>
      <c r="I368" s="1">
        <v>-3213.346</v>
      </c>
    </row>
    <row r="369" spans="1:9" hidden="1" x14ac:dyDescent="0.25">
      <c r="A369" s="1" t="s">
        <v>126</v>
      </c>
      <c r="B369" s="1" t="s">
        <v>191</v>
      </c>
      <c r="C369" s="1" t="s">
        <v>3</v>
      </c>
      <c r="D369" s="1">
        <v>560.08000000000004</v>
      </c>
      <c r="E369" s="1">
        <v>0</v>
      </c>
      <c r="F369" s="1">
        <v>-53.33</v>
      </c>
      <c r="G369" s="1">
        <v>-287.98399999999998</v>
      </c>
      <c r="H369" s="1">
        <v>3611.0639999999999</v>
      </c>
      <c r="I369" s="1">
        <v>-3360.471</v>
      </c>
    </row>
    <row r="370" spans="1:9" hidden="1" x14ac:dyDescent="0.25">
      <c r="A370" s="1" t="s">
        <v>126</v>
      </c>
      <c r="B370" s="1" t="s">
        <v>192</v>
      </c>
      <c r="C370" s="1" t="s">
        <v>143</v>
      </c>
      <c r="D370" s="1">
        <v>535.55999999999995</v>
      </c>
      <c r="E370" s="1">
        <v>0</v>
      </c>
      <c r="F370" s="1">
        <v>53.33</v>
      </c>
      <c r="G370" s="1">
        <v>351.98</v>
      </c>
      <c r="H370" s="1">
        <v>3123.6260000000002</v>
      </c>
      <c r="I370" s="1">
        <v>-3213.346</v>
      </c>
    </row>
    <row r="371" spans="1:9" hidden="1" x14ac:dyDescent="0.25">
      <c r="A371" s="1" t="s">
        <v>126</v>
      </c>
      <c r="B371" s="1" t="s">
        <v>192</v>
      </c>
      <c r="C371" s="1" t="s">
        <v>3</v>
      </c>
      <c r="D371" s="1">
        <v>560.08000000000004</v>
      </c>
      <c r="E371" s="1">
        <v>0</v>
      </c>
      <c r="F371" s="1">
        <v>53.33</v>
      </c>
      <c r="G371" s="1">
        <v>351.98</v>
      </c>
      <c r="H371" s="1">
        <v>3109.8789999999999</v>
      </c>
      <c r="I371" s="1">
        <v>-3360.471</v>
      </c>
    </row>
    <row r="372" spans="1:9" hidden="1" x14ac:dyDescent="0.25">
      <c r="A372" s="1" t="s">
        <v>126</v>
      </c>
      <c r="B372" s="1" t="s">
        <v>193</v>
      </c>
      <c r="C372" s="1" t="s">
        <v>143</v>
      </c>
      <c r="D372" s="1">
        <v>535.55999999999995</v>
      </c>
      <c r="E372" s="1">
        <v>0</v>
      </c>
      <c r="F372" s="1">
        <v>53.33</v>
      </c>
      <c r="G372" s="1">
        <v>287.98399999999998</v>
      </c>
      <c r="H372" s="1">
        <v>3123.6260000000002</v>
      </c>
      <c r="I372" s="1">
        <v>-3213.346</v>
      </c>
    </row>
    <row r="373" spans="1:9" hidden="1" x14ac:dyDescent="0.25">
      <c r="A373" s="1" t="s">
        <v>126</v>
      </c>
      <c r="B373" s="1" t="s">
        <v>193</v>
      </c>
      <c r="C373" s="1" t="s">
        <v>3</v>
      </c>
      <c r="D373" s="1">
        <v>560.08000000000004</v>
      </c>
      <c r="E373" s="1">
        <v>0</v>
      </c>
      <c r="F373" s="1">
        <v>53.33</v>
      </c>
      <c r="G373" s="1">
        <v>287.98399999999998</v>
      </c>
      <c r="H373" s="1">
        <v>3109.8789999999999</v>
      </c>
      <c r="I373" s="1">
        <v>-3360.471</v>
      </c>
    </row>
    <row r="374" spans="1:9" hidden="1" x14ac:dyDescent="0.25">
      <c r="A374" s="1" t="s">
        <v>126</v>
      </c>
      <c r="B374" s="1" t="s">
        <v>194</v>
      </c>
      <c r="C374" s="1" t="s">
        <v>143</v>
      </c>
      <c r="D374" s="1">
        <v>443.12</v>
      </c>
      <c r="E374" s="1">
        <v>-177.77</v>
      </c>
      <c r="F374" s="1">
        <v>0</v>
      </c>
      <c r="G374" s="1">
        <v>1173.2660000000001</v>
      </c>
      <c r="H374" s="1">
        <v>2658.7310000000002</v>
      </c>
      <c r="I374" s="1">
        <v>-2957.7979999999998</v>
      </c>
    </row>
    <row r="375" spans="1:9" hidden="1" x14ac:dyDescent="0.25">
      <c r="A375" s="1" t="s">
        <v>126</v>
      </c>
      <c r="B375" s="1" t="s">
        <v>194</v>
      </c>
      <c r="C375" s="1" t="s">
        <v>3</v>
      </c>
      <c r="D375" s="1">
        <v>465.19</v>
      </c>
      <c r="E375" s="1">
        <v>-177.77</v>
      </c>
      <c r="F375" s="1">
        <v>0</v>
      </c>
      <c r="G375" s="1">
        <v>1173.2660000000001</v>
      </c>
      <c r="H375" s="1">
        <v>2791.1439999999998</v>
      </c>
      <c r="I375" s="1">
        <v>-3626.4520000000002</v>
      </c>
    </row>
    <row r="376" spans="1:9" hidden="1" x14ac:dyDescent="0.25">
      <c r="A376" s="1" t="s">
        <v>126</v>
      </c>
      <c r="B376" s="1" t="s">
        <v>195</v>
      </c>
      <c r="C376" s="1" t="s">
        <v>143</v>
      </c>
      <c r="D376" s="1">
        <v>443.12</v>
      </c>
      <c r="E376" s="1">
        <v>-177.77</v>
      </c>
      <c r="F376" s="1">
        <v>0</v>
      </c>
      <c r="G376" s="1">
        <v>959.94500000000005</v>
      </c>
      <c r="H376" s="1">
        <v>2658.7310000000002</v>
      </c>
      <c r="I376" s="1">
        <v>-2957.7979999999998</v>
      </c>
    </row>
    <row r="377" spans="1:9" hidden="1" x14ac:dyDescent="0.25">
      <c r="A377" s="1" t="s">
        <v>126</v>
      </c>
      <c r="B377" s="1" t="s">
        <v>195</v>
      </c>
      <c r="C377" s="1" t="s">
        <v>3</v>
      </c>
      <c r="D377" s="1">
        <v>465.19</v>
      </c>
      <c r="E377" s="1">
        <v>-177.77</v>
      </c>
      <c r="F377" s="1">
        <v>0</v>
      </c>
      <c r="G377" s="1">
        <v>959.94500000000005</v>
      </c>
      <c r="H377" s="1">
        <v>2791.1439999999998</v>
      </c>
      <c r="I377" s="1">
        <v>-3626.4520000000002</v>
      </c>
    </row>
    <row r="378" spans="1:9" hidden="1" x14ac:dyDescent="0.25">
      <c r="A378" s="1" t="s">
        <v>126</v>
      </c>
      <c r="B378" s="1" t="s">
        <v>196</v>
      </c>
      <c r="C378" s="1" t="s">
        <v>143</v>
      </c>
      <c r="D378" s="1">
        <v>443.12</v>
      </c>
      <c r="E378" s="1">
        <v>177.77</v>
      </c>
      <c r="F378" s="1">
        <v>0</v>
      </c>
      <c r="G378" s="1">
        <v>-1173.2660000000001</v>
      </c>
      <c r="H378" s="1">
        <v>2658.7310000000002</v>
      </c>
      <c r="I378" s="1">
        <v>-2359.665</v>
      </c>
    </row>
    <row r="379" spans="1:9" hidden="1" x14ac:dyDescent="0.25">
      <c r="A379" s="1" t="s">
        <v>126</v>
      </c>
      <c r="B379" s="1" t="s">
        <v>196</v>
      </c>
      <c r="C379" s="1" t="s">
        <v>3</v>
      </c>
      <c r="D379" s="1">
        <v>465.19</v>
      </c>
      <c r="E379" s="1">
        <v>177.77</v>
      </c>
      <c r="F379" s="1">
        <v>0</v>
      </c>
      <c r="G379" s="1">
        <v>-1173.2660000000001</v>
      </c>
      <c r="H379" s="1">
        <v>2791.1439999999998</v>
      </c>
      <c r="I379" s="1">
        <v>-1955.837</v>
      </c>
    </row>
    <row r="380" spans="1:9" hidden="1" x14ac:dyDescent="0.25">
      <c r="A380" s="1" t="s">
        <v>126</v>
      </c>
      <c r="B380" s="1" t="s">
        <v>197</v>
      </c>
      <c r="C380" s="1" t="s">
        <v>143</v>
      </c>
      <c r="D380" s="1">
        <v>443.12</v>
      </c>
      <c r="E380" s="1">
        <v>177.77</v>
      </c>
      <c r="F380" s="1">
        <v>0</v>
      </c>
      <c r="G380" s="1">
        <v>-959.94500000000005</v>
      </c>
      <c r="H380" s="1">
        <v>2658.7310000000002</v>
      </c>
      <c r="I380" s="1">
        <v>-2359.665</v>
      </c>
    </row>
    <row r="381" spans="1:9" hidden="1" x14ac:dyDescent="0.25">
      <c r="A381" s="1" t="s">
        <v>126</v>
      </c>
      <c r="B381" s="1" t="s">
        <v>197</v>
      </c>
      <c r="C381" s="1" t="s">
        <v>3</v>
      </c>
      <c r="D381" s="1">
        <v>465.19</v>
      </c>
      <c r="E381" s="1">
        <v>177.77</v>
      </c>
      <c r="F381" s="1">
        <v>0</v>
      </c>
      <c r="G381" s="1">
        <v>-959.94500000000005</v>
      </c>
      <c r="H381" s="1">
        <v>2791.1439999999998</v>
      </c>
      <c r="I381" s="1">
        <v>-1955.837</v>
      </c>
    </row>
    <row r="382" spans="1:9" hidden="1" x14ac:dyDescent="0.25">
      <c r="A382" s="1" t="s">
        <v>126</v>
      </c>
      <c r="B382" s="1" t="s">
        <v>198</v>
      </c>
      <c r="C382" s="1" t="s">
        <v>143</v>
      </c>
      <c r="D382" s="1">
        <v>443.12</v>
      </c>
      <c r="E382" s="1">
        <v>0</v>
      </c>
      <c r="F382" s="1">
        <v>-177.77</v>
      </c>
      <c r="G382" s="1">
        <v>-1173.2660000000001</v>
      </c>
      <c r="H382" s="1">
        <v>2957.7979999999998</v>
      </c>
      <c r="I382" s="1">
        <v>-2658.7310000000002</v>
      </c>
    </row>
    <row r="383" spans="1:9" hidden="1" x14ac:dyDescent="0.25">
      <c r="A383" s="1" t="s">
        <v>126</v>
      </c>
      <c r="B383" s="1" t="s">
        <v>198</v>
      </c>
      <c r="C383" s="1" t="s">
        <v>3</v>
      </c>
      <c r="D383" s="1">
        <v>465.19</v>
      </c>
      <c r="E383" s="1">
        <v>0</v>
      </c>
      <c r="F383" s="1">
        <v>-177.77</v>
      </c>
      <c r="G383" s="1">
        <v>-1173.2660000000001</v>
      </c>
      <c r="H383" s="1">
        <v>3626.4520000000002</v>
      </c>
      <c r="I383" s="1">
        <v>-2791.1439999999998</v>
      </c>
    </row>
    <row r="384" spans="1:9" hidden="1" x14ac:dyDescent="0.25">
      <c r="A384" s="1" t="s">
        <v>126</v>
      </c>
      <c r="B384" s="1" t="s">
        <v>199</v>
      </c>
      <c r="C384" s="1" t="s">
        <v>143</v>
      </c>
      <c r="D384" s="1">
        <v>443.12</v>
      </c>
      <c r="E384" s="1">
        <v>0</v>
      </c>
      <c r="F384" s="1">
        <v>-177.77</v>
      </c>
      <c r="G384" s="1">
        <v>-959.94500000000005</v>
      </c>
      <c r="H384" s="1">
        <v>2957.7979999999998</v>
      </c>
      <c r="I384" s="1">
        <v>-2658.7310000000002</v>
      </c>
    </row>
    <row r="385" spans="1:9" hidden="1" x14ac:dyDescent="0.25">
      <c r="A385" s="1" t="s">
        <v>126</v>
      </c>
      <c r="B385" s="1" t="s">
        <v>199</v>
      </c>
      <c r="C385" s="1" t="s">
        <v>3</v>
      </c>
      <c r="D385" s="1">
        <v>465.19</v>
      </c>
      <c r="E385" s="1">
        <v>0</v>
      </c>
      <c r="F385" s="1">
        <v>-177.77</v>
      </c>
      <c r="G385" s="1">
        <v>-959.94500000000005</v>
      </c>
      <c r="H385" s="1">
        <v>3626.4520000000002</v>
      </c>
      <c r="I385" s="1">
        <v>-2791.1439999999998</v>
      </c>
    </row>
    <row r="386" spans="1:9" hidden="1" x14ac:dyDescent="0.25">
      <c r="A386" s="1" t="s">
        <v>126</v>
      </c>
      <c r="B386" s="1" t="s">
        <v>200</v>
      </c>
      <c r="C386" s="1" t="s">
        <v>143</v>
      </c>
      <c r="D386" s="1">
        <v>443.12</v>
      </c>
      <c r="E386" s="1">
        <v>0</v>
      </c>
      <c r="F386" s="1">
        <v>177.77</v>
      </c>
      <c r="G386" s="1">
        <v>1173.2660000000001</v>
      </c>
      <c r="H386" s="1">
        <v>2359.665</v>
      </c>
      <c r="I386" s="1">
        <v>-2658.7310000000002</v>
      </c>
    </row>
    <row r="387" spans="1:9" hidden="1" x14ac:dyDescent="0.25">
      <c r="A387" s="1" t="s">
        <v>126</v>
      </c>
      <c r="B387" s="1" t="s">
        <v>200</v>
      </c>
      <c r="C387" s="1" t="s">
        <v>3</v>
      </c>
      <c r="D387" s="1">
        <v>465.19</v>
      </c>
      <c r="E387" s="1">
        <v>0</v>
      </c>
      <c r="F387" s="1">
        <v>177.77</v>
      </c>
      <c r="G387" s="1">
        <v>1173.2660000000001</v>
      </c>
      <c r="H387" s="1">
        <v>1955.837</v>
      </c>
      <c r="I387" s="1">
        <v>-2791.1439999999998</v>
      </c>
    </row>
    <row r="388" spans="1:9" hidden="1" x14ac:dyDescent="0.25">
      <c r="A388" s="1" t="s">
        <v>126</v>
      </c>
      <c r="B388" s="1" t="s">
        <v>201</v>
      </c>
      <c r="C388" s="1" t="s">
        <v>143</v>
      </c>
      <c r="D388" s="1">
        <v>443.12</v>
      </c>
      <c r="E388" s="1">
        <v>0</v>
      </c>
      <c r="F388" s="1">
        <v>177.77</v>
      </c>
      <c r="G388" s="1">
        <v>959.94500000000005</v>
      </c>
      <c r="H388" s="1">
        <v>2359.665</v>
      </c>
      <c r="I388" s="1">
        <v>-2658.7310000000002</v>
      </c>
    </row>
    <row r="389" spans="1:9" hidden="1" x14ac:dyDescent="0.25">
      <c r="A389" s="1" t="s">
        <v>126</v>
      </c>
      <c r="B389" s="1" t="s">
        <v>201</v>
      </c>
      <c r="C389" s="1" t="s">
        <v>3</v>
      </c>
      <c r="D389" s="1">
        <v>465.19</v>
      </c>
      <c r="E389" s="1">
        <v>0</v>
      </c>
      <c r="F389" s="1">
        <v>177.77</v>
      </c>
      <c r="G389" s="1">
        <v>959.94500000000005</v>
      </c>
      <c r="H389" s="1">
        <v>1955.837</v>
      </c>
      <c r="I389" s="1">
        <v>-2791.1439999999998</v>
      </c>
    </row>
    <row r="390" spans="1:9" hidden="1" x14ac:dyDescent="0.25">
      <c r="A390" s="1" t="s">
        <v>126</v>
      </c>
      <c r="B390" s="1" t="s">
        <v>202</v>
      </c>
      <c r="C390" s="1" t="s">
        <v>143</v>
      </c>
      <c r="D390" s="1">
        <v>400.92</v>
      </c>
      <c r="E390" s="1">
        <v>-177.77</v>
      </c>
      <c r="F390" s="1">
        <v>0</v>
      </c>
      <c r="G390" s="1">
        <v>1173.2660000000001</v>
      </c>
      <c r="H390" s="1">
        <v>2405.5189999999998</v>
      </c>
      <c r="I390" s="1">
        <v>-2704.585</v>
      </c>
    </row>
    <row r="391" spans="1:9" hidden="1" x14ac:dyDescent="0.25">
      <c r="A391" s="1" t="s">
        <v>126</v>
      </c>
      <c r="B391" s="1" t="s">
        <v>202</v>
      </c>
      <c r="C391" s="1" t="s">
        <v>3</v>
      </c>
      <c r="D391" s="1">
        <v>420.89</v>
      </c>
      <c r="E391" s="1">
        <v>-177.77</v>
      </c>
      <c r="F391" s="1">
        <v>0</v>
      </c>
      <c r="G391" s="1">
        <v>1173.2660000000001</v>
      </c>
      <c r="H391" s="1">
        <v>2525.3209999999999</v>
      </c>
      <c r="I391" s="1">
        <v>-3360.6280000000002</v>
      </c>
    </row>
    <row r="392" spans="1:9" hidden="1" x14ac:dyDescent="0.25">
      <c r="A392" s="1" t="s">
        <v>126</v>
      </c>
      <c r="B392" s="1" t="s">
        <v>203</v>
      </c>
      <c r="C392" s="1" t="s">
        <v>143</v>
      </c>
      <c r="D392" s="1">
        <v>400.92</v>
      </c>
      <c r="E392" s="1">
        <v>-177.77</v>
      </c>
      <c r="F392" s="1">
        <v>0</v>
      </c>
      <c r="G392" s="1">
        <v>959.94500000000005</v>
      </c>
      <c r="H392" s="1">
        <v>2405.5189999999998</v>
      </c>
      <c r="I392" s="1">
        <v>-2704.585</v>
      </c>
    </row>
    <row r="393" spans="1:9" hidden="1" x14ac:dyDescent="0.25">
      <c r="A393" s="1" t="s">
        <v>126</v>
      </c>
      <c r="B393" s="1" t="s">
        <v>203</v>
      </c>
      <c r="C393" s="1" t="s">
        <v>3</v>
      </c>
      <c r="D393" s="1">
        <v>420.89</v>
      </c>
      <c r="E393" s="1">
        <v>-177.77</v>
      </c>
      <c r="F393" s="1">
        <v>0</v>
      </c>
      <c r="G393" s="1">
        <v>959.94500000000005</v>
      </c>
      <c r="H393" s="1">
        <v>2525.3209999999999</v>
      </c>
      <c r="I393" s="1">
        <v>-3360.6280000000002</v>
      </c>
    </row>
    <row r="394" spans="1:9" hidden="1" x14ac:dyDescent="0.25">
      <c r="A394" s="1" t="s">
        <v>126</v>
      </c>
      <c r="B394" s="1" t="s">
        <v>204</v>
      </c>
      <c r="C394" s="1" t="s">
        <v>143</v>
      </c>
      <c r="D394" s="1">
        <v>400.92</v>
      </c>
      <c r="E394" s="1">
        <v>177.77</v>
      </c>
      <c r="F394" s="1">
        <v>0</v>
      </c>
      <c r="G394" s="1">
        <v>-1173.2660000000001</v>
      </c>
      <c r="H394" s="1">
        <v>2405.5189999999998</v>
      </c>
      <c r="I394" s="1">
        <v>-2106.4520000000002</v>
      </c>
    </row>
    <row r="395" spans="1:9" hidden="1" x14ac:dyDescent="0.25">
      <c r="A395" s="1" t="s">
        <v>126</v>
      </c>
      <c r="B395" s="1" t="s">
        <v>204</v>
      </c>
      <c r="C395" s="1" t="s">
        <v>3</v>
      </c>
      <c r="D395" s="1">
        <v>420.89</v>
      </c>
      <c r="E395" s="1">
        <v>177.77</v>
      </c>
      <c r="F395" s="1">
        <v>0</v>
      </c>
      <c r="G395" s="1">
        <v>-1173.2660000000001</v>
      </c>
      <c r="H395" s="1">
        <v>2525.3209999999999</v>
      </c>
      <c r="I395" s="1">
        <v>-1690.0129999999999</v>
      </c>
    </row>
    <row r="396" spans="1:9" hidden="1" x14ac:dyDescent="0.25">
      <c r="A396" s="1" t="s">
        <v>126</v>
      </c>
      <c r="B396" s="1" t="s">
        <v>205</v>
      </c>
      <c r="C396" s="1" t="s">
        <v>143</v>
      </c>
      <c r="D396" s="1">
        <v>400.92</v>
      </c>
      <c r="E396" s="1">
        <v>177.77</v>
      </c>
      <c r="F396" s="1">
        <v>0</v>
      </c>
      <c r="G396" s="1">
        <v>-959.94500000000005</v>
      </c>
      <c r="H396" s="1">
        <v>2405.5189999999998</v>
      </c>
      <c r="I396" s="1">
        <v>-2106.4520000000002</v>
      </c>
    </row>
    <row r="397" spans="1:9" hidden="1" x14ac:dyDescent="0.25">
      <c r="A397" s="1" t="s">
        <v>126</v>
      </c>
      <c r="B397" s="1" t="s">
        <v>205</v>
      </c>
      <c r="C397" s="1" t="s">
        <v>3</v>
      </c>
      <c r="D397" s="1">
        <v>420.89</v>
      </c>
      <c r="E397" s="1">
        <v>177.77</v>
      </c>
      <c r="F397" s="1">
        <v>0</v>
      </c>
      <c r="G397" s="1">
        <v>-959.94500000000005</v>
      </c>
      <c r="H397" s="1">
        <v>2525.3209999999999</v>
      </c>
      <c r="I397" s="1">
        <v>-1690.0129999999999</v>
      </c>
    </row>
    <row r="398" spans="1:9" hidden="1" x14ac:dyDescent="0.25">
      <c r="A398" s="1" t="s">
        <v>126</v>
      </c>
      <c r="B398" s="1" t="s">
        <v>206</v>
      </c>
      <c r="C398" s="1" t="s">
        <v>143</v>
      </c>
      <c r="D398" s="1">
        <v>400.92</v>
      </c>
      <c r="E398" s="1">
        <v>0</v>
      </c>
      <c r="F398" s="1">
        <v>-177.77</v>
      </c>
      <c r="G398" s="1">
        <v>-1173.2660000000001</v>
      </c>
      <c r="H398" s="1">
        <v>2704.585</v>
      </c>
      <c r="I398" s="1">
        <v>-2405.5189999999998</v>
      </c>
    </row>
    <row r="399" spans="1:9" hidden="1" x14ac:dyDescent="0.25">
      <c r="A399" s="1" t="s">
        <v>126</v>
      </c>
      <c r="B399" s="1" t="s">
        <v>206</v>
      </c>
      <c r="C399" s="1" t="s">
        <v>3</v>
      </c>
      <c r="D399" s="1">
        <v>420.89</v>
      </c>
      <c r="E399" s="1">
        <v>0</v>
      </c>
      <c r="F399" s="1">
        <v>-177.77</v>
      </c>
      <c r="G399" s="1">
        <v>-1173.2660000000001</v>
      </c>
      <c r="H399" s="1">
        <v>3360.6280000000002</v>
      </c>
      <c r="I399" s="1">
        <v>-2525.3209999999999</v>
      </c>
    </row>
    <row r="400" spans="1:9" hidden="1" x14ac:dyDescent="0.25">
      <c r="A400" s="1" t="s">
        <v>126</v>
      </c>
      <c r="B400" s="1" t="s">
        <v>207</v>
      </c>
      <c r="C400" s="1" t="s">
        <v>143</v>
      </c>
      <c r="D400" s="1">
        <v>400.92</v>
      </c>
      <c r="E400" s="1">
        <v>0</v>
      </c>
      <c r="F400" s="1">
        <v>-177.77</v>
      </c>
      <c r="G400" s="1">
        <v>-959.94500000000005</v>
      </c>
      <c r="H400" s="1">
        <v>2704.585</v>
      </c>
      <c r="I400" s="1">
        <v>-2405.5189999999998</v>
      </c>
    </row>
    <row r="401" spans="1:9" hidden="1" x14ac:dyDescent="0.25">
      <c r="A401" s="1" t="s">
        <v>126</v>
      </c>
      <c r="B401" s="1" t="s">
        <v>207</v>
      </c>
      <c r="C401" s="1" t="s">
        <v>3</v>
      </c>
      <c r="D401" s="1">
        <v>420.89</v>
      </c>
      <c r="E401" s="1">
        <v>0</v>
      </c>
      <c r="F401" s="1">
        <v>-177.77</v>
      </c>
      <c r="G401" s="1">
        <v>-959.94500000000005</v>
      </c>
      <c r="H401" s="1">
        <v>3360.6280000000002</v>
      </c>
      <c r="I401" s="1">
        <v>-2525.3209999999999</v>
      </c>
    </row>
    <row r="402" spans="1:9" hidden="1" x14ac:dyDescent="0.25">
      <c r="A402" s="1" t="s">
        <v>126</v>
      </c>
      <c r="B402" s="1" t="s">
        <v>208</v>
      </c>
      <c r="C402" s="1" t="s">
        <v>143</v>
      </c>
      <c r="D402" s="1">
        <v>400.92</v>
      </c>
      <c r="E402" s="1">
        <v>0</v>
      </c>
      <c r="F402" s="1">
        <v>177.77</v>
      </c>
      <c r="G402" s="1">
        <v>1173.2660000000001</v>
      </c>
      <c r="H402" s="1">
        <v>2106.4520000000002</v>
      </c>
      <c r="I402" s="1">
        <v>-2405.5189999999998</v>
      </c>
    </row>
    <row r="403" spans="1:9" hidden="1" x14ac:dyDescent="0.25">
      <c r="A403" s="1" t="s">
        <v>126</v>
      </c>
      <c r="B403" s="1" t="s">
        <v>208</v>
      </c>
      <c r="C403" s="1" t="s">
        <v>3</v>
      </c>
      <c r="D403" s="1">
        <v>420.89</v>
      </c>
      <c r="E403" s="1">
        <v>0</v>
      </c>
      <c r="F403" s="1">
        <v>177.77</v>
      </c>
      <c r="G403" s="1">
        <v>1173.2660000000001</v>
      </c>
      <c r="H403" s="1">
        <v>1690.0129999999999</v>
      </c>
      <c r="I403" s="1">
        <v>-2525.3209999999999</v>
      </c>
    </row>
    <row r="404" spans="1:9" hidden="1" x14ac:dyDescent="0.25">
      <c r="A404" s="1" t="s">
        <v>126</v>
      </c>
      <c r="B404" s="1" t="s">
        <v>209</v>
      </c>
      <c r="C404" s="1" t="s">
        <v>143</v>
      </c>
      <c r="D404" s="1">
        <v>400.92</v>
      </c>
      <c r="E404" s="1">
        <v>0</v>
      </c>
      <c r="F404" s="1">
        <v>177.77</v>
      </c>
      <c r="G404" s="1">
        <v>959.94500000000005</v>
      </c>
      <c r="H404" s="1">
        <v>2106.4520000000002</v>
      </c>
      <c r="I404" s="1">
        <v>-2405.5189999999998</v>
      </c>
    </row>
    <row r="405" spans="1:9" hidden="1" x14ac:dyDescent="0.25">
      <c r="A405" s="1" t="s">
        <v>126</v>
      </c>
      <c r="B405" s="1" t="s">
        <v>209</v>
      </c>
      <c r="C405" s="1" t="s">
        <v>3</v>
      </c>
      <c r="D405" s="1">
        <v>420.89</v>
      </c>
      <c r="E405" s="1">
        <v>0</v>
      </c>
      <c r="F405" s="1">
        <v>177.77</v>
      </c>
      <c r="G405" s="1">
        <v>959.94500000000005</v>
      </c>
      <c r="H405" s="1">
        <v>1690.0129999999999</v>
      </c>
      <c r="I405" s="1">
        <v>-2525.3209999999999</v>
      </c>
    </row>
    <row r="406" spans="1:9" hidden="1" x14ac:dyDescent="0.25">
      <c r="A406" s="1" t="s">
        <v>126</v>
      </c>
      <c r="B406" s="1" t="s">
        <v>210</v>
      </c>
      <c r="C406" s="1" t="s">
        <v>143</v>
      </c>
      <c r="D406" s="1">
        <v>492.36</v>
      </c>
      <c r="E406" s="1">
        <v>-53.33</v>
      </c>
      <c r="F406" s="1">
        <v>0</v>
      </c>
      <c r="G406" s="1">
        <v>351.98</v>
      </c>
      <c r="H406" s="1">
        <v>2954.1460000000002</v>
      </c>
      <c r="I406" s="1">
        <v>-3043.866</v>
      </c>
    </row>
    <row r="407" spans="1:9" hidden="1" x14ac:dyDescent="0.25">
      <c r="A407" s="1" t="s">
        <v>126</v>
      </c>
      <c r="B407" s="1" t="s">
        <v>210</v>
      </c>
      <c r="C407" s="1" t="s">
        <v>3</v>
      </c>
      <c r="D407" s="1">
        <v>516.88</v>
      </c>
      <c r="E407" s="1">
        <v>-53.33</v>
      </c>
      <c r="F407" s="1">
        <v>0</v>
      </c>
      <c r="G407" s="1">
        <v>351.98</v>
      </c>
      <c r="H407" s="1">
        <v>3101.2710000000002</v>
      </c>
      <c r="I407" s="1">
        <v>-3351.864</v>
      </c>
    </row>
    <row r="408" spans="1:9" hidden="1" x14ac:dyDescent="0.25">
      <c r="A408" s="1" t="s">
        <v>126</v>
      </c>
      <c r="B408" s="1" t="s">
        <v>211</v>
      </c>
      <c r="C408" s="1" t="s">
        <v>143</v>
      </c>
      <c r="D408" s="1">
        <v>492.36</v>
      </c>
      <c r="E408" s="1">
        <v>-53.33</v>
      </c>
      <c r="F408" s="1">
        <v>0</v>
      </c>
      <c r="G408" s="1">
        <v>287.98399999999998</v>
      </c>
      <c r="H408" s="1">
        <v>2954.1460000000002</v>
      </c>
      <c r="I408" s="1">
        <v>-3043.866</v>
      </c>
    </row>
    <row r="409" spans="1:9" hidden="1" x14ac:dyDescent="0.25">
      <c r="A409" s="1" t="s">
        <v>126</v>
      </c>
      <c r="B409" s="1" t="s">
        <v>211</v>
      </c>
      <c r="C409" s="1" t="s">
        <v>3</v>
      </c>
      <c r="D409" s="1">
        <v>516.88</v>
      </c>
      <c r="E409" s="1">
        <v>-53.33</v>
      </c>
      <c r="F409" s="1">
        <v>0</v>
      </c>
      <c r="G409" s="1">
        <v>287.98399999999998</v>
      </c>
      <c r="H409" s="1">
        <v>3101.2710000000002</v>
      </c>
      <c r="I409" s="1">
        <v>-3351.864</v>
      </c>
    </row>
    <row r="410" spans="1:9" hidden="1" x14ac:dyDescent="0.25">
      <c r="A410" s="1" t="s">
        <v>126</v>
      </c>
      <c r="B410" s="1" t="s">
        <v>212</v>
      </c>
      <c r="C410" s="1" t="s">
        <v>143</v>
      </c>
      <c r="D410" s="1">
        <v>492.36</v>
      </c>
      <c r="E410" s="1">
        <v>53.33</v>
      </c>
      <c r="F410" s="1">
        <v>0</v>
      </c>
      <c r="G410" s="1">
        <v>-351.98</v>
      </c>
      <c r="H410" s="1">
        <v>2954.1460000000002</v>
      </c>
      <c r="I410" s="1">
        <v>-2864.4259999999999</v>
      </c>
    </row>
    <row r="411" spans="1:9" hidden="1" x14ac:dyDescent="0.25">
      <c r="A411" s="1" t="s">
        <v>126</v>
      </c>
      <c r="B411" s="1" t="s">
        <v>212</v>
      </c>
      <c r="C411" s="1" t="s">
        <v>3</v>
      </c>
      <c r="D411" s="1">
        <v>516.88</v>
      </c>
      <c r="E411" s="1">
        <v>53.33</v>
      </c>
      <c r="F411" s="1">
        <v>0</v>
      </c>
      <c r="G411" s="1">
        <v>-351.98</v>
      </c>
      <c r="H411" s="1">
        <v>3101.2710000000002</v>
      </c>
      <c r="I411" s="1">
        <v>-2850.6790000000001</v>
      </c>
    </row>
    <row r="412" spans="1:9" hidden="1" x14ac:dyDescent="0.25">
      <c r="A412" s="1" t="s">
        <v>126</v>
      </c>
      <c r="B412" s="1" t="s">
        <v>213</v>
      </c>
      <c r="C412" s="1" t="s">
        <v>143</v>
      </c>
      <c r="D412" s="1">
        <v>492.36</v>
      </c>
      <c r="E412" s="1">
        <v>53.33</v>
      </c>
      <c r="F412" s="1">
        <v>0</v>
      </c>
      <c r="G412" s="1">
        <v>-287.98399999999998</v>
      </c>
      <c r="H412" s="1">
        <v>2954.1460000000002</v>
      </c>
      <c r="I412" s="1">
        <v>-2864.4259999999999</v>
      </c>
    </row>
    <row r="413" spans="1:9" hidden="1" x14ac:dyDescent="0.25">
      <c r="A413" s="1" t="s">
        <v>126</v>
      </c>
      <c r="B413" s="1" t="s">
        <v>213</v>
      </c>
      <c r="C413" s="1" t="s">
        <v>3</v>
      </c>
      <c r="D413" s="1">
        <v>516.88</v>
      </c>
      <c r="E413" s="1">
        <v>53.33</v>
      </c>
      <c r="F413" s="1">
        <v>0</v>
      </c>
      <c r="G413" s="1">
        <v>-287.98399999999998</v>
      </c>
      <c r="H413" s="1">
        <v>3101.2710000000002</v>
      </c>
      <c r="I413" s="1">
        <v>-2850.6790000000001</v>
      </c>
    </row>
    <row r="414" spans="1:9" hidden="1" x14ac:dyDescent="0.25">
      <c r="A414" s="1" t="s">
        <v>126</v>
      </c>
      <c r="B414" s="1" t="s">
        <v>214</v>
      </c>
      <c r="C414" s="1" t="s">
        <v>143</v>
      </c>
      <c r="D414" s="1">
        <v>492.36</v>
      </c>
      <c r="E414" s="1">
        <v>0</v>
      </c>
      <c r="F414" s="1">
        <v>-53.33</v>
      </c>
      <c r="G414" s="1">
        <v>-351.98</v>
      </c>
      <c r="H414" s="1">
        <v>3043.866</v>
      </c>
      <c r="I414" s="1">
        <v>-2954.1460000000002</v>
      </c>
    </row>
    <row r="415" spans="1:9" hidden="1" x14ac:dyDescent="0.25">
      <c r="A415" s="1" t="s">
        <v>126</v>
      </c>
      <c r="B415" s="1" t="s">
        <v>214</v>
      </c>
      <c r="C415" s="1" t="s">
        <v>3</v>
      </c>
      <c r="D415" s="1">
        <v>516.88</v>
      </c>
      <c r="E415" s="1">
        <v>0</v>
      </c>
      <c r="F415" s="1">
        <v>-53.33</v>
      </c>
      <c r="G415" s="1">
        <v>-351.98</v>
      </c>
      <c r="H415" s="1">
        <v>3351.864</v>
      </c>
      <c r="I415" s="1">
        <v>-3101.2710000000002</v>
      </c>
    </row>
    <row r="416" spans="1:9" hidden="1" x14ac:dyDescent="0.25">
      <c r="A416" s="1" t="s">
        <v>126</v>
      </c>
      <c r="B416" s="1" t="s">
        <v>215</v>
      </c>
      <c r="C416" s="1" t="s">
        <v>143</v>
      </c>
      <c r="D416" s="1">
        <v>492.36</v>
      </c>
      <c r="E416" s="1">
        <v>0</v>
      </c>
      <c r="F416" s="1">
        <v>-53.33</v>
      </c>
      <c r="G416" s="1">
        <v>-287.98399999999998</v>
      </c>
      <c r="H416" s="1">
        <v>3043.866</v>
      </c>
      <c r="I416" s="1">
        <v>-2954.1460000000002</v>
      </c>
    </row>
    <row r="417" spans="1:9" hidden="1" x14ac:dyDescent="0.25">
      <c r="A417" s="1" t="s">
        <v>126</v>
      </c>
      <c r="B417" s="1" t="s">
        <v>215</v>
      </c>
      <c r="C417" s="1" t="s">
        <v>3</v>
      </c>
      <c r="D417" s="1">
        <v>516.88</v>
      </c>
      <c r="E417" s="1">
        <v>0</v>
      </c>
      <c r="F417" s="1">
        <v>-53.33</v>
      </c>
      <c r="G417" s="1">
        <v>-287.98399999999998</v>
      </c>
      <c r="H417" s="1">
        <v>3351.864</v>
      </c>
      <c r="I417" s="1">
        <v>-3101.2710000000002</v>
      </c>
    </row>
    <row r="418" spans="1:9" hidden="1" x14ac:dyDescent="0.25">
      <c r="A418" s="1" t="s">
        <v>126</v>
      </c>
      <c r="B418" s="1" t="s">
        <v>216</v>
      </c>
      <c r="C418" s="1" t="s">
        <v>143</v>
      </c>
      <c r="D418" s="1">
        <v>492.36</v>
      </c>
      <c r="E418" s="1">
        <v>0</v>
      </c>
      <c r="F418" s="1">
        <v>53.33</v>
      </c>
      <c r="G418" s="1">
        <v>351.98</v>
      </c>
      <c r="H418" s="1">
        <v>2864.4259999999999</v>
      </c>
      <c r="I418" s="1">
        <v>-2954.1460000000002</v>
      </c>
    </row>
    <row r="419" spans="1:9" hidden="1" x14ac:dyDescent="0.25">
      <c r="A419" s="1" t="s">
        <v>126</v>
      </c>
      <c r="B419" s="1" t="s">
        <v>216</v>
      </c>
      <c r="C419" s="1" t="s">
        <v>3</v>
      </c>
      <c r="D419" s="1">
        <v>516.88</v>
      </c>
      <c r="E419" s="1">
        <v>0</v>
      </c>
      <c r="F419" s="1">
        <v>53.33</v>
      </c>
      <c r="G419" s="1">
        <v>351.98</v>
      </c>
      <c r="H419" s="1">
        <v>2850.6790000000001</v>
      </c>
      <c r="I419" s="1">
        <v>-3101.2710000000002</v>
      </c>
    </row>
    <row r="420" spans="1:9" hidden="1" x14ac:dyDescent="0.25">
      <c r="A420" s="1" t="s">
        <v>126</v>
      </c>
      <c r="B420" s="1" t="s">
        <v>217</v>
      </c>
      <c r="C420" s="1" t="s">
        <v>143</v>
      </c>
      <c r="D420" s="1">
        <v>492.36</v>
      </c>
      <c r="E420" s="1">
        <v>0</v>
      </c>
      <c r="F420" s="1">
        <v>53.33</v>
      </c>
      <c r="G420" s="1">
        <v>287.98399999999998</v>
      </c>
      <c r="H420" s="1">
        <v>2864.4259999999999</v>
      </c>
      <c r="I420" s="1">
        <v>-2954.1460000000002</v>
      </c>
    </row>
    <row r="421" spans="1:9" hidden="1" x14ac:dyDescent="0.25">
      <c r="A421" s="1" t="s">
        <v>126</v>
      </c>
      <c r="B421" s="1" t="s">
        <v>217</v>
      </c>
      <c r="C421" s="1" t="s">
        <v>3</v>
      </c>
      <c r="D421" s="1">
        <v>516.88</v>
      </c>
      <c r="E421" s="1">
        <v>0</v>
      </c>
      <c r="F421" s="1">
        <v>53.33</v>
      </c>
      <c r="G421" s="1">
        <v>287.98399999999998</v>
      </c>
      <c r="H421" s="1">
        <v>2850.6790000000001</v>
      </c>
      <c r="I421" s="1">
        <v>-3101.2710000000002</v>
      </c>
    </row>
    <row r="422" spans="1:9" hidden="1" x14ac:dyDescent="0.25">
      <c r="A422" s="1" t="s">
        <v>126</v>
      </c>
      <c r="B422" s="1" t="s">
        <v>218</v>
      </c>
      <c r="C422" s="1" t="s">
        <v>143</v>
      </c>
      <c r="D422" s="1">
        <v>351.68</v>
      </c>
      <c r="E422" s="1">
        <v>-53.33</v>
      </c>
      <c r="F422" s="1">
        <v>0</v>
      </c>
      <c r="G422" s="1">
        <v>351.98</v>
      </c>
      <c r="H422" s="1">
        <v>2110.1039999999998</v>
      </c>
      <c r="I422" s="1">
        <v>-2199.8240000000001</v>
      </c>
    </row>
    <row r="423" spans="1:9" hidden="1" x14ac:dyDescent="0.25">
      <c r="A423" s="1" t="s">
        <v>126</v>
      </c>
      <c r="B423" s="1" t="s">
        <v>218</v>
      </c>
      <c r="C423" s="1" t="s">
        <v>3</v>
      </c>
      <c r="D423" s="1">
        <v>369.2</v>
      </c>
      <c r="E423" s="1">
        <v>-53.33</v>
      </c>
      <c r="F423" s="1">
        <v>0</v>
      </c>
      <c r="G423" s="1">
        <v>351.98</v>
      </c>
      <c r="H423" s="1">
        <v>2215.194</v>
      </c>
      <c r="I423" s="1">
        <v>-2465.7860000000001</v>
      </c>
    </row>
    <row r="424" spans="1:9" hidden="1" x14ac:dyDescent="0.25">
      <c r="A424" s="1" t="s">
        <v>126</v>
      </c>
      <c r="B424" s="1" t="s">
        <v>219</v>
      </c>
      <c r="C424" s="1" t="s">
        <v>143</v>
      </c>
      <c r="D424" s="1">
        <v>351.68</v>
      </c>
      <c r="E424" s="1">
        <v>-53.33</v>
      </c>
      <c r="F424" s="1">
        <v>0</v>
      </c>
      <c r="G424" s="1">
        <v>287.98399999999998</v>
      </c>
      <c r="H424" s="1">
        <v>2110.1039999999998</v>
      </c>
      <c r="I424" s="1">
        <v>-2199.8240000000001</v>
      </c>
    </row>
    <row r="425" spans="1:9" hidden="1" x14ac:dyDescent="0.25">
      <c r="A425" s="1" t="s">
        <v>126</v>
      </c>
      <c r="B425" s="1" t="s">
        <v>219</v>
      </c>
      <c r="C425" s="1" t="s">
        <v>3</v>
      </c>
      <c r="D425" s="1">
        <v>369.2</v>
      </c>
      <c r="E425" s="1">
        <v>-53.33</v>
      </c>
      <c r="F425" s="1">
        <v>0</v>
      </c>
      <c r="G425" s="1">
        <v>287.98399999999998</v>
      </c>
      <c r="H425" s="1">
        <v>2215.194</v>
      </c>
      <c r="I425" s="1">
        <v>-2465.7860000000001</v>
      </c>
    </row>
    <row r="426" spans="1:9" hidden="1" x14ac:dyDescent="0.25">
      <c r="A426" s="1" t="s">
        <v>126</v>
      </c>
      <c r="B426" s="1" t="s">
        <v>220</v>
      </c>
      <c r="C426" s="1" t="s">
        <v>143</v>
      </c>
      <c r="D426" s="1">
        <v>351.68</v>
      </c>
      <c r="E426" s="1">
        <v>53.33</v>
      </c>
      <c r="F426" s="1">
        <v>0</v>
      </c>
      <c r="G426" s="1">
        <v>-351.98</v>
      </c>
      <c r="H426" s="1">
        <v>2110.1039999999998</v>
      </c>
      <c r="I426" s="1">
        <v>-2020.384</v>
      </c>
    </row>
    <row r="427" spans="1:9" hidden="1" x14ac:dyDescent="0.25">
      <c r="A427" s="1" t="s">
        <v>126</v>
      </c>
      <c r="B427" s="1" t="s">
        <v>220</v>
      </c>
      <c r="C427" s="1" t="s">
        <v>3</v>
      </c>
      <c r="D427" s="1">
        <v>369.2</v>
      </c>
      <c r="E427" s="1">
        <v>53.33</v>
      </c>
      <c r="F427" s="1">
        <v>0</v>
      </c>
      <c r="G427" s="1">
        <v>-351.98</v>
      </c>
      <c r="H427" s="1">
        <v>2215.194</v>
      </c>
      <c r="I427" s="1">
        <v>-1964.6020000000001</v>
      </c>
    </row>
    <row r="428" spans="1:9" hidden="1" x14ac:dyDescent="0.25">
      <c r="A428" s="1" t="s">
        <v>126</v>
      </c>
      <c r="B428" s="1" t="s">
        <v>221</v>
      </c>
      <c r="C428" s="1" t="s">
        <v>143</v>
      </c>
      <c r="D428" s="1">
        <v>351.68</v>
      </c>
      <c r="E428" s="1">
        <v>53.33</v>
      </c>
      <c r="F428" s="1">
        <v>0</v>
      </c>
      <c r="G428" s="1">
        <v>-287.98399999999998</v>
      </c>
      <c r="H428" s="1">
        <v>2110.1039999999998</v>
      </c>
      <c r="I428" s="1">
        <v>-2020.384</v>
      </c>
    </row>
    <row r="429" spans="1:9" hidden="1" x14ac:dyDescent="0.25">
      <c r="A429" s="1" t="s">
        <v>126</v>
      </c>
      <c r="B429" s="1" t="s">
        <v>221</v>
      </c>
      <c r="C429" s="1" t="s">
        <v>3</v>
      </c>
      <c r="D429" s="1">
        <v>369.2</v>
      </c>
      <c r="E429" s="1">
        <v>53.33</v>
      </c>
      <c r="F429" s="1">
        <v>0</v>
      </c>
      <c r="G429" s="1">
        <v>-287.98399999999998</v>
      </c>
      <c r="H429" s="1">
        <v>2215.194</v>
      </c>
      <c r="I429" s="1">
        <v>-1964.6020000000001</v>
      </c>
    </row>
    <row r="430" spans="1:9" hidden="1" x14ac:dyDescent="0.25">
      <c r="A430" s="1" t="s">
        <v>126</v>
      </c>
      <c r="B430" s="1" t="s">
        <v>222</v>
      </c>
      <c r="C430" s="1" t="s">
        <v>143</v>
      </c>
      <c r="D430" s="1">
        <v>351.68</v>
      </c>
      <c r="E430" s="1">
        <v>0</v>
      </c>
      <c r="F430" s="1">
        <v>-53.33</v>
      </c>
      <c r="G430" s="1">
        <v>-351.98</v>
      </c>
      <c r="H430" s="1">
        <v>2199.8240000000001</v>
      </c>
      <c r="I430" s="1">
        <v>-2110.1039999999998</v>
      </c>
    </row>
    <row r="431" spans="1:9" hidden="1" x14ac:dyDescent="0.25">
      <c r="A431" s="1" t="s">
        <v>126</v>
      </c>
      <c r="B431" s="1" t="s">
        <v>222</v>
      </c>
      <c r="C431" s="1" t="s">
        <v>3</v>
      </c>
      <c r="D431" s="1">
        <v>369.2</v>
      </c>
      <c r="E431" s="1">
        <v>0</v>
      </c>
      <c r="F431" s="1">
        <v>-53.33</v>
      </c>
      <c r="G431" s="1">
        <v>-351.98</v>
      </c>
      <c r="H431" s="1">
        <v>2465.7860000000001</v>
      </c>
      <c r="I431" s="1">
        <v>-2215.194</v>
      </c>
    </row>
    <row r="432" spans="1:9" hidden="1" x14ac:dyDescent="0.25">
      <c r="A432" s="1" t="s">
        <v>126</v>
      </c>
      <c r="B432" s="1" t="s">
        <v>223</v>
      </c>
      <c r="C432" s="1" t="s">
        <v>143</v>
      </c>
      <c r="D432" s="1">
        <v>351.68</v>
      </c>
      <c r="E432" s="1">
        <v>0</v>
      </c>
      <c r="F432" s="1">
        <v>-53.33</v>
      </c>
      <c r="G432" s="1">
        <v>-287.98399999999998</v>
      </c>
      <c r="H432" s="1">
        <v>2199.8240000000001</v>
      </c>
      <c r="I432" s="1">
        <v>-2110.1039999999998</v>
      </c>
    </row>
    <row r="433" spans="1:9" hidden="1" x14ac:dyDescent="0.25">
      <c r="A433" s="1" t="s">
        <v>126</v>
      </c>
      <c r="B433" s="1" t="s">
        <v>223</v>
      </c>
      <c r="C433" s="1" t="s">
        <v>3</v>
      </c>
      <c r="D433" s="1">
        <v>369.2</v>
      </c>
      <c r="E433" s="1">
        <v>0</v>
      </c>
      <c r="F433" s="1">
        <v>-53.33</v>
      </c>
      <c r="G433" s="1">
        <v>-287.98399999999998</v>
      </c>
      <c r="H433" s="1">
        <v>2465.7860000000001</v>
      </c>
      <c r="I433" s="1">
        <v>-2215.194</v>
      </c>
    </row>
    <row r="434" spans="1:9" hidden="1" x14ac:dyDescent="0.25">
      <c r="A434" s="1" t="s">
        <v>126</v>
      </c>
      <c r="B434" s="1" t="s">
        <v>224</v>
      </c>
      <c r="C434" s="1" t="s">
        <v>143</v>
      </c>
      <c r="D434" s="1">
        <v>351.68</v>
      </c>
      <c r="E434" s="1">
        <v>0</v>
      </c>
      <c r="F434" s="1">
        <v>53.33</v>
      </c>
      <c r="G434" s="1">
        <v>351.98</v>
      </c>
      <c r="H434" s="1">
        <v>2020.384</v>
      </c>
      <c r="I434" s="1">
        <v>-2110.1039999999998</v>
      </c>
    </row>
    <row r="435" spans="1:9" hidden="1" x14ac:dyDescent="0.25">
      <c r="A435" s="1" t="s">
        <v>126</v>
      </c>
      <c r="B435" s="1" t="s">
        <v>224</v>
      </c>
      <c r="C435" s="1" t="s">
        <v>3</v>
      </c>
      <c r="D435" s="1">
        <v>369.2</v>
      </c>
      <c r="E435" s="1">
        <v>0</v>
      </c>
      <c r="F435" s="1">
        <v>53.33</v>
      </c>
      <c r="G435" s="1">
        <v>351.98</v>
      </c>
      <c r="H435" s="1">
        <v>1964.6020000000001</v>
      </c>
      <c r="I435" s="1">
        <v>-2215.194</v>
      </c>
    </row>
    <row r="436" spans="1:9" hidden="1" x14ac:dyDescent="0.25">
      <c r="A436" s="1" t="s">
        <v>126</v>
      </c>
      <c r="B436" s="1" t="s">
        <v>225</v>
      </c>
      <c r="C436" s="1" t="s">
        <v>143</v>
      </c>
      <c r="D436" s="1">
        <v>351.68</v>
      </c>
      <c r="E436" s="1">
        <v>0</v>
      </c>
      <c r="F436" s="1">
        <v>53.33</v>
      </c>
      <c r="G436" s="1">
        <v>287.98399999999998</v>
      </c>
      <c r="H436" s="1">
        <v>2020.384</v>
      </c>
      <c r="I436" s="1">
        <v>-2110.1039999999998</v>
      </c>
    </row>
    <row r="437" spans="1:9" hidden="1" x14ac:dyDescent="0.25">
      <c r="A437" s="1" t="s">
        <v>126</v>
      </c>
      <c r="B437" s="1" t="s">
        <v>225</v>
      </c>
      <c r="C437" s="1" t="s">
        <v>3</v>
      </c>
      <c r="D437" s="1">
        <v>369.2</v>
      </c>
      <c r="E437" s="1">
        <v>0</v>
      </c>
      <c r="F437" s="1">
        <v>53.33</v>
      </c>
      <c r="G437" s="1">
        <v>287.98399999999998</v>
      </c>
      <c r="H437" s="1">
        <v>1964.6020000000001</v>
      </c>
      <c r="I437" s="1">
        <v>-2215.194</v>
      </c>
    </row>
    <row r="438" spans="1:9" hidden="1" x14ac:dyDescent="0.25">
      <c r="A438" s="1" t="s">
        <v>126</v>
      </c>
      <c r="B438" s="1" t="s">
        <v>226</v>
      </c>
      <c r="C438" s="1" t="s">
        <v>143</v>
      </c>
      <c r="D438" s="1">
        <v>627</v>
      </c>
      <c r="E438" s="1">
        <v>174.68</v>
      </c>
      <c r="F438" s="1">
        <v>0</v>
      </c>
      <c r="G438" s="1">
        <v>1153.7639999999999</v>
      </c>
      <c r="H438" s="1">
        <v>3761.973</v>
      </c>
      <c r="I438" s="1">
        <v>-3488.3629999999998</v>
      </c>
    </row>
    <row r="439" spans="1:9" hidden="1" x14ac:dyDescent="0.25">
      <c r="A439" s="1" t="s">
        <v>126</v>
      </c>
      <c r="B439" s="1" t="s">
        <v>226</v>
      </c>
      <c r="C439" s="1" t="s">
        <v>3</v>
      </c>
      <c r="D439" s="1">
        <v>656.07</v>
      </c>
      <c r="E439" s="1">
        <v>174.68</v>
      </c>
      <c r="F439" s="1">
        <v>0</v>
      </c>
      <c r="G439" s="1">
        <v>1153.7639999999999</v>
      </c>
      <c r="H439" s="1">
        <v>3936.422</v>
      </c>
      <c r="I439" s="1">
        <v>-3137.1680000000001</v>
      </c>
    </row>
    <row r="440" spans="1:9" hidden="1" x14ac:dyDescent="0.25">
      <c r="A440" s="1" t="s">
        <v>126</v>
      </c>
      <c r="B440" s="1" t="s">
        <v>227</v>
      </c>
      <c r="C440" s="1" t="s">
        <v>143</v>
      </c>
      <c r="D440" s="1">
        <v>627</v>
      </c>
      <c r="E440" s="1">
        <v>-174.68</v>
      </c>
      <c r="F440" s="1">
        <v>0</v>
      </c>
      <c r="G440" s="1">
        <v>-1153.7639999999999</v>
      </c>
      <c r="H440" s="1">
        <v>3761.973</v>
      </c>
      <c r="I440" s="1">
        <v>-4035.5819999999999</v>
      </c>
    </row>
    <row r="441" spans="1:9" hidden="1" x14ac:dyDescent="0.25">
      <c r="A441" s="1" t="s">
        <v>126</v>
      </c>
      <c r="B441" s="1" t="s">
        <v>227</v>
      </c>
      <c r="C441" s="1" t="s">
        <v>3</v>
      </c>
      <c r="D441" s="1">
        <v>656.07</v>
      </c>
      <c r="E441" s="1">
        <v>-174.68</v>
      </c>
      <c r="F441" s="1">
        <v>0</v>
      </c>
      <c r="G441" s="1">
        <v>-1153.7639999999999</v>
      </c>
      <c r="H441" s="1">
        <v>3936.422</v>
      </c>
      <c r="I441" s="1">
        <v>-4735.6760000000004</v>
      </c>
    </row>
    <row r="442" spans="1:9" hidden="1" x14ac:dyDescent="0.25">
      <c r="A442" s="1" t="s">
        <v>126</v>
      </c>
      <c r="B442" s="1" t="s">
        <v>228</v>
      </c>
      <c r="C442" s="1" t="s">
        <v>143</v>
      </c>
      <c r="D442" s="1">
        <v>584.79</v>
      </c>
      <c r="E442" s="1">
        <v>174.68</v>
      </c>
      <c r="F442" s="1">
        <v>0</v>
      </c>
      <c r="G442" s="1">
        <v>1153.7639999999999</v>
      </c>
      <c r="H442" s="1">
        <v>3508.76</v>
      </c>
      <c r="I442" s="1">
        <v>-3235.1509999999998</v>
      </c>
    </row>
    <row r="443" spans="1:9" hidden="1" x14ac:dyDescent="0.25">
      <c r="A443" s="1" t="s">
        <v>126</v>
      </c>
      <c r="B443" s="1" t="s">
        <v>228</v>
      </c>
      <c r="C443" s="1" t="s">
        <v>3</v>
      </c>
      <c r="D443" s="1">
        <v>611.77</v>
      </c>
      <c r="E443" s="1">
        <v>174.68</v>
      </c>
      <c r="F443" s="1">
        <v>0</v>
      </c>
      <c r="G443" s="1">
        <v>1153.7639999999999</v>
      </c>
      <c r="H443" s="1">
        <v>3670.5990000000002</v>
      </c>
      <c r="I443" s="1">
        <v>-2871.3440000000001</v>
      </c>
    </row>
    <row r="444" spans="1:9" hidden="1" x14ac:dyDescent="0.25">
      <c r="A444" s="1" t="s">
        <v>126</v>
      </c>
      <c r="B444" s="1" t="s">
        <v>229</v>
      </c>
      <c r="C444" s="1" t="s">
        <v>143</v>
      </c>
      <c r="D444" s="1">
        <v>584.79</v>
      </c>
      <c r="E444" s="1">
        <v>-174.68</v>
      </c>
      <c r="F444" s="1">
        <v>0</v>
      </c>
      <c r="G444" s="1">
        <v>-1153.7639999999999</v>
      </c>
      <c r="H444" s="1">
        <v>3508.76</v>
      </c>
      <c r="I444" s="1">
        <v>-3782.37</v>
      </c>
    </row>
    <row r="445" spans="1:9" hidden="1" x14ac:dyDescent="0.25">
      <c r="A445" s="1" t="s">
        <v>126</v>
      </c>
      <c r="B445" s="1" t="s">
        <v>229</v>
      </c>
      <c r="C445" s="1" t="s">
        <v>3</v>
      </c>
      <c r="D445" s="1">
        <v>611.77</v>
      </c>
      <c r="E445" s="1">
        <v>-174.68</v>
      </c>
      <c r="F445" s="1">
        <v>0</v>
      </c>
      <c r="G445" s="1">
        <v>-1153.7639999999999</v>
      </c>
      <c r="H445" s="1">
        <v>3670.598</v>
      </c>
      <c r="I445" s="1">
        <v>-4469.8530000000001</v>
      </c>
    </row>
    <row r="446" spans="1:9" hidden="1" x14ac:dyDescent="0.25">
      <c r="A446" s="1" t="s">
        <v>126</v>
      </c>
      <c r="B446" s="1" t="s">
        <v>230</v>
      </c>
      <c r="C446" s="1" t="s">
        <v>143</v>
      </c>
      <c r="D446" s="1">
        <v>627</v>
      </c>
      <c r="E446" s="1">
        <v>0</v>
      </c>
      <c r="F446" s="1">
        <v>160.13</v>
      </c>
      <c r="G446" s="1">
        <v>1057.617</v>
      </c>
      <c r="H446" s="1">
        <v>4012.7820000000002</v>
      </c>
      <c r="I446" s="1">
        <v>-3761.973</v>
      </c>
    </row>
    <row r="447" spans="1:9" hidden="1" x14ac:dyDescent="0.25">
      <c r="A447" s="1" t="s">
        <v>126</v>
      </c>
      <c r="B447" s="1" t="s">
        <v>230</v>
      </c>
      <c r="C447" s="1" t="s">
        <v>3</v>
      </c>
      <c r="D447" s="1">
        <v>656.07</v>
      </c>
      <c r="E447" s="1">
        <v>0</v>
      </c>
      <c r="F447" s="1">
        <v>160.13</v>
      </c>
      <c r="G447" s="1">
        <v>1057.617</v>
      </c>
      <c r="H447" s="1">
        <v>4669.0709999999999</v>
      </c>
      <c r="I447" s="1">
        <v>-3936.422</v>
      </c>
    </row>
    <row r="448" spans="1:9" hidden="1" x14ac:dyDescent="0.25">
      <c r="A448" s="1" t="s">
        <v>126</v>
      </c>
      <c r="B448" s="1" t="s">
        <v>231</v>
      </c>
      <c r="C448" s="1" t="s">
        <v>143</v>
      </c>
      <c r="D448" s="1">
        <v>627</v>
      </c>
      <c r="E448" s="1">
        <v>0</v>
      </c>
      <c r="F448" s="1">
        <v>-160.13</v>
      </c>
      <c r="G448" s="1">
        <v>-1057.617</v>
      </c>
      <c r="H448" s="1">
        <v>3511.1640000000002</v>
      </c>
      <c r="I448" s="1">
        <v>-3761.973</v>
      </c>
    </row>
    <row r="449" spans="1:9" hidden="1" x14ac:dyDescent="0.25">
      <c r="A449" s="1" t="s">
        <v>126</v>
      </c>
      <c r="B449" s="1" t="s">
        <v>231</v>
      </c>
      <c r="C449" s="1" t="s">
        <v>3</v>
      </c>
      <c r="D449" s="1">
        <v>656.07</v>
      </c>
      <c r="E449" s="1">
        <v>0</v>
      </c>
      <c r="F449" s="1">
        <v>-160.13</v>
      </c>
      <c r="G449" s="1">
        <v>-1057.617</v>
      </c>
      <c r="H449" s="1">
        <v>3203.7719999999999</v>
      </c>
      <c r="I449" s="1">
        <v>-3936.422</v>
      </c>
    </row>
    <row r="450" spans="1:9" hidden="1" x14ac:dyDescent="0.25">
      <c r="A450" s="1" t="s">
        <v>126</v>
      </c>
      <c r="B450" s="1" t="s">
        <v>232</v>
      </c>
      <c r="C450" s="1" t="s">
        <v>143</v>
      </c>
      <c r="D450" s="1">
        <v>584.79</v>
      </c>
      <c r="E450" s="1">
        <v>0</v>
      </c>
      <c r="F450" s="1">
        <v>160.13</v>
      </c>
      <c r="G450" s="1">
        <v>1057.617</v>
      </c>
      <c r="H450" s="1">
        <v>3759.569</v>
      </c>
      <c r="I450" s="1">
        <v>-3508.76</v>
      </c>
    </row>
    <row r="451" spans="1:9" hidden="1" x14ac:dyDescent="0.25">
      <c r="A451" s="1" t="s">
        <v>126</v>
      </c>
      <c r="B451" s="1" t="s">
        <v>232</v>
      </c>
      <c r="C451" s="1" t="s">
        <v>3</v>
      </c>
      <c r="D451" s="1">
        <v>611.77</v>
      </c>
      <c r="E451" s="1">
        <v>0</v>
      </c>
      <c r="F451" s="1">
        <v>160.13</v>
      </c>
      <c r="G451" s="1">
        <v>1057.617</v>
      </c>
      <c r="H451" s="1">
        <v>4403.2479999999996</v>
      </c>
      <c r="I451" s="1">
        <v>-3670.598</v>
      </c>
    </row>
    <row r="452" spans="1:9" hidden="1" x14ac:dyDescent="0.25">
      <c r="A452" s="1" t="s">
        <v>126</v>
      </c>
      <c r="B452" s="1" t="s">
        <v>233</v>
      </c>
      <c r="C452" s="1" t="s">
        <v>143</v>
      </c>
      <c r="D452" s="1">
        <v>584.79</v>
      </c>
      <c r="E452" s="1">
        <v>0</v>
      </c>
      <c r="F452" s="1">
        <v>-160.13</v>
      </c>
      <c r="G452" s="1">
        <v>-1057.617</v>
      </c>
      <c r="H452" s="1">
        <v>3257.951</v>
      </c>
      <c r="I452" s="1">
        <v>-3508.76</v>
      </c>
    </row>
    <row r="453" spans="1:9" hidden="1" x14ac:dyDescent="0.25">
      <c r="A453" s="1" t="s">
        <v>126</v>
      </c>
      <c r="B453" s="1" t="s">
        <v>233</v>
      </c>
      <c r="C453" s="1" t="s">
        <v>3</v>
      </c>
      <c r="D453" s="1">
        <v>611.77</v>
      </c>
      <c r="E453" s="1">
        <v>0</v>
      </c>
      <c r="F453" s="1">
        <v>-160.13</v>
      </c>
      <c r="G453" s="1">
        <v>-1057.617</v>
      </c>
      <c r="H453" s="1">
        <v>2937.9490000000001</v>
      </c>
      <c r="I453" s="1">
        <v>-3670.5990000000002</v>
      </c>
    </row>
    <row r="454" spans="1:9" hidden="1" x14ac:dyDescent="0.25">
      <c r="A454" s="1" t="s">
        <v>126</v>
      </c>
      <c r="B454" s="1" t="s">
        <v>234</v>
      </c>
      <c r="C454" s="1" t="s">
        <v>143</v>
      </c>
      <c r="D454" s="1">
        <v>676.23</v>
      </c>
      <c r="E454" s="1">
        <v>52.41</v>
      </c>
      <c r="F454" s="1">
        <v>0</v>
      </c>
      <c r="G454" s="1">
        <v>346.12900000000002</v>
      </c>
      <c r="H454" s="1">
        <v>4057.3870000000002</v>
      </c>
      <c r="I454" s="1">
        <v>-3975.3040000000001</v>
      </c>
    </row>
    <row r="455" spans="1:9" hidden="1" x14ac:dyDescent="0.25">
      <c r="A455" s="1" t="s">
        <v>126</v>
      </c>
      <c r="B455" s="1" t="s">
        <v>234</v>
      </c>
      <c r="C455" s="1" t="s">
        <v>3</v>
      </c>
      <c r="D455" s="1">
        <v>707.76</v>
      </c>
      <c r="E455" s="1">
        <v>52.41</v>
      </c>
      <c r="F455" s="1">
        <v>0</v>
      </c>
      <c r="G455" s="1">
        <v>346.12900000000002</v>
      </c>
      <c r="H455" s="1">
        <v>4246.549</v>
      </c>
      <c r="I455" s="1">
        <v>-4006.7730000000001</v>
      </c>
    </row>
    <row r="456" spans="1:9" hidden="1" x14ac:dyDescent="0.25">
      <c r="A456" s="1" t="s">
        <v>126</v>
      </c>
      <c r="B456" s="1" t="s">
        <v>235</v>
      </c>
      <c r="C456" s="1" t="s">
        <v>143</v>
      </c>
      <c r="D456" s="1">
        <v>676.23</v>
      </c>
      <c r="E456" s="1">
        <v>-52.41</v>
      </c>
      <c r="F456" s="1">
        <v>0</v>
      </c>
      <c r="G456" s="1">
        <v>-346.12900000000002</v>
      </c>
      <c r="H456" s="1">
        <v>4057.3870000000002</v>
      </c>
      <c r="I456" s="1">
        <v>-4139.47</v>
      </c>
    </row>
    <row r="457" spans="1:9" hidden="1" x14ac:dyDescent="0.25">
      <c r="A457" s="1" t="s">
        <v>126</v>
      </c>
      <c r="B457" s="1" t="s">
        <v>235</v>
      </c>
      <c r="C457" s="1" t="s">
        <v>3</v>
      </c>
      <c r="D457" s="1">
        <v>707.76</v>
      </c>
      <c r="E457" s="1">
        <v>-52.41</v>
      </c>
      <c r="F457" s="1">
        <v>0</v>
      </c>
      <c r="G457" s="1">
        <v>-346.12900000000002</v>
      </c>
      <c r="H457" s="1">
        <v>4246.549</v>
      </c>
      <c r="I457" s="1">
        <v>-4486.3249999999998</v>
      </c>
    </row>
    <row r="458" spans="1:9" hidden="1" x14ac:dyDescent="0.25">
      <c r="A458" s="1" t="s">
        <v>126</v>
      </c>
      <c r="B458" s="1" t="s">
        <v>236</v>
      </c>
      <c r="C458" s="1" t="s">
        <v>143</v>
      </c>
      <c r="D458" s="1">
        <v>535.55999999999995</v>
      </c>
      <c r="E458" s="1">
        <v>52.41</v>
      </c>
      <c r="F458" s="1">
        <v>0</v>
      </c>
      <c r="G458" s="1">
        <v>346.12900000000002</v>
      </c>
      <c r="H458" s="1">
        <v>3213.346</v>
      </c>
      <c r="I458" s="1">
        <v>-3131.2629999999999</v>
      </c>
    </row>
    <row r="459" spans="1:9" hidden="1" x14ac:dyDescent="0.25">
      <c r="A459" s="1" t="s">
        <v>126</v>
      </c>
      <c r="B459" s="1" t="s">
        <v>236</v>
      </c>
      <c r="C459" s="1" t="s">
        <v>3</v>
      </c>
      <c r="D459" s="1">
        <v>560.08000000000004</v>
      </c>
      <c r="E459" s="1">
        <v>52.41</v>
      </c>
      <c r="F459" s="1">
        <v>0</v>
      </c>
      <c r="G459" s="1">
        <v>346.12900000000002</v>
      </c>
      <c r="H459" s="1">
        <v>3360.471</v>
      </c>
      <c r="I459" s="1">
        <v>-3120.6950000000002</v>
      </c>
    </row>
    <row r="460" spans="1:9" hidden="1" x14ac:dyDescent="0.25">
      <c r="A460" s="1" t="s">
        <v>126</v>
      </c>
      <c r="B460" s="1" t="s">
        <v>237</v>
      </c>
      <c r="C460" s="1" t="s">
        <v>143</v>
      </c>
      <c r="D460" s="1">
        <v>535.55999999999995</v>
      </c>
      <c r="E460" s="1">
        <v>-52.41</v>
      </c>
      <c r="F460" s="1">
        <v>0</v>
      </c>
      <c r="G460" s="1">
        <v>-346.12900000000002</v>
      </c>
      <c r="H460" s="1">
        <v>3213.346</v>
      </c>
      <c r="I460" s="1">
        <v>-3295.4290000000001</v>
      </c>
    </row>
    <row r="461" spans="1:9" hidden="1" x14ac:dyDescent="0.25">
      <c r="A461" s="1" t="s">
        <v>126</v>
      </c>
      <c r="B461" s="1" t="s">
        <v>237</v>
      </c>
      <c r="C461" s="1" t="s">
        <v>3</v>
      </c>
      <c r="D461" s="1">
        <v>560.08000000000004</v>
      </c>
      <c r="E461" s="1">
        <v>-52.41</v>
      </c>
      <c r="F461" s="1">
        <v>0</v>
      </c>
      <c r="G461" s="1">
        <v>-346.12900000000002</v>
      </c>
      <c r="H461" s="1">
        <v>3360.471</v>
      </c>
      <c r="I461" s="1">
        <v>-3600.248</v>
      </c>
    </row>
    <row r="462" spans="1:9" hidden="1" x14ac:dyDescent="0.25">
      <c r="A462" s="1" t="s">
        <v>126</v>
      </c>
      <c r="B462" s="1" t="s">
        <v>238</v>
      </c>
      <c r="C462" s="1" t="s">
        <v>143</v>
      </c>
      <c r="D462" s="1">
        <v>676.23</v>
      </c>
      <c r="E462" s="1">
        <v>0</v>
      </c>
      <c r="F462" s="1">
        <v>48.04</v>
      </c>
      <c r="G462" s="1">
        <v>317.28500000000003</v>
      </c>
      <c r="H462" s="1">
        <v>4132.63</v>
      </c>
      <c r="I462" s="1">
        <v>-4057.3870000000002</v>
      </c>
    </row>
    <row r="463" spans="1:9" hidden="1" x14ac:dyDescent="0.25">
      <c r="A463" s="1" t="s">
        <v>126</v>
      </c>
      <c r="B463" s="1" t="s">
        <v>238</v>
      </c>
      <c r="C463" s="1" t="s">
        <v>3</v>
      </c>
      <c r="D463" s="1">
        <v>707.76</v>
      </c>
      <c r="E463" s="1">
        <v>0</v>
      </c>
      <c r="F463" s="1">
        <v>48.04</v>
      </c>
      <c r="G463" s="1">
        <v>317.28500000000003</v>
      </c>
      <c r="H463" s="1">
        <v>4466.3440000000001</v>
      </c>
      <c r="I463" s="1">
        <v>-4246.549</v>
      </c>
    </row>
    <row r="464" spans="1:9" hidden="1" x14ac:dyDescent="0.25">
      <c r="A464" s="1" t="s">
        <v>126</v>
      </c>
      <c r="B464" s="1" t="s">
        <v>239</v>
      </c>
      <c r="C464" s="1" t="s">
        <v>143</v>
      </c>
      <c r="D464" s="1">
        <v>676.23</v>
      </c>
      <c r="E464" s="1">
        <v>0</v>
      </c>
      <c r="F464" s="1">
        <v>-48.04</v>
      </c>
      <c r="G464" s="1">
        <v>-317.28500000000003</v>
      </c>
      <c r="H464" s="1">
        <v>3982.145</v>
      </c>
      <c r="I464" s="1">
        <v>-4057.3870000000002</v>
      </c>
    </row>
    <row r="465" spans="1:9" hidden="1" x14ac:dyDescent="0.25">
      <c r="A465" s="1" t="s">
        <v>126</v>
      </c>
      <c r="B465" s="1" t="s">
        <v>239</v>
      </c>
      <c r="C465" s="1" t="s">
        <v>3</v>
      </c>
      <c r="D465" s="1">
        <v>707.76</v>
      </c>
      <c r="E465" s="1">
        <v>0</v>
      </c>
      <c r="F465" s="1">
        <v>-48.04</v>
      </c>
      <c r="G465" s="1">
        <v>-317.28500000000003</v>
      </c>
      <c r="H465" s="1">
        <v>4026.7539999999999</v>
      </c>
      <c r="I465" s="1">
        <v>-4246.549</v>
      </c>
    </row>
    <row r="466" spans="1:9" hidden="1" x14ac:dyDescent="0.25">
      <c r="A466" s="1" t="s">
        <v>126</v>
      </c>
      <c r="B466" s="1" t="s">
        <v>240</v>
      </c>
      <c r="C466" s="1" t="s">
        <v>143</v>
      </c>
      <c r="D466" s="1">
        <v>535.55999999999995</v>
      </c>
      <c r="E466" s="1">
        <v>0</v>
      </c>
      <c r="F466" s="1">
        <v>48.04</v>
      </c>
      <c r="G466" s="1">
        <v>317.28500000000003</v>
      </c>
      <c r="H466" s="1">
        <v>3288.5880000000002</v>
      </c>
      <c r="I466" s="1">
        <v>-3213.346</v>
      </c>
    </row>
    <row r="467" spans="1:9" hidden="1" x14ac:dyDescent="0.25">
      <c r="A467" s="1" t="s">
        <v>126</v>
      </c>
      <c r="B467" s="1" t="s">
        <v>240</v>
      </c>
      <c r="C467" s="1" t="s">
        <v>3</v>
      </c>
      <c r="D467" s="1">
        <v>560.08000000000004</v>
      </c>
      <c r="E467" s="1">
        <v>0</v>
      </c>
      <c r="F467" s="1">
        <v>48.04</v>
      </c>
      <c r="G467" s="1">
        <v>317.28500000000003</v>
      </c>
      <c r="H467" s="1">
        <v>3580.2660000000001</v>
      </c>
      <c r="I467" s="1">
        <v>-3360.471</v>
      </c>
    </row>
    <row r="468" spans="1:9" hidden="1" x14ac:dyDescent="0.25">
      <c r="A468" s="1" t="s">
        <v>126</v>
      </c>
      <c r="B468" s="1" t="s">
        <v>241</v>
      </c>
      <c r="C468" s="1" t="s">
        <v>143</v>
      </c>
      <c r="D468" s="1">
        <v>535.55999999999995</v>
      </c>
      <c r="E468" s="1">
        <v>0</v>
      </c>
      <c r="F468" s="1">
        <v>-48.04</v>
      </c>
      <c r="G468" s="1">
        <v>-317.28500000000003</v>
      </c>
      <c r="H468" s="1">
        <v>3138.1030000000001</v>
      </c>
      <c r="I468" s="1">
        <v>-3213.346</v>
      </c>
    </row>
    <row r="469" spans="1:9" hidden="1" x14ac:dyDescent="0.25">
      <c r="A469" s="1" t="s">
        <v>126</v>
      </c>
      <c r="B469" s="1" t="s">
        <v>241</v>
      </c>
      <c r="C469" s="1" t="s">
        <v>3</v>
      </c>
      <c r="D469" s="1">
        <v>560.08000000000004</v>
      </c>
      <c r="E469" s="1">
        <v>0</v>
      </c>
      <c r="F469" s="1">
        <v>-48.04</v>
      </c>
      <c r="G469" s="1">
        <v>-317.28500000000003</v>
      </c>
      <c r="H469" s="1">
        <v>3140.6770000000001</v>
      </c>
      <c r="I469" s="1">
        <v>-3360.471</v>
      </c>
    </row>
    <row r="470" spans="1:9" hidden="1" x14ac:dyDescent="0.25">
      <c r="A470" s="1" t="s">
        <v>126</v>
      </c>
      <c r="B470" s="1" t="s">
        <v>242</v>
      </c>
      <c r="C470" s="1" t="s">
        <v>143</v>
      </c>
      <c r="D470" s="1">
        <v>443.12</v>
      </c>
      <c r="E470" s="1">
        <v>174.68</v>
      </c>
      <c r="F470" s="1">
        <v>0</v>
      </c>
      <c r="G470" s="1">
        <v>1153.7639999999999</v>
      </c>
      <c r="H470" s="1">
        <v>2658.7310000000002</v>
      </c>
      <c r="I470" s="1">
        <v>-2385.1219999999998</v>
      </c>
    </row>
    <row r="471" spans="1:9" hidden="1" x14ac:dyDescent="0.25">
      <c r="A471" s="1" t="s">
        <v>126</v>
      </c>
      <c r="B471" s="1" t="s">
        <v>242</v>
      </c>
      <c r="C471" s="1" t="s">
        <v>3</v>
      </c>
      <c r="D471" s="1">
        <v>465.19</v>
      </c>
      <c r="E471" s="1">
        <v>174.68</v>
      </c>
      <c r="F471" s="1">
        <v>0</v>
      </c>
      <c r="G471" s="1">
        <v>1153.7639999999999</v>
      </c>
      <c r="H471" s="1">
        <v>2791.1439999999998</v>
      </c>
      <c r="I471" s="1">
        <v>-1991.89</v>
      </c>
    </row>
    <row r="472" spans="1:9" hidden="1" x14ac:dyDescent="0.25">
      <c r="A472" s="1" t="s">
        <v>126</v>
      </c>
      <c r="B472" s="1" t="s">
        <v>243</v>
      </c>
      <c r="C472" s="1" t="s">
        <v>143</v>
      </c>
      <c r="D472" s="1">
        <v>443.12</v>
      </c>
      <c r="E472" s="1">
        <v>-174.68</v>
      </c>
      <c r="F472" s="1">
        <v>0</v>
      </c>
      <c r="G472" s="1">
        <v>-1153.7639999999999</v>
      </c>
      <c r="H472" s="1">
        <v>2658.7310000000002</v>
      </c>
      <c r="I472" s="1">
        <v>-2932.3409999999999</v>
      </c>
    </row>
    <row r="473" spans="1:9" hidden="1" x14ac:dyDescent="0.25">
      <c r="A473" s="1" t="s">
        <v>126</v>
      </c>
      <c r="B473" s="1" t="s">
        <v>243</v>
      </c>
      <c r="C473" s="1" t="s">
        <v>3</v>
      </c>
      <c r="D473" s="1">
        <v>465.19</v>
      </c>
      <c r="E473" s="1">
        <v>-174.68</v>
      </c>
      <c r="F473" s="1">
        <v>0</v>
      </c>
      <c r="G473" s="1">
        <v>-1153.7639999999999</v>
      </c>
      <c r="H473" s="1">
        <v>2791.1439999999998</v>
      </c>
      <c r="I473" s="1">
        <v>-3590.3980000000001</v>
      </c>
    </row>
    <row r="474" spans="1:9" hidden="1" x14ac:dyDescent="0.25">
      <c r="A474" s="1" t="s">
        <v>126</v>
      </c>
      <c r="B474" s="1" t="s">
        <v>244</v>
      </c>
      <c r="C474" s="1" t="s">
        <v>143</v>
      </c>
      <c r="D474" s="1">
        <v>400.92</v>
      </c>
      <c r="E474" s="1">
        <v>174.68</v>
      </c>
      <c r="F474" s="1">
        <v>0</v>
      </c>
      <c r="G474" s="1">
        <v>1153.7639999999999</v>
      </c>
      <c r="H474" s="1">
        <v>2405.5189999999998</v>
      </c>
      <c r="I474" s="1">
        <v>-2131.9090000000001</v>
      </c>
    </row>
    <row r="475" spans="1:9" hidden="1" x14ac:dyDescent="0.25">
      <c r="A475" s="1" t="s">
        <v>126</v>
      </c>
      <c r="B475" s="1" t="s">
        <v>244</v>
      </c>
      <c r="C475" s="1" t="s">
        <v>3</v>
      </c>
      <c r="D475" s="1">
        <v>420.89</v>
      </c>
      <c r="E475" s="1">
        <v>174.68</v>
      </c>
      <c r="F475" s="1">
        <v>0</v>
      </c>
      <c r="G475" s="1">
        <v>1153.7639999999999</v>
      </c>
      <c r="H475" s="1">
        <v>2525.3209999999999</v>
      </c>
      <c r="I475" s="1">
        <v>-1726.067</v>
      </c>
    </row>
    <row r="476" spans="1:9" hidden="1" x14ac:dyDescent="0.25">
      <c r="A476" s="1" t="s">
        <v>126</v>
      </c>
      <c r="B476" s="1" t="s">
        <v>245</v>
      </c>
      <c r="C476" s="1" t="s">
        <v>143</v>
      </c>
      <c r="D476" s="1">
        <v>400.92</v>
      </c>
      <c r="E476" s="1">
        <v>-174.68</v>
      </c>
      <c r="F476" s="1">
        <v>0</v>
      </c>
      <c r="G476" s="1">
        <v>-1153.7639999999999</v>
      </c>
      <c r="H476" s="1">
        <v>2405.5189999999998</v>
      </c>
      <c r="I476" s="1">
        <v>-2679.1280000000002</v>
      </c>
    </row>
    <row r="477" spans="1:9" hidden="1" x14ac:dyDescent="0.25">
      <c r="A477" s="1" t="s">
        <v>126</v>
      </c>
      <c r="B477" s="1" t="s">
        <v>245</v>
      </c>
      <c r="C477" s="1" t="s">
        <v>3</v>
      </c>
      <c r="D477" s="1">
        <v>420.89</v>
      </c>
      <c r="E477" s="1">
        <v>-174.68</v>
      </c>
      <c r="F477" s="1">
        <v>0</v>
      </c>
      <c r="G477" s="1">
        <v>-1153.7639999999999</v>
      </c>
      <c r="H477" s="1">
        <v>2525.3209999999999</v>
      </c>
      <c r="I477" s="1">
        <v>-3324.5749999999998</v>
      </c>
    </row>
    <row r="478" spans="1:9" hidden="1" x14ac:dyDescent="0.25">
      <c r="A478" s="1" t="s">
        <v>126</v>
      </c>
      <c r="B478" s="1" t="s">
        <v>246</v>
      </c>
      <c r="C478" s="1" t="s">
        <v>143</v>
      </c>
      <c r="D478" s="1">
        <v>443.12</v>
      </c>
      <c r="E478" s="1">
        <v>0</v>
      </c>
      <c r="F478" s="1">
        <v>160.13</v>
      </c>
      <c r="G478" s="1">
        <v>1057.617</v>
      </c>
      <c r="H478" s="1">
        <v>2909.54</v>
      </c>
      <c r="I478" s="1">
        <v>-2658.7310000000002</v>
      </c>
    </row>
    <row r="479" spans="1:9" hidden="1" x14ac:dyDescent="0.25">
      <c r="A479" s="1" t="s">
        <v>126</v>
      </c>
      <c r="B479" s="1" t="s">
        <v>246</v>
      </c>
      <c r="C479" s="1" t="s">
        <v>3</v>
      </c>
      <c r="D479" s="1">
        <v>465.19</v>
      </c>
      <c r="E479" s="1">
        <v>0</v>
      </c>
      <c r="F479" s="1">
        <v>160.13</v>
      </c>
      <c r="G479" s="1">
        <v>1057.617</v>
      </c>
      <c r="H479" s="1">
        <v>3523.7939999999999</v>
      </c>
      <c r="I479" s="1">
        <v>-2791.1439999999998</v>
      </c>
    </row>
    <row r="480" spans="1:9" hidden="1" x14ac:dyDescent="0.25">
      <c r="A480" s="1" t="s">
        <v>126</v>
      </c>
      <c r="B480" s="1" t="s">
        <v>247</v>
      </c>
      <c r="C480" s="1" t="s">
        <v>143</v>
      </c>
      <c r="D480" s="1">
        <v>443.12</v>
      </c>
      <c r="E480" s="1">
        <v>0</v>
      </c>
      <c r="F480" s="1">
        <v>-160.13</v>
      </c>
      <c r="G480" s="1">
        <v>-1057.617</v>
      </c>
      <c r="H480" s="1">
        <v>2407.922</v>
      </c>
      <c r="I480" s="1">
        <v>-2658.7310000000002</v>
      </c>
    </row>
    <row r="481" spans="1:9" hidden="1" x14ac:dyDescent="0.25">
      <c r="A481" s="1" t="s">
        <v>126</v>
      </c>
      <c r="B481" s="1" t="s">
        <v>247</v>
      </c>
      <c r="C481" s="1" t="s">
        <v>3</v>
      </c>
      <c r="D481" s="1">
        <v>465.19</v>
      </c>
      <c r="E481" s="1">
        <v>0</v>
      </c>
      <c r="F481" s="1">
        <v>-160.13</v>
      </c>
      <c r="G481" s="1">
        <v>-1057.617</v>
      </c>
      <c r="H481" s="1">
        <v>2058.4949999999999</v>
      </c>
      <c r="I481" s="1">
        <v>-2791.1439999999998</v>
      </c>
    </row>
    <row r="482" spans="1:9" hidden="1" x14ac:dyDescent="0.25">
      <c r="A482" s="1" t="s">
        <v>126</v>
      </c>
      <c r="B482" s="1" t="s">
        <v>248</v>
      </c>
      <c r="C482" s="1" t="s">
        <v>143</v>
      </c>
      <c r="D482" s="1">
        <v>400.92</v>
      </c>
      <c r="E482" s="1">
        <v>0</v>
      </c>
      <c r="F482" s="1">
        <v>160.13</v>
      </c>
      <c r="G482" s="1">
        <v>1057.617</v>
      </c>
      <c r="H482" s="1">
        <v>2656.328</v>
      </c>
      <c r="I482" s="1">
        <v>-2405.5189999999998</v>
      </c>
    </row>
    <row r="483" spans="1:9" hidden="1" x14ac:dyDescent="0.25">
      <c r="A483" s="1" t="s">
        <v>126</v>
      </c>
      <c r="B483" s="1" t="s">
        <v>248</v>
      </c>
      <c r="C483" s="1" t="s">
        <v>3</v>
      </c>
      <c r="D483" s="1">
        <v>420.89</v>
      </c>
      <c r="E483" s="1">
        <v>0</v>
      </c>
      <c r="F483" s="1">
        <v>160.13</v>
      </c>
      <c r="G483" s="1">
        <v>1057.617</v>
      </c>
      <c r="H483" s="1">
        <v>3257.97</v>
      </c>
      <c r="I483" s="1">
        <v>-2525.3209999999999</v>
      </c>
    </row>
    <row r="484" spans="1:9" hidden="1" x14ac:dyDescent="0.25">
      <c r="A484" s="1" t="s">
        <v>126</v>
      </c>
      <c r="B484" s="1" t="s">
        <v>249</v>
      </c>
      <c r="C484" s="1" t="s">
        <v>143</v>
      </c>
      <c r="D484" s="1">
        <v>400.92</v>
      </c>
      <c r="E484" s="1">
        <v>0</v>
      </c>
      <c r="F484" s="1">
        <v>-160.13</v>
      </c>
      <c r="G484" s="1">
        <v>-1057.617</v>
      </c>
      <c r="H484" s="1">
        <v>2154.71</v>
      </c>
      <c r="I484" s="1">
        <v>-2405.5189999999998</v>
      </c>
    </row>
    <row r="485" spans="1:9" hidden="1" x14ac:dyDescent="0.25">
      <c r="A485" s="1" t="s">
        <v>126</v>
      </c>
      <c r="B485" s="1" t="s">
        <v>249</v>
      </c>
      <c r="C485" s="1" t="s">
        <v>3</v>
      </c>
      <c r="D485" s="1">
        <v>420.89</v>
      </c>
      <c r="E485" s="1">
        <v>0</v>
      </c>
      <c r="F485" s="1">
        <v>-160.13</v>
      </c>
      <c r="G485" s="1">
        <v>-1057.617</v>
      </c>
      <c r="H485" s="1">
        <v>1792.671</v>
      </c>
      <c r="I485" s="1">
        <v>-2525.3209999999999</v>
      </c>
    </row>
    <row r="486" spans="1:9" hidden="1" x14ac:dyDescent="0.25">
      <c r="A486" s="1" t="s">
        <v>126</v>
      </c>
      <c r="B486" s="1" t="s">
        <v>250</v>
      </c>
      <c r="C486" s="1" t="s">
        <v>143</v>
      </c>
      <c r="D486" s="1">
        <v>492.36</v>
      </c>
      <c r="E486" s="1">
        <v>52.41</v>
      </c>
      <c r="F486" s="1">
        <v>0</v>
      </c>
      <c r="G486" s="1">
        <v>346.12900000000002</v>
      </c>
      <c r="H486" s="1">
        <v>2954.1460000000002</v>
      </c>
      <c r="I486" s="1">
        <v>-2872.0630000000001</v>
      </c>
    </row>
    <row r="487" spans="1:9" hidden="1" x14ac:dyDescent="0.25">
      <c r="A487" s="1" t="s">
        <v>126</v>
      </c>
      <c r="B487" s="1" t="s">
        <v>250</v>
      </c>
      <c r="C487" s="1" t="s">
        <v>3</v>
      </c>
      <c r="D487" s="1">
        <v>516.88</v>
      </c>
      <c r="E487" s="1">
        <v>52.41</v>
      </c>
      <c r="F487" s="1">
        <v>0</v>
      </c>
      <c r="G487" s="1">
        <v>346.12900000000002</v>
      </c>
      <c r="H487" s="1">
        <v>3101.2710000000002</v>
      </c>
      <c r="I487" s="1">
        <v>-2861.4949999999999</v>
      </c>
    </row>
    <row r="488" spans="1:9" hidden="1" x14ac:dyDescent="0.25">
      <c r="A488" s="1" t="s">
        <v>126</v>
      </c>
      <c r="B488" s="1" t="s">
        <v>251</v>
      </c>
      <c r="C488" s="1" t="s">
        <v>143</v>
      </c>
      <c r="D488" s="1">
        <v>492.36</v>
      </c>
      <c r="E488" s="1">
        <v>-52.41</v>
      </c>
      <c r="F488" s="1">
        <v>0</v>
      </c>
      <c r="G488" s="1">
        <v>-346.12900000000002</v>
      </c>
      <c r="H488" s="1">
        <v>2954.1460000000002</v>
      </c>
      <c r="I488" s="1">
        <v>-3036.2289999999998</v>
      </c>
    </row>
    <row r="489" spans="1:9" hidden="1" x14ac:dyDescent="0.25">
      <c r="A489" s="1" t="s">
        <v>126</v>
      </c>
      <c r="B489" s="1" t="s">
        <v>251</v>
      </c>
      <c r="C489" s="1" t="s">
        <v>3</v>
      </c>
      <c r="D489" s="1">
        <v>516.88</v>
      </c>
      <c r="E489" s="1">
        <v>-52.41</v>
      </c>
      <c r="F489" s="1">
        <v>0</v>
      </c>
      <c r="G489" s="1">
        <v>-346.12900000000002</v>
      </c>
      <c r="H489" s="1">
        <v>3101.2710000000002</v>
      </c>
      <c r="I489" s="1">
        <v>-3341.0479999999998</v>
      </c>
    </row>
    <row r="490" spans="1:9" hidden="1" x14ac:dyDescent="0.25">
      <c r="A490" s="1" t="s">
        <v>126</v>
      </c>
      <c r="B490" s="1" t="s">
        <v>252</v>
      </c>
      <c r="C490" s="1" t="s">
        <v>143</v>
      </c>
      <c r="D490" s="1">
        <v>351.68</v>
      </c>
      <c r="E490" s="1">
        <v>52.41</v>
      </c>
      <c r="F490" s="1">
        <v>0</v>
      </c>
      <c r="G490" s="1">
        <v>346.12900000000002</v>
      </c>
      <c r="H490" s="1">
        <v>2110.1039999999998</v>
      </c>
      <c r="I490" s="1">
        <v>-2028.021</v>
      </c>
    </row>
    <row r="491" spans="1:9" hidden="1" x14ac:dyDescent="0.25">
      <c r="A491" s="1" t="s">
        <v>126</v>
      </c>
      <c r="B491" s="1" t="s">
        <v>252</v>
      </c>
      <c r="C491" s="1" t="s">
        <v>3</v>
      </c>
      <c r="D491" s="1">
        <v>369.2</v>
      </c>
      <c r="E491" s="1">
        <v>52.41</v>
      </c>
      <c r="F491" s="1">
        <v>0</v>
      </c>
      <c r="G491" s="1">
        <v>346.12900000000002</v>
      </c>
      <c r="H491" s="1">
        <v>2215.194</v>
      </c>
      <c r="I491" s="1">
        <v>-1975.4179999999999</v>
      </c>
    </row>
    <row r="492" spans="1:9" hidden="1" x14ac:dyDescent="0.25">
      <c r="A492" s="1" t="s">
        <v>126</v>
      </c>
      <c r="B492" s="1" t="s">
        <v>253</v>
      </c>
      <c r="C492" s="1" t="s">
        <v>143</v>
      </c>
      <c r="D492" s="1">
        <v>351.68</v>
      </c>
      <c r="E492" s="1">
        <v>-52.41</v>
      </c>
      <c r="F492" s="1">
        <v>0</v>
      </c>
      <c r="G492" s="1">
        <v>-346.12900000000002</v>
      </c>
      <c r="H492" s="1">
        <v>2110.1039999999998</v>
      </c>
      <c r="I492" s="1">
        <v>-2192.1869999999999</v>
      </c>
    </row>
    <row r="493" spans="1:9" hidden="1" x14ac:dyDescent="0.25">
      <c r="A493" s="1" t="s">
        <v>126</v>
      </c>
      <c r="B493" s="1" t="s">
        <v>253</v>
      </c>
      <c r="C493" s="1" t="s">
        <v>3</v>
      </c>
      <c r="D493" s="1">
        <v>369.2</v>
      </c>
      <c r="E493" s="1">
        <v>-52.41</v>
      </c>
      <c r="F493" s="1">
        <v>0</v>
      </c>
      <c r="G493" s="1">
        <v>-346.12900000000002</v>
      </c>
      <c r="H493" s="1">
        <v>2215.194</v>
      </c>
      <c r="I493" s="1">
        <v>-2454.9699999999998</v>
      </c>
    </row>
    <row r="494" spans="1:9" hidden="1" x14ac:dyDescent="0.25">
      <c r="A494" s="1" t="s">
        <v>126</v>
      </c>
      <c r="B494" s="1" t="s">
        <v>254</v>
      </c>
      <c r="C494" s="1" t="s">
        <v>143</v>
      </c>
      <c r="D494" s="1">
        <v>492.36</v>
      </c>
      <c r="E494" s="1">
        <v>0</v>
      </c>
      <c r="F494" s="1">
        <v>48.04</v>
      </c>
      <c r="G494" s="1">
        <v>317.28500000000003</v>
      </c>
      <c r="H494" s="1">
        <v>3029.3879999999999</v>
      </c>
      <c r="I494" s="1">
        <v>-2954.1460000000002</v>
      </c>
    </row>
    <row r="495" spans="1:9" hidden="1" x14ac:dyDescent="0.25">
      <c r="A495" s="1" t="s">
        <v>126</v>
      </c>
      <c r="B495" s="1" t="s">
        <v>254</v>
      </c>
      <c r="C495" s="1" t="s">
        <v>3</v>
      </c>
      <c r="D495" s="1">
        <v>516.88</v>
      </c>
      <c r="E495" s="1">
        <v>0</v>
      </c>
      <c r="F495" s="1">
        <v>48.04</v>
      </c>
      <c r="G495" s="1">
        <v>317.28500000000003</v>
      </c>
      <c r="H495" s="1">
        <v>3321.0659999999998</v>
      </c>
      <c r="I495" s="1">
        <v>-3101.2710000000002</v>
      </c>
    </row>
    <row r="496" spans="1:9" hidden="1" x14ac:dyDescent="0.25">
      <c r="A496" s="1" t="s">
        <v>126</v>
      </c>
      <c r="B496" s="1" t="s">
        <v>255</v>
      </c>
      <c r="C496" s="1" t="s">
        <v>143</v>
      </c>
      <c r="D496" s="1">
        <v>492.36</v>
      </c>
      <c r="E496" s="1">
        <v>0</v>
      </c>
      <c r="F496" s="1">
        <v>-48.04</v>
      </c>
      <c r="G496" s="1">
        <v>-317.28500000000003</v>
      </c>
      <c r="H496" s="1">
        <v>2878.9029999999998</v>
      </c>
      <c r="I496" s="1">
        <v>-2954.1460000000002</v>
      </c>
    </row>
    <row r="497" spans="1:9" hidden="1" x14ac:dyDescent="0.25">
      <c r="A497" s="1" t="s">
        <v>126</v>
      </c>
      <c r="B497" s="1" t="s">
        <v>255</v>
      </c>
      <c r="C497" s="1" t="s">
        <v>3</v>
      </c>
      <c r="D497" s="1">
        <v>516.88</v>
      </c>
      <c r="E497" s="1">
        <v>0</v>
      </c>
      <c r="F497" s="1">
        <v>-48.04</v>
      </c>
      <c r="G497" s="1">
        <v>-317.28500000000003</v>
      </c>
      <c r="H497" s="1">
        <v>2881.4769999999999</v>
      </c>
      <c r="I497" s="1">
        <v>-3101.2710000000002</v>
      </c>
    </row>
    <row r="498" spans="1:9" hidden="1" x14ac:dyDescent="0.25">
      <c r="A498" s="1" t="s">
        <v>126</v>
      </c>
      <c r="B498" s="1" t="s">
        <v>256</v>
      </c>
      <c r="C498" s="1" t="s">
        <v>143</v>
      </c>
      <c r="D498" s="1">
        <v>351.68</v>
      </c>
      <c r="E498" s="1">
        <v>0</v>
      </c>
      <c r="F498" s="1">
        <v>48.04</v>
      </c>
      <c r="G498" s="1">
        <v>317.28500000000003</v>
      </c>
      <c r="H498" s="1">
        <v>2185.3470000000002</v>
      </c>
      <c r="I498" s="1">
        <v>-2110.1039999999998</v>
      </c>
    </row>
    <row r="499" spans="1:9" hidden="1" x14ac:dyDescent="0.25">
      <c r="A499" s="1" t="s">
        <v>126</v>
      </c>
      <c r="B499" s="1" t="s">
        <v>256</v>
      </c>
      <c r="C499" s="1" t="s">
        <v>3</v>
      </c>
      <c r="D499" s="1">
        <v>369.2</v>
      </c>
      <c r="E499" s="1">
        <v>0</v>
      </c>
      <c r="F499" s="1">
        <v>48.04</v>
      </c>
      <c r="G499" s="1">
        <v>317.28500000000003</v>
      </c>
      <c r="H499" s="1">
        <v>2434.989</v>
      </c>
      <c r="I499" s="1">
        <v>-2215.194</v>
      </c>
    </row>
    <row r="500" spans="1:9" hidden="1" x14ac:dyDescent="0.25">
      <c r="A500" s="1" t="s">
        <v>126</v>
      </c>
      <c r="B500" s="1" t="s">
        <v>257</v>
      </c>
      <c r="C500" s="1" t="s">
        <v>143</v>
      </c>
      <c r="D500" s="1">
        <v>351.68</v>
      </c>
      <c r="E500" s="1">
        <v>0</v>
      </c>
      <c r="F500" s="1">
        <v>-48.04</v>
      </c>
      <c r="G500" s="1">
        <v>-317.28500000000003</v>
      </c>
      <c r="H500" s="1">
        <v>2034.8610000000001</v>
      </c>
      <c r="I500" s="1">
        <v>-2110.1039999999998</v>
      </c>
    </row>
    <row r="501" spans="1:9" hidden="1" x14ac:dyDescent="0.25">
      <c r="A501" s="1" t="s">
        <v>126</v>
      </c>
      <c r="B501" s="1" t="s">
        <v>257</v>
      </c>
      <c r="C501" s="1" t="s">
        <v>3</v>
      </c>
      <c r="D501" s="1">
        <v>369.2</v>
      </c>
      <c r="E501" s="1">
        <v>0</v>
      </c>
      <c r="F501" s="1">
        <v>-48.04</v>
      </c>
      <c r="G501" s="1">
        <v>-317.28500000000003</v>
      </c>
      <c r="H501" s="1">
        <v>1995.3989999999999</v>
      </c>
      <c r="I501" s="1">
        <v>-2215.194</v>
      </c>
    </row>
    <row r="502" spans="1:9" hidden="1" x14ac:dyDescent="0.25">
      <c r="A502" s="1" t="s">
        <v>127</v>
      </c>
      <c r="B502" s="1" t="s">
        <v>2</v>
      </c>
      <c r="C502" s="1" t="s">
        <v>143</v>
      </c>
      <c r="D502" s="1">
        <v>715.04</v>
      </c>
      <c r="E502" s="1">
        <v>0</v>
      </c>
      <c r="F502" s="1">
        <v>0</v>
      </c>
      <c r="G502" s="1">
        <v>0</v>
      </c>
      <c r="H502" s="1">
        <v>4290.268</v>
      </c>
      <c r="I502" s="1">
        <v>-4290.268</v>
      </c>
    </row>
    <row r="503" spans="1:9" x14ac:dyDescent="0.25">
      <c r="A503" s="1" t="s">
        <v>127</v>
      </c>
      <c r="B503" s="1" t="s">
        <v>2</v>
      </c>
      <c r="C503" s="1" t="s">
        <v>3</v>
      </c>
      <c r="D503" s="1">
        <v>738.4</v>
      </c>
      <c r="E503" s="1">
        <v>0</v>
      </c>
      <c r="F503" s="1">
        <v>0</v>
      </c>
      <c r="G503" s="1">
        <v>0</v>
      </c>
      <c r="H503" s="1">
        <v>4430.3879999999999</v>
      </c>
      <c r="I503" s="1">
        <v>-4430.3879999999999</v>
      </c>
    </row>
    <row r="504" spans="1:9" hidden="1" x14ac:dyDescent="0.25">
      <c r="A504" s="1" t="s">
        <v>127</v>
      </c>
      <c r="B504" s="1" t="s">
        <v>144</v>
      </c>
      <c r="C504" s="1" t="s">
        <v>143</v>
      </c>
      <c r="D504" s="1">
        <v>129.6</v>
      </c>
      <c r="E504" s="1">
        <v>0</v>
      </c>
      <c r="F504" s="1">
        <v>0</v>
      </c>
      <c r="G504" s="1">
        <v>0</v>
      </c>
      <c r="H504" s="1">
        <v>777.6</v>
      </c>
      <c r="I504" s="1">
        <v>-777.6</v>
      </c>
    </row>
    <row r="505" spans="1:9" hidden="1" x14ac:dyDescent="0.25">
      <c r="A505" s="1" t="s">
        <v>127</v>
      </c>
      <c r="B505" s="1" t="s">
        <v>144</v>
      </c>
      <c r="C505" s="1" t="s">
        <v>3</v>
      </c>
      <c r="D505" s="1">
        <v>129.6</v>
      </c>
      <c r="E505" s="1">
        <v>0</v>
      </c>
      <c r="F505" s="1">
        <v>0</v>
      </c>
      <c r="G505" s="1">
        <v>0</v>
      </c>
      <c r="H505" s="1">
        <v>777.6</v>
      </c>
      <c r="I505" s="1">
        <v>-777.6</v>
      </c>
    </row>
    <row r="506" spans="1:9" hidden="1" x14ac:dyDescent="0.25">
      <c r="A506" s="1" t="s">
        <v>127</v>
      </c>
      <c r="B506" s="1" t="s">
        <v>12</v>
      </c>
      <c r="C506" s="1" t="s">
        <v>143</v>
      </c>
      <c r="D506" s="1">
        <v>0</v>
      </c>
      <c r="E506" s="1">
        <v>-230.01</v>
      </c>
      <c r="F506" s="1">
        <v>0</v>
      </c>
      <c r="G506" s="1">
        <v>1518.068</v>
      </c>
      <c r="H506" s="1">
        <v>0</v>
      </c>
      <c r="I506" s="1">
        <v>-835.30700000000002</v>
      </c>
    </row>
    <row r="507" spans="1:9" hidden="1" x14ac:dyDescent="0.25">
      <c r="A507" s="1" t="s">
        <v>127</v>
      </c>
      <c r="B507" s="1" t="s">
        <v>12</v>
      </c>
      <c r="C507" s="1" t="s">
        <v>3</v>
      </c>
      <c r="D507" s="1">
        <v>0</v>
      </c>
      <c r="E507" s="1">
        <v>-230.01</v>
      </c>
      <c r="F507" s="1">
        <v>0</v>
      </c>
      <c r="G507" s="1">
        <v>1518.068</v>
      </c>
      <c r="H507" s="1">
        <v>0</v>
      </c>
      <c r="I507" s="1">
        <v>-1531.7909999999999</v>
      </c>
    </row>
    <row r="508" spans="1:9" hidden="1" x14ac:dyDescent="0.25">
      <c r="A508" s="1" t="s">
        <v>127</v>
      </c>
      <c r="B508" s="1" t="s">
        <v>13</v>
      </c>
      <c r="C508" s="1" t="s">
        <v>143</v>
      </c>
      <c r="D508" s="1">
        <v>0</v>
      </c>
      <c r="E508" s="1">
        <v>-230.01</v>
      </c>
      <c r="F508" s="1">
        <v>0</v>
      </c>
      <c r="G508" s="1">
        <v>1242.056</v>
      </c>
      <c r="H508" s="1">
        <v>0</v>
      </c>
      <c r="I508" s="1">
        <v>-835.30700000000002</v>
      </c>
    </row>
    <row r="509" spans="1:9" hidden="1" x14ac:dyDescent="0.25">
      <c r="A509" s="1" t="s">
        <v>127</v>
      </c>
      <c r="B509" s="1" t="s">
        <v>13</v>
      </c>
      <c r="C509" s="1" t="s">
        <v>3</v>
      </c>
      <c r="D509" s="1">
        <v>0</v>
      </c>
      <c r="E509" s="1">
        <v>-230.01</v>
      </c>
      <c r="F509" s="1">
        <v>0</v>
      </c>
      <c r="G509" s="1">
        <v>1242.056</v>
      </c>
      <c r="H509" s="1">
        <v>0</v>
      </c>
      <c r="I509" s="1">
        <v>-1531.7909999999999</v>
      </c>
    </row>
    <row r="510" spans="1:9" hidden="1" x14ac:dyDescent="0.25">
      <c r="A510" s="1" t="s">
        <v>127</v>
      </c>
      <c r="B510" s="1" t="s">
        <v>14</v>
      </c>
      <c r="C510" s="1" t="s">
        <v>143</v>
      </c>
      <c r="D510" s="1">
        <v>0</v>
      </c>
      <c r="E510" s="1">
        <v>0</v>
      </c>
      <c r="F510" s="1">
        <v>-230.01</v>
      </c>
      <c r="G510" s="1">
        <v>-1518.068</v>
      </c>
      <c r="H510" s="1">
        <v>835.30700000000002</v>
      </c>
      <c r="I510" s="1">
        <v>0</v>
      </c>
    </row>
    <row r="511" spans="1:9" hidden="1" x14ac:dyDescent="0.25">
      <c r="A511" s="1" t="s">
        <v>127</v>
      </c>
      <c r="B511" s="1" t="s">
        <v>14</v>
      </c>
      <c r="C511" s="1" t="s">
        <v>3</v>
      </c>
      <c r="D511" s="1">
        <v>0</v>
      </c>
      <c r="E511" s="1">
        <v>0</v>
      </c>
      <c r="F511" s="1">
        <v>-230.01</v>
      </c>
      <c r="G511" s="1">
        <v>-1518.068</v>
      </c>
      <c r="H511" s="1">
        <v>1531.7909999999999</v>
      </c>
      <c r="I511" s="1">
        <v>0</v>
      </c>
    </row>
    <row r="512" spans="1:9" hidden="1" x14ac:dyDescent="0.25">
      <c r="A512" s="1" t="s">
        <v>127</v>
      </c>
      <c r="B512" s="1" t="s">
        <v>15</v>
      </c>
      <c r="C512" s="1" t="s">
        <v>143</v>
      </c>
      <c r="D512" s="1">
        <v>0</v>
      </c>
      <c r="E512" s="1">
        <v>0</v>
      </c>
      <c r="F512" s="1">
        <v>-230.01</v>
      </c>
      <c r="G512" s="1">
        <v>-1242.056</v>
      </c>
      <c r="H512" s="1">
        <v>835.30700000000002</v>
      </c>
      <c r="I512" s="1">
        <v>0</v>
      </c>
    </row>
    <row r="513" spans="1:9" hidden="1" x14ac:dyDescent="0.25">
      <c r="A513" s="1" t="s">
        <v>127</v>
      </c>
      <c r="B513" s="1" t="s">
        <v>15</v>
      </c>
      <c r="C513" s="1" t="s">
        <v>3</v>
      </c>
      <c r="D513" s="1">
        <v>0</v>
      </c>
      <c r="E513" s="1">
        <v>0</v>
      </c>
      <c r="F513" s="1">
        <v>-230.01</v>
      </c>
      <c r="G513" s="1">
        <v>-1242.056</v>
      </c>
      <c r="H513" s="1">
        <v>1531.7909999999999</v>
      </c>
      <c r="I513" s="1">
        <v>0</v>
      </c>
    </row>
    <row r="514" spans="1:9" hidden="1" x14ac:dyDescent="0.25">
      <c r="A514" s="1" t="s">
        <v>127</v>
      </c>
      <c r="B514" s="1" t="s">
        <v>145</v>
      </c>
      <c r="C514" s="1" t="s">
        <v>143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</row>
    <row r="515" spans="1:9" hidden="1" x14ac:dyDescent="0.25">
      <c r="A515" s="1" t="s">
        <v>127</v>
      </c>
      <c r="B515" s="1" t="s">
        <v>145</v>
      </c>
      <c r="C515" s="1" t="s">
        <v>3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</row>
    <row r="516" spans="1:9" hidden="1" x14ac:dyDescent="0.25">
      <c r="A516" s="1" t="s">
        <v>127</v>
      </c>
      <c r="B516" s="1" t="s">
        <v>146</v>
      </c>
      <c r="C516" s="1" t="s">
        <v>143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</row>
    <row r="517" spans="1:9" hidden="1" x14ac:dyDescent="0.25">
      <c r="A517" s="1" t="s">
        <v>127</v>
      </c>
      <c r="B517" s="1" t="s">
        <v>146</v>
      </c>
      <c r="C517" s="1" t="s">
        <v>3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</row>
    <row r="518" spans="1:9" hidden="1" x14ac:dyDescent="0.25">
      <c r="A518" s="1" t="s">
        <v>127</v>
      </c>
      <c r="B518" s="1" t="s">
        <v>147</v>
      </c>
      <c r="C518" s="1" t="s">
        <v>143</v>
      </c>
      <c r="D518" s="1">
        <v>0</v>
      </c>
      <c r="E518" s="1">
        <v>0</v>
      </c>
      <c r="F518" s="1">
        <v>0</v>
      </c>
      <c r="G518" s="1">
        <v>0</v>
      </c>
      <c r="H518" s="1">
        <v>0</v>
      </c>
      <c r="I518" s="1">
        <v>0</v>
      </c>
    </row>
    <row r="519" spans="1:9" hidden="1" x14ac:dyDescent="0.25">
      <c r="A519" s="1" t="s">
        <v>127</v>
      </c>
      <c r="B519" s="1" t="s">
        <v>147</v>
      </c>
      <c r="C519" s="1" t="s">
        <v>3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</row>
    <row r="520" spans="1:9" hidden="1" x14ac:dyDescent="0.25">
      <c r="A520" s="1" t="s">
        <v>127</v>
      </c>
      <c r="B520" s="1" t="s">
        <v>148</v>
      </c>
      <c r="C520" s="1" t="s">
        <v>143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</row>
    <row r="521" spans="1:9" hidden="1" x14ac:dyDescent="0.25">
      <c r="A521" s="1" t="s">
        <v>127</v>
      </c>
      <c r="B521" s="1" t="s">
        <v>148</v>
      </c>
      <c r="C521" s="1" t="s">
        <v>3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</row>
    <row r="522" spans="1:9" hidden="1" x14ac:dyDescent="0.25">
      <c r="A522" s="1" t="s">
        <v>127</v>
      </c>
      <c r="B522" s="1" t="s">
        <v>149</v>
      </c>
      <c r="C522" s="1" t="s">
        <v>143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</row>
    <row r="523" spans="1:9" hidden="1" x14ac:dyDescent="0.25">
      <c r="A523" s="1" t="s">
        <v>127</v>
      </c>
      <c r="B523" s="1" t="s">
        <v>149</v>
      </c>
      <c r="C523" s="1" t="s">
        <v>3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</row>
    <row r="524" spans="1:9" hidden="1" x14ac:dyDescent="0.25">
      <c r="A524" s="1" t="s">
        <v>127</v>
      </c>
      <c r="B524" s="1" t="s">
        <v>150</v>
      </c>
      <c r="C524" s="1" t="s">
        <v>143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</row>
    <row r="525" spans="1:9" hidden="1" x14ac:dyDescent="0.25">
      <c r="A525" s="1" t="s">
        <v>127</v>
      </c>
      <c r="B525" s="1" t="s">
        <v>150</v>
      </c>
      <c r="C525" s="1" t="s">
        <v>3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</row>
    <row r="526" spans="1:9" hidden="1" x14ac:dyDescent="0.25">
      <c r="A526" s="1" t="s">
        <v>127</v>
      </c>
      <c r="B526" s="1" t="s">
        <v>16</v>
      </c>
      <c r="C526" s="1" t="s">
        <v>143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</row>
    <row r="527" spans="1:9" hidden="1" x14ac:dyDescent="0.25">
      <c r="A527" s="1" t="s">
        <v>127</v>
      </c>
      <c r="B527" s="1" t="s">
        <v>16</v>
      </c>
      <c r="C527" s="1" t="s">
        <v>3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</row>
    <row r="528" spans="1:9" hidden="1" x14ac:dyDescent="0.25">
      <c r="A528" s="1" t="s">
        <v>127</v>
      </c>
      <c r="B528" s="1" t="s">
        <v>151</v>
      </c>
      <c r="C528" s="1" t="s">
        <v>143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</row>
    <row r="529" spans="1:9" hidden="1" x14ac:dyDescent="0.25">
      <c r="A529" s="1" t="s">
        <v>127</v>
      </c>
      <c r="B529" s="1" t="s">
        <v>151</v>
      </c>
      <c r="C529" s="1" t="s">
        <v>3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</row>
    <row r="530" spans="1:9" hidden="1" x14ac:dyDescent="0.25">
      <c r="A530" s="1" t="s">
        <v>127</v>
      </c>
      <c r="B530" s="1" t="s">
        <v>152</v>
      </c>
      <c r="C530" s="1" t="s">
        <v>143</v>
      </c>
      <c r="D530" s="1">
        <v>0</v>
      </c>
      <c r="E530" s="1">
        <v>-56.62</v>
      </c>
      <c r="F530" s="1">
        <v>0</v>
      </c>
      <c r="G530" s="1">
        <v>339.72300000000001</v>
      </c>
      <c r="H530" s="1">
        <v>0</v>
      </c>
      <c r="I530" s="1">
        <v>-97.68</v>
      </c>
    </row>
    <row r="531" spans="1:9" hidden="1" x14ac:dyDescent="0.25">
      <c r="A531" s="1" t="s">
        <v>127</v>
      </c>
      <c r="B531" s="1" t="s">
        <v>152</v>
      </c>
      <c r="C531" s="1" t="s">
        <v>3</v>
      </c>
      <c r="D531" s="1">
        <v>0</v>
      </c>
      <c r="E531" s="1">
        <v>-56.62</v>
      </c>
      <c r="F531" s="1">
        <v>0</v>
      </c>
      <c r="G531" s="1">
        <v>339.72300000000001</v>
      </c>
      <c r="H531" s="1">
        <v>0</v>
      </c>
      <c r="I531" s="1">
        <v>-269.13600000000002</v>
      </c>
    </row>
    <row r="532" spans="1:9" hidden="1" x14ac:dyDescent="0.25">
      <c r="A532" s="1" t="s">
        <v>127</v>
      </c>
      <c r="B532" s="1" t="s">
        <v>153</v>
      </c>
      <c r="C532" s="1" t="s">
        <v>143</v>
      </c>
      <c r="D532" s="1">
        <v>0</v>
      </c>
      <c r="E532" s="1">
        <v>0</v>
      </c>
      <c r="F532" s="1">
        <v>-56.62</v>
      </c>
      <c r="G532" s="1">
        <v>-339.72300000000001</v>
      </c>
      <c r="H532" s="1">
        <v>97.68</v>
      </c>
      <c r="I532" s="1">
        <v>0</v>
      </c>
    </row>
    <row r="533" spans="1:9" hidden="1" x14ac:dyDescent="0.25">
      <c r="A533" s="1" t="s">
        <v>127</v>
      </c>
      <c r="B533" s="1" t="s">
        <v>153</v>
      </c>
      <c r="C533" s="1" t="s">
        <v>3</v>
      </c>
      <c r="D533" s="1">
        <v>0</v>
      </c>
      <c r="E533" s="1">
        <v>0</v>
      </c>
      <c r="F533" s="1">
        <v>-56.62</v>
      </c>
      <c r="G533" s="1">
        <v>-339.72300000000001</v>
      </c>
      <c r="H533" s="1">
        <v>269.13600000000002</v>
      </c>
      <c r="I533" s="1">
        <v>0</v>
      </c>
    </row>
    <row r="534" spans="1:9" hidden="1" x14ac:dyDescent="0.25">
      <c r="A534" s="1" t="s">
        <v>127</v>
      </c>
      <c r="B534" s="1" t="s">
        <v>154</v>
      </c>
      <c r="C534" s="1" t="s">
        <v>143</v>
      </c>
      <c r="D534" s="1">
        <v>0</v>
      </c>
      <c r="E534" s="1">
        <v>0</v>
      </c>
      <c r="F534" s="1">
        <v>0</v>
      </c>
      <c r="G534" s="1">
        <v>0</v>
      </c>
      <c r="H534" s="1">
        <v>0</v>
      </c>
      <c r="I534" s="1">
        <v>0</v>
      </c>
    </row>
    <row r="535" spans="1:9" hidden="1" x14ac:dyDescent="0.25">
      <c r="A535" s="1" t="s">
        <v>127</v>
      </c>
      <c r="B535" s="1" t="s">
        <v>154</v>
      </c>
      <c r="C535" s="1" t="s">
        <v>3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</row>
    <row r="536" spans="1:9" hidden="1" x14ac:dyDescent="0.25">
      <c r="A536" s="1" t="s">
        <v>127</v>
      </c>
      <c r="B536" s="1" t="s">
        <v>155</v>
      </c>
      <c r="C536" s="1" t="s">
        <v>143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</row>
    <row r="537" spans="1:9" hidden="1" x14ac:dyDescent="0.25">
      <c r="A537" s="1" t="s">
        <v>127</v>
      </c>
      <c r="B537" s="1" t="s">
        <v>155</v>
      </c>
      <c r="C537" s="1" t="s">
        <v>3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</row>
    <row r="538" spans="1:9" hidden="1" x14ac:dyDescent="0.25">
      <c r="A538" s="1" t="s">
        <v>127</v>
      </c>
      <c r="B538" s="1" t="s">
        <v>156</v>
      </c>
      <c r="C538" s="1" t="s">
        <v>143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</row>
    <row r="539" spans="1:9" hidden="1" x14ac:dyDescent="0.25">
      <c r="A539" s="1" t="s">
        <v>127</v>
      </c>
      <c r="B539" s="1" t="s">
        <v>156</v>
      </c>
      <c r="C539" s="1" t="s">
        <v>3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</row>
    <row r="540" spans="1:9" hidden="1" x14ac:dyDescent="0.25">
      <c r="A540" s="1" t="s">
        <v>127</v>
      </c>
      <c r="B540" s="1" t="s">
        <v>4</v>
      </c>
      <c r="C540" s="1" t="s">
        <v>143</v>
      </c>
      <c r="D540" s="1">
        <v>0</v>
      </c>
      <c r="E540" s="1">
        <v>202.54</v>
      </c>
      <c r="F540" s="1">
        <v>0</v>
      </c>
      <c r="G540" s="1">
        <v>1339.1880000000001</v>
      </c>
      <c r="H540" s="1">
        <v>0</v>
      </c>
      <c r="I540" s="1">
        <v>666.04499999999996</v>
      </c>
    </row>
    <row r="541" spans="1:9" hidden="1" x14ac:dyDescent="0.25">
      <c r="A541" s="1" t="s">
        <v>127</v>
      </c>
      <c r="B541" s="1" t="s">
        <v>4</v>
      </c>
      <c r="C541" s="1" t="s">
        <v>3</v>
      </c>
      <c r="D541" s="1">
        <v>0</v>
      </c>
      <c r="E541" s="1">
        <v>202.54</v>
      </c>
      <c r="F541" s="1">
        <v>0</v>
      </c>
      <c r="G541" s="1">
        <v>1339.1880000000001</v>
      </c>
      <c r="H541" s="1">
        <v>0</v>
      </c>
      <c r="I541" s="1">
        <v>1276.2429999999999</v>
      </c>
    </row>
    <row r="542" spans="1:9" hidden="1" x14ac:dyDescent="0.25">
      <c r="A542" s="1" t="s">
        <v>127</v>
      </c>
      <c r="B542" s="1" t="s">
        <v>5</v>
      </c>
      <c r="C542" s="1" t="s">
        <v>143</v>
      </c>
      <c r="D542" s="1">
        <v>0</v>
      </c>
      <c r="E542" s="1">
        <v>0</v>
      </c>
      <c r="F542" s="1">
        <v>202.54</v>
      </c>
      <c r="G542" s="1">
        <v>1339.1880000000001</v>
      </c>
      <c r="H542" s="1">
        <v>666.04499999999996</v>
      </c>
      <c r="I542" s="1">
        <v>0</v>
      </c>
    </row>
    <row r="543" spans="1:9" hidden="1" x14ac:dyDescent="0.25">
      <c r="A543" s="1" t="s">
        <v>127</v>
      </c>
      <c r="B543" s="1" t="s">
        <v>5</v>
      </c>
      <c r="C543" s="1" t="s">
        <v>3</v>
      </c>
      <c r="D543" s="1">
        <v>0</v>
      </c>
      <c r="E543" s="1">
        <v>0</v>
      </c>
      <c r="F543" s="1">
        <v>202.54</v>
      </c>
      <c r="G543" s="1">
        <v>1339.1880000000001</v>
      </c>
      <c r="H543" s="1">
        <v>1276.2429999999999</v>
      </c>
      <c r="I543" s="1">
        <v>0</v>
      </c>
    </row>
    <row r="544" spans="1:9" hidden="1" x14ac:dyDescent="0.25">
      <c r="A544" s="1" t="s">
        <v>127</v>
      </c>
      <c r="B544" s="1" t="s">
        <v>6</v>
      </c>
      <c r="C544" s="1" t="s">
        <v>143</v>
      </c>
      <c r="D544" s="1">
        <v>107.26</v>
      </c>
      <c r="E544" s="1">
        <v>0</v>
      </c>
      <c r="F544" s="1">
        <v>0</v>
      </c>
      <c r="G544" s="1">
        <v>0</v>
      </c>
      <c r="H544" s="1">
        <v>643.54</v>
      </c>
      <c r="I544" s="1">
        <v>-643.54</v>
      </c>
    </row>
    <row r="545" spans="1:9" hidden="1" x14ac:dyDescent="0.25">
      <c r="A545" s="1" t="s">
        <v>127</v>
      </c>
      <c r="B545" s="1" t="s">
        <v>6</v>
      </c>
      <c r="C545" s="1" t="s">
        <v>3</v>
      </c>
      <c r="D545" s="1">
        <v>110.76</v>
      </c>
      <c r="E545" s="1">
        <v>0</v>
      </c>
      <c r="F545" s="1">
        <v>0</v>
      </c>
      <c r="G545" s="1">
        <v>0</v>
      </c>
      <c r="H545" s="1">
        <v>664.55799999999999</v>
      </c>
      <c r="I545" s="1">
        <v>-664.55799999999999</v>
      </c>
    </row>
    <row r="546" spans="1:9" hidden="1" x14ac:dyDescent="0.25">
      <c r="A546" s="1" t="s">
        <v>127</v>
      </c>
      <c r="B546" s="1" t="s">
        <v>7</v>
      </c>
      <c r="C546" s="1" t="s">
        <v>143</v>
      </c>
      <c r="D546" s="1">
        <v>0</v>
      </c>
      <c r="E546" s="1">
        <v>243.05</v>
      </c>
      <c r="F546" s="1">
        <v>0</v>
      </c>
      <c r="G546" s="1">
        <v>1607.0250000000001</v>
      </c>
      <c r="H546" s="1">
        <v>0</v>
      </c>
      <c r="I546" s="1">
        <v>799.25400000000002</v>
      </c>
    </row>
    <row r="547" spans="1:9" hidden="1" x14ac:dyDescent="0.25">
      <c r="A547" s="1" t="s">
        <v>127</v>
      </c>
      <c r="B547" s="1" t="s">
        <v>7</v>
      </c>
      <c r="C547" s="1" t="s">
        <v>3</v>
      </c>
      <c r="D547" s="1">
        <v>0</v>
      </c>
      <c r="E547" s="1">
        <v>243.05</v>
      </c>
      <c r="F547" s="1">
        <v>0</v>
      </c>
      <c r="G547" s="1">
        <v>1607.0250000000001</v>
      </c>
      <c r="H547" s="1">
        <v>0</v>
      </c>
      <c r="I547" s="1">
        <v>1531.492</v>
      </c>
    </row>
    <row r="548" spans="1:9" hidden="1" x14ac:dyDescent="0.25">
      <c r="A548" s="1" t="s">
        <v>127</v>
      </c>
      <c r="B548" s="1" t="s">
        <v>157</v>
      </c>
      <c r="C548" s="1" t="s">
        <v>143</v>
      </c>
      <c r="D548" s="1">
        <v>0</v>
      </c>
      <c r="E548" s="1">
        <v>-243.05</v>
      </c>
      <c r="F548" s="1">
        <v>0</v>
      </c>
      <c r="G548" s="1">
        <v>-1607.0250000000001</v>
      </c>
      <c r="H548" s="1">
        <v>0</v>
      </c>
      <c r="I548" s="1">
        <v>-799.25400000000002</v>
      </c>
    </row>
    <row r="549" spans="1:9" hidden="1" x14ac:dyDescent="0.25">
      <c r="A549" s="1" t="s">
        <v>127</v>
      </c>
      <c r="B549" s="1" t="s">
        <v>157</v>
      </c>
      <c r="C549" s="1" t="s">
        <v>3</v>
      </c>
      <c r="D549" s="1">
        <v>0</v>
      </c>
      <c r="E549" s="1">
        <v>-243.05</v>
      </c>
      <c r="F549" s="1">
        <v>0</v>
      </c>
      <c r="G549" s="1">
        <v>-1607.0250000000001</v>
      </c>
      <c r="H549" s="1">
        <v>0</v>
      </c>
      <c r="I549" s="1">
        <v>-1531.492</v>
      </c>
    </row>
    <row r="550" spans="1:9" hidden="1" x14ac:dyDescent="0.25">
      <c r="A550" s="1" t="s">
        <v>127</v>
      </c>
      <c r="B550" s="1" t="s">
        <v>8</v>
      </c>
      <c r="C550" s="1" t="s">
        <v>143</v>
      </c>
      <c r="D550" s="1">
        <v>0</v>
      </c>
      <c r="E550" s="1">
        <v>0</v>
      </c>
      <c r="F550" s="1">
        <v>222.8</v>
      </c>
      <c r="G550" s="1">
        <v>1473.106</v>
      </c>
      <c r="H550" s="1">
        <v>732.65</v>
      </c>
      <c r="I550" s="1">
        <v>0</v>
      </c>
    </row>
    <row r="551" spans="1:9" hidden="1" x14ac:dyDescent="0.25">
      <c r="A551" s="1" t="s">
        <v>127</v>
      </c>
      <c r="B551" s="1" t="s">
        <v>8</v>
      </c>
      <c r="C551" s="1" t="s">
        <v>3</v>
      </c>
      <c r="D551" s="1">
        <v>0</v>
      </c>
      <c r="E551" s="1">
        <v>0</v>
      </c>
      <c r="F551" s="1">
        <v>222.8</v>
      </c>
      <c r="G551" s="1">
        <v>1473.106</v>
      </c>
      <c r="H551" s="1">
        <v>1403.867</v>
      </c>
      <c r="I551" s="1">
        <v>0</v>
      </c>
    </row>
    <row r="552" spans="1:9" hidden="1" x14ac:dyDescent="0.25">
      <c r="A552" s="1" t="s">
        <v>127</v>
      </c>
      <c r="B552" s="1" t="s">
        <v>158</v>
      </c>
      <c r="C552" s="1" t="s">
        <v>143</v>
      </c>
      <c r="D552" s="1">
        <v>0</v>
      </c>
      <c r="E552" s="1">
        <v>0</v>
      </c>
      <c r="F552" s="1">
        <v>-222.8</v>
      </c>
      <c r="G552" s="1">
        <v>-1473.106</v>
      </c>
      <c r="H552" s="1">
        <v>-732.65</v>
      </c>
      <c r="I552" s="1">
        <v>0</v>
      </c>
    </row>
    <row r="553" spans="1:9" hidden="1" x14ac:dyDescent="0.25">
      <c r="A553" s="1" t="s">
        <v>127</v>
      </c>
      <c r="B553" s="1" t="s">
        <v>158</v>
      </c>
      <c r="C553" s="1" t="s">
        <v>3</v>
      </c>
      <c r="D553" s="1">
        <v>0</v>
      </c>
      <c r="E553" s="1">
        <v>0</v>
      </c>
      <c r="F553" s="1">
        <v>-222.8</v>
      </c>
      <c r="G553" s="1">
        <v>-1473.106</v>
      </c>
      <c r="H553" s="1">
        <v>-1403.867</v>
      </c>
      <c r="I553" s="1">
        <v>0</v>
      </c>
    </row>
    <row r="554" spans="1:9" hidden="1" x14ac:dyDescent="0.25">
      <c r="A554" s="1" t="s">
        <v>127</v>
      </c>
      <c r="B554" s="1" t="s">
        <v>159</v>
      </c>
      <c r="C554" s="1" t="s">
        <v>143</v>
      </c>
      <c r="D554" s="1">
        <v>1001.06</v>
      </c>
      <c r="E554" s="1">
        <v>0</v>
      </c>
      <c r="F554" s="1">
        <v>0</v>
      </c>
      <c r="G554" s="1">
        <v>0</v>
      </c>
      <c r="H554" s="1">
        <v>6006.375</v>
      </c>
      <c r="I554" s="1">
        <v>-6006.375</v>
      </c>
    </row>
    <row r="555" spans="1:9" hidden="1" x14ac:dyDescent="0.25">
      <c r="A555" s="1" t="s">
        <v>127</v>
      </c>
      <c r="B555" s="1" t="s">
        <v>159</v>
      </c>
      <c r="C555" s="1" t="s">
        <v>3</v>
      </c>
      <c r="D555" s="1">
        <v>1033.76</v>
      </c>
      <c r="E555" s="1">
        <v>0</v>
      </c>
      <c r="F555" s="1">
        <v>0</v>
      </c>
      <c r="G555" s="1">
        <v>0</v>
      </c>
      <c r="H555" s="1">
        <v>6202.5429999999997</v>
      </c>
      <c r="I555" s="1">
        <v>-6202.5429999999997</v>
      </c>
    </row>
    <row r="556" spans="1:9" hidden="1" x14ac:dyDescent="0.25">
      <c r="A556" s="1" t="s">
        <v>127</v>
      </c>
      <c r="B556" s="1" t="s">
        <v>160</v>
      </c>
      <c r="C556" s="1" t="s">
        <v>143</v>
      </c>
      <c r="D556" s="1">
        <v>1065.4100000000001</v>
      </c>
      <c r="E556" s="1">
        <v>0</v>
      </c>
      <c r="F556" s="1">
        <v>0</v>
      </c>
      <c r="G556" s="1">
        <v>0</v>
      </c>
      <c r="H556" s="1">
        <v>6392.482</v>
      </c>
      <c r="I556" s="1">
        <v>-6392.482</v>
      </c>
    </row>
    <row r="557" spans="1:9" hidden="1" x14ac:dyDescent="0.25">
      <c r="A557" s="1" t="s">
        <v>127</v>
      </c>
      <c r="B557" s="1" t="s">
        <v>160</v>
      </c>
      <c r="C557" s="1" t="s">
        <v>3</v>
      </c>
      <c r="D557" s="1">
        <v>1093.44</v>
      </c>
      <c r="E557" s="1">
        <v>0</v>
      </c>
      <c r="F557" s="1">
        <v>0</v>
      </c>
      <c r="G557" s="1">
        <v>0</v>
      </c>
      <c r="H557" s="1">
        <v>6560.625</v>
      </c>
      <c r="I557" s="1">
        <v>-6560.625</v>
      </c>
    </row>
    <row r="558" spans="1:9" hidden="1" x14ac:dyDescent="0.25">
      <c r="A558" s="1" t="s">
        <v>127</v>
      </c>
      <c r="B558" s="1" t="s">
        <v>161</v>
      </c>
      <c r="C558" s="1" t="s">
        <v>143</v>
      </c>
      <c r="D558" s="1">
        <v>922.85</v>
      </c>
      <c r="E558" s="1">
        <v>0</v>
      </c>
      <c r="F558" s="1">
        <v>0</v>
      </c>
      <c r="G558" s="1">
        <v>0</v>
      </c>
      <c r="H558" s="1">
        <v>5537.1220000000003</v>
      </c>
      <c r="I558" s="1">
        <v>-5537.1220000000003</v>
      </c>
    </row>
    <row r="559" spans="1:9" hidden="1" x14ac:dyDescent="0.25">
      <c r="A559" s="1" t="s">
        <v>127</v>
      </c>
      <c r="B559" s="1" t="s">
        <v>161</v>
      </c>
      <c r="C559" s="1" t="s">
        <v>3</v>
      </c>
      <c r="D559" s="1">
        <v>950.88</v>
      </c>
      <c r="E559" s="1">
        <v>0</v>
      </c>
      <c r="F559" s="1">
        <v>0</v>
      </c>
      <c r="G559" s="1">
        <v>0</v>
      </c>
      <c r="H559" s="1">
        <v>5705.2650000000003</v>
      </c>
      <c r="I559" s="1">
        <v>-5705.2650000000003</v>
      </c>
    </row>
    <row r="560" spans="1:9" hidden="1" x14ac:dyDescent="0.25">
      <c r="A560" s="1" t="s">
        <v>127</v>
      </c>
      <c r="B560" s="1" t="s">
        <v>162</v>
      </c>
      <c r="C560" s="1" t="s">
        <v>143</v>
      </c>
      <c r="D560" s="1">
        <v>955.03</v>
      </c>
      <c r="E560" s="1">
        <v>-230.01</v>
      </c>
      <c r="F560" s="1">
        <v>0</v>
      </c>
      <c r="G560" s="1">
        <v>1518.068</v>
      </c>
      <c r="H560" s="1">
        <v>5730.1840000000002</v>
      </c>
      <c r="I560" s="1">
        <v>-6565.491</v>
      </c>
    </row>
    <row r="561" spans="1:9" hidden="1" x14ac:dyDescent="0.25">
      <c r="A561" s="1" t="s">
        <v>127</v>
      </c>
      <c r="B561" s="1" t="s">
        <v>162</v>
      </c>
      <c r="C561" s="1" t="s">
        <v>3</v>
      </c>
      <c r="D561" s="1">
        <v>984.11</v>
      </c>
      <c r="E561" s="1">
        <v>-230.01</v>
      </c>
      <c r="F561" s="1">
        <v>0</v>
      </c>
      <c r="G561" s="1">
        <v>1518.068</v>
      </c>
      <c r="H561" s="1">
        <v>5904.6329999999998</v>
      </c>
      <c r="I561" s="1">
        <v>-7436.4229999999998</v>
      </c>
    </row>
    <row r="562" spans="1:9" hidden="1" x14ac:dyDescent="0.25">
      <c r="A562" s="1" t="s">
        <v>127</v>
      </c>
      <c r="B562" s="1" t="s">
        <v>163</v>
      </c>
      <c r="C562" s="1" t="s">
        <v>143</v>
      </c>
      <c r="D562" s="1">
        <v>955.03</v>
      </c>
      <c r="E562" s="1">
        <v>-230.01</v>
      </c>
      <c r="F562" s="1">
        <v>0</v>
      </c>
      <c r="G562" s="1">
        <v>1242.056</v>
      </c>
      <c r="H562" s="1">
        <v>5730.1840000000002</v>
      </c>
      <c r="I562" s="1">
        <v>-6565.491</v>
      </c>
    </row>
    <row r="563" spans="1:9" hidden="1" x14ac:dyDescent="0.25">
      <c r="A563" s="1" t="s">
        <v>127</v>
      </c>
      <c r="B563" s="1" t="s">
        <v>163</v>
      </c>
      <c r="C563" s="1" t="s">
        <v>3</v>
      </c>
      <c r="D563" s="1">
        <v>984.11</v>
      </c>
      <c r="E563" s="1">
        <v>-230.01</v>
      </c>
      <c r="F563" s="1">
        <v>0</v>
      </c>
      <c r="G563" s="1">
        <v>1242.056</v>
      </c>
      <c r="H563" s="1">
        <v>5904.6329999999998</v>
      </c>
      <c r="I563" s="1">
        <v>-7436.4229999999998</v>
      </c>
    </row>
    <row r="564" spans="1:9" hidden="1" x14ac:dyDescent="0.25">
      <c r="A564" s="1" t="s">
        <v>127</v>
      </c>
      <c r="B564" s="1" t="s">
        <v>164</v>
      </c>
      <c r="C564" s="1" t="s">
        <v>143</v>
      </c>
      <c r="D564" s="1">
        <v>955.03</v>
      </c>
      <c r="E564" s="1">
        <v>230.01</v>
      </c>
      <c r="F564" s="1">
        <v>0</v>
      </c>
      <c r="G564" s="1">
        <v>-1518.068</v>
      </c>
      <c r="H564" s="1">
        <v>5730.1840000000002</v>
      </c>
      <c r="I564" s="1">
        <v>-4894.8760000000002</v>
      </c>
    </row>
    <row r="565" spans="1:9" hidden="1" x14ac:dyDescent="0.25">
      <c r="A565" s="1" t="s">
        <v>127</v>
      </c>
      <c r="B565" s="1" t="s">
        <v>164</v>
      </c>
      <c r="C565" s="1" t="s">
        <v>3</v>
      </c>
      <c r="D565" s="1">
        <v>984.11</v>
      </c>
      <c r="E565" s="1">
        <v>230.01</v>
      </c>
      <c r="F565" s="1">
        <v>0</v>
      </c>
      <c r="G565" s="1">
        <v>-1518.068</v>
      </c>
      <c r="H565" s="1">
        <v>5904.6329999999998</v>
      </c>
      <c r="I565" s="1">
        <v>-4372.8419999999996</v>
      </c>
    </row>
    <row r="566" spans="1:9" hidden="1" x14ac:dyDescent="0.25">
      <c r="A566" s="1" t="s">
        <v>127</v>
      </c>
      <c r="B566" s="1" t="s">
        <v>165</v>
      </c>
      <c r="C566" s="1" t="s">
        <v>143</v>
      </c>
      <c r="D566" s="1">
        <v>955.03</v>
      </c>
      <c r="E566" s="1">
        <v>230.01</v>
      </c>
      <c r="F566" s="1">
        <v>0</v>
      </c>
      <c r="G566" s="1">
        <v>-1242.056</v>
      </c>
      <c r="H566" s="1">
        <v>5730.1840000000002</v>
      </c>
      <c r="I566" s="1">
        <v>-4894.8760000000002</v>
      </c>
    </row>
    <row r="567" spans="1:9" hidden="1" x14ac:dyDescent="0.25">
      <c r="A567" s="1" t="s">
        <v>127</v>
      </c>
      <c r="B567" s="1" t="s">
        <v>165</v>
      </c>
      <c r="C567" s="1" t="s">
        <v>3</v>
      </c>
      <c r="D567" s="1">
        <v>984.11</v>
      </c>
      <c r="E567" s="1">
        <v>230.01</v>
      </c>
      <c r="F567" s="1">
        <v>0</v>
      </c>
      <c r="G567" s="1">
        <v>-1242.056</v>
      </c>
      <c r="H567" s="1">
        <v>5904.6329999999998</v>
      </c>
      <c r="I567" s="1">
        <v>-4372.8419999999996</v>
      </c>
    </row>
    <row r="568" spans="1:9" hidden="1" x14ac:dyDescent="0.25">
      <c r="A568" s="1" t="s">
        <v>127</v>
      </c>
      <c r="B568" s="1" t="s">
        <v>166</v>
      </c>
      <c r="C568" s="1" t="s">
        <v>143</v>
      </c>
      <c r="D568" s="1">
        <v>955.03</v>
      </c>
      <c r="E568" s="1">
        <v>0</v>
      </c>
      <c r="F568" s="1">
        <v>-230.01</v>
      </c>
      <c r="G568" s="1">
        <v>-1518.068</v>
      </c>
      <c r="H568" s="1">
        <v>6565.491</v>
      </c>
      <c r="I568" s="1">
        <v>-5730.1840000000002</v>
      </c>
    </row>
    <row r="569" spans="1:9" hidden="1" x14ac:dyDescent="0.25">
      <c r="A569" s="1" t="s">
        <v>127</v>
      </c>
      <c r="B569" s="1" t="s">
        <v>166</v>
      </c>
      <c r="C569" s="1" t="s">
        <v>3</v>
      </c>
      <c r="D569" s="1">
        <v>984.11</v>
      </c>
      <c r="E569" s="1">
        <v>0</v>
      </c>
      <c r="F569" s="1">
        <v>-230.01</v>
      </c>
      <c r="G569" s="1">
        <v>-1518.068</v>
      </c>
      <c r="H569" s="1">
        <v>7436.4229999999998</v>
      </c>
      <c r="I569" s="1">
        <v>-5904.6329999999998</v>
      </c>
    </row>
    <row r="570" spans="1:9" hidden="1" x14ac:dyDescent="0.25">
      <c r="A570" s="1" t="s">
        <v>127</v>
      </c>
      <c r="B570" s="1" t="s">
        <v>167</v>
      </c>
      <c r="C570" s="1" t="s">
        <v>143</v>
      </c>
      <c r="D570" s="1">
        <v>955.03</v>
      </c>
      <c r="E570" s="1">
        <v>0</v>
      </c>
      <c r="F570" s="1">
        <v>-230.01</v>
      </c>
      <c r="G570" s="1">
        <v>-1242.056</v>
      </c>
      <c r="H570" s="1">
        <v>6565.491</v>
      </c>
      <c r="I570" s="1">
        <v>-5730.1840000000002</v>
      </c>
    </row>
    <row r="571" spans="1:9" hidden="1" x14ac:dyDescent="0.25">
      <c r="A571" s="1" t="s">
        <v>127</v>
      </c>
      <c r="B571" s="1" t="s">
        <v>167</v>
      </c>
      <c r="C571" s="1" t="s">
        <v>3</v>
      </c>
      <c r="D571" s="1">
        <v>984.11</v>
      </c>
      <c r="E571" s="1">
        <v>0</v>
      </c>
      <c r="F571" s="1">
        <v>-230.01</v>
      </c>
      <c r="G571" s="1">
        <v>-1242.056</v>
      </c>
      <c r="H571" s="1">
        <v>7436.4229999999998</v>
      </c>
      <c r="I571" s="1">
        <v>-5904.6329999999998</v>
      </c>
    </row>
    <row r="572" spans="1:9" hidden="1" x14ac:dyDescent="0.25">
      <c r="A572" s="1" t="s">
        <v>127</v>
      </c>
      <c r="B572" s="1" t="s">
        <v>168</v>
      </c>
      <c r="C572" s="1" t="s">
        <v>143</v>
      </c>
      <c r="D572" s="1">
        <v>955.03</v>
      </c>
      <c r="E572" s="1">
        <v>0</v>
      </c>
      <c r="F572" s="1">
        <v>230.01</v>
      </c>
      <c r="G572" s="1">
        <v>1518.068</v>
      </c>
      <c r="H572" s="1">
        <v>4894.8760000000002</v>
      </c>
      <c r="I572" s="1">
        <v>-5730.1840000000002</v>
      </c>
    </row>
    <row r="573" spans="1:9" hidden="1" x14ac:dyDescent="0.25">
      <c r="A573" s="1" t="s">
        <v>127</v>
      </c>
      <c r="B573" s="1" t="s">
        <v>168</v>
      </c>
      <c r="C573" s="1" t="s">
        <v>3</v>
      </c>
      <c r="D573" s="1">
        <v>984.11</v>
      </c>
      <c r="E573" s="1">
        <v>0</v>
      </c>
      <c r="F573" s="1">
        <v>230.01</v>
      </c>
      <c r="G573" s="1">
        <v>1518.068</v>
      </c>
      <c r="H573" s="1">
        <v>4372.8419999999996</v>
      </c>
      <c r="I573" s="1">
        <v>-5904.6329999999998</v>
      </c>
    </row>
    <row r="574" spans="1:9" hidden="1" x14ac:dyDescent="0.25">
      <c r="A574" s="1" t="s">
        <v>127</v>
      </c>
      <c r="B574" s="1" t="s">
        <v>169</v>
      </c>
      <c r="C574" s="1" t="s">
        <v>143</v>
      </c>
      <c r="D574" s="1">
        <v>955.03</v>
      </c>
      <c r="E574" s="1">
        <v>0</v>
      </c>
      <c r="F574" s="1">
        <v>230.01</v>
      </c>
      <c r="G574" s="1">
        <v>1242.056</v>
      </c>
      <c r="H574" s="1">
        <v>4894.8760000000002</v>
      </c>
      <c r="I574" s="1">
        <v>-5730.1840000000002</v>
      </c>
    </row>
    <row r="575" spans="1:9" hidden="1" x14ac:dyDescent="0.25">
      <c r="A575" s="1" t="s">
        <v>127</v>
      </c>
      <c r="B575" s="1" t="s">
        <v>169</v>
      </c>
      <c r="C575" s="1" t="s">
        <v>3</v>
      </c>
      <c r="D575" s="1">
        <v>984.11</v>
      </c>
      <c r="E575" s="1">
        <v>0</v>
      </c>
      <c r="F575" s="1">
        <v>230.01</v>
      </c>
      <c r="G575" s="1">
        <v>1242.056</v>
      </c>
      <c r="H575" s="1">
        <v>4372.8419999999996</v>
      </c>
      <c r="I575" s="1">
        <v>-5904.6329999999998</v>
      </c>
    </row>
    <row r="576" spans="1:9" hidden="1" x14ac:dyDescent="0.25">
      <c r="A576" s="1" t="s">
        <v>127</v>
      </c>
      <c r="B576" s="1" t="s">
        <v>170</v>
      </c>
      <c r="C576" s="1" t="s">
        <v>143</v>
      </c>
      <c r="D576" s="1">
        <v>890.68</v>
      </c>
      <c r="E576" s="1">
        <v>-230.01</v>
      </c>
      <c r="F576" s="1">
        <v>0</v>
      </c>
      <c r="G576" s="1">
        <v>1518.068</v>
      </c>
      <c r="H576" s="1">
        <v>5344.06</v>
      </c>
      <c r="I576" s="1">
        <v>-6179.3670000000002</v>
      </c>
    </row>
    <row r="577" spans="1:9" hidden="1" x14ac:dyDescent="0.25">
      <c r="A577" s="1" t="s">
        <v>127</v>
      </c>
      <c r="B577" s="1" t="s">
        <v>170</v>
      </c>
      <c r="C577" s="1" t="s">
        <v>3</v>
      </c>
      <c r="D577" s="1">
        <v>917.65</v>
      </c>
      <c r="E577" s="1">
        <v>-230.01</v>
      </c>
      <c r="F577" s="1">
        <v>0</v>
      </c>
      <c r="G577" s="1">
        <v>1518.068</v>
      </c>
      <c r="H577" s="1">
        <v>5505.8980000000001</v>
      </c>
      <c r="I577" s="1">
        <v>-7037.6880000000001</v>
      </c>
    </row>
    <row r="578" spans="1:9" hidden="1" x14ac:dyDescent="0.25">
      <c r="A578" s="1" t="s">
        <v>127</v>
      </c>
      <c r="B578" s="1" t="s">
        <v>171</v>
      </c>
      <c r="C578" s="1" t="s">
        <v>143</v>
      </c>
      <c r="D578" s="1">
        <v>890.68</v>
      </c>
      <c r="E578" s="1">
        <v>-230.01</v>
      </c>
      <c r="F578" s="1">
        <v>0</v>
      </c>
      <c r="G578" s="1">
        <v>1242.056</v>
      </c>
      <c r="H578" s="1">
        <v>5344.06</v>
      </c>
      <c r="I578" s="1">
        <v>-6179.3670000000002</v>
      </c>
    </row>
    <row r="579" spans="1:9" hidden="1" x14ac:dyDescent="0.25">
      <c r="A579" s="1" t="s">
        <v>127</v>
      </c>
      <c r="B579" s="1" t="s">
        <v>171</v>
      </c>
      <c r="C579" s="1" t="s">
        <v>3</v>
      </c>
      <c r="D579" s="1">
        <v>917.65</v>
      </c>
      <c r="E579" s="1">
        <v>-230.01</v>
      </c>
      <c r="F579" s="1">
        <v>0</v>
      </c>
      <c r="G579" s="1">
        <v>1242.056</v>
      </c>
      <c r="H579" s="1">
        <v>5505.8980000000001</v>
      </c>
      <c r="I579" s="1">
        <v>-7037.6880000000001</v>
      </c>
    </row>
    <row r="580" spans="1:9" hidden="1" x14ac:dyDescent="0.25">
      <c r="A580" s="1" t="s">
        <v>127</v>
      </c>
      <c r="B580" s="1" t="s">
        <v>172</v>
      </c>
      <c r="C580" s="1" t="s">
        <v>143</v>
      </c>
      <c r="D580" s="1">
        <v>890.68</v>
      </c>
      <c r="E580" s="1">
        <v>230.01</v>
      </c>
      <c r="F580" s="1">
        <v>0</v>
      </c>
      <c r="G580" s="1">
        <v>-1518.068</v>
      </c>
      <c r="H580" s="1">
        <v>5344.06</v>
      </c>
      <c r="I580" s="1">
        <v>-4508.7520000000004</v>
      </c>
    </row>
    <row r="581" spans="1:9" hidden="1" x14ac:dyDescent="0.25">
      <c r="A581" s="1" t="s">
        <v>127</v>
      </c>
      <c r="B581" s="1" t="s">
        <v>172</v>
      </c>
      <c r="C581" s="1" t="s">
        <v>3</v>
      </c>
      <c r="D581" s="1">
        <v>917.65</v>
      </c>
      <c r="E581" s="1">
        <v>230.01</v>
      </c>
      <c r="F581" s="1">
        <v>0</v>
      </c>
      <c r="G581" s="1">
        <v>-1518.068</v>
      </c>
      <c r="H581" s="1">
        <v>5505.8980000000001</v>
      </c>
      <c r="I581" s="1">
        <v>-3974.107</v>
      </c>
    </row>
    <row r="582" spans="1:9" hidden="1" x14ac:dyDescent="0.25">
      <c r="A582" s="1" t="s">
        <v>127</v>
      </c>
      <c r="B582" s="1" t="s">
        <v>173</v>
      </c>
      <c r="C582" s="1" t="s">
        <v>143</v>
      </c>
      <c r="D582" s="1">
        <v>890.68</v>
      </c>
      <c r="E582" s="1">
        <v>230.01</v>
      </c>
      <c r="F582" s="1">
        <v>0</v>
      </c>
      <c r="G582" s="1">
        <v>-1242.056</v>
      </c>
      <c r="H582" s="1">
        <v>5344.06</v>
      </c>
      <c r="I582" s="1">
        <v>-4508.7520000000004</v>
      </c>
    </row>
    <row r="583" spans="1:9" hidden="1" x14ac:dyDescent="0.25">
      <c r="A583" s="1" t="s">
        <v>127</v>
      </c>
      <c r="B583" s="1" t="s">
        <v>173</v>
      </c>
      <c r="C583" s="1" t="s">
        <v>3</v>
      </c>
      <c r="D583" s="1">
        <v>917.65</v>
      </c>
      <c r="E583" s="1">
        <v>230.01</v>
      </c>
      <c r="F583" s="1">
        <v>0</v>
      </c>
      <c r="G583" s="1">
        <v>-1242.056</v>
      </c>
      <c r="H583" s="1">
        <v>5505.8980000000001</v>
      </c>
      <c r="I583" s="1">
        <v>-3974.107</v>
      </c>
    </row>
    <row r="584" spans="1:9" hidden="1" x14ac:dyDescent="0.25">
      <c r="A584" s="1" t="s">
        <v>127</v>
      </c>
      <c r="B584" s="1" t="s">
        <v>174</v>
      </c>
      <c r="C584" s="1" t="s">
        <v>143</v>
      </c>
      <c r="D584" s="1">
        <v>890.68</v>
      </c>
      <c r="E584" s="1">
        <v>0</v>
      </c>
      <c r="F584" s="1">
        <v>-230.01</v>
      </c>
      <c r="G584" s="1">
        <v>-1518.068</v>
      </c>
      <c r="H584" s="1">
        <v>6179.3670000000002</v>
      </c>
      <c r="I584" s="1">
        <v>-5344.06</v>
      </c>
    </row>
    <row r="585" spans="1:9" hidden="1" x14ac:dyDescent="0.25">
      <c r="A585" s="1" t="s">
        <v>127</v>
      </c>
      <c r="B585" s="1" t="s">
        <v>174</v>
      </c>
      <c r="C585" s="1" t="s">
        <v>3</v>
      </c>
      <c r="D585" s="1">
        <v>917.65</v>
      </c>
      <c r="E585" s="1">
        <v>0</v>
      </c>
      <c r="F585" s="1">
        <v>-230.01</v>
      </c>
      <c r="G585" s="1">
        <v>-1518.068</v>
      </c>
      <c r="H585" s="1">
        <v>7037.6880000000001</v>
      </c>
      <c r="I585" s="1">
        <v>-5505.8980000000001</v>
      </c>
    </row>
    <row r="586" spans="1:9" hidden="1" x14ac:dyDescent="0.25">
      <c r="A586" s="1" t="s">
        <v>127</v>
      </c>
      <c r="B586" s="1" t="s">
        <v>175</v>
      </c>
      <c r="C586" s="1" t="s">
        <v>143</v>
      </c>
      <c r="D586" s="1">
        <v>890.68</v>
      </c>
      <c r="E586" s="1">
        <v>0</v>
      </c>
      <c r="F586" s="1">
        <v>-230.01</v>
      </c>
      <c r="G586" s="1">
        <v>-1242.056</v>
      </c>
      <c r="H586" s="1">
        <v>6179.3670000000002</v>
      </c>
      <c r="I586" s="1">
        <v>-5344.06</v>
      </c>
    </row>
    <row r="587" spans="1:9" hidden="1" x14ac:dyDescent="0.25">
      <c r="A587" s="1" t="s">
        <v>127</v>
      </c>
      <c r="B587" s="1" t="s">
        <v>175</v>
      </c>
      <c r="C587" s="1" t="s">
        <v>3</v>
      </c>
      <c r="D587" s="1">
        <v>917.65</v>
      </c>
      <c r="E587" s="1">
        <v>0</v>
      </c>
      <c r="F587" s="1">
        <v>-230.01</v>
      </c>
      <c r="G587" s="1">
        <v>-1242.056</v>
      </c>
      <c r="H587" s="1">
        <v>7037.6880000000001</v>
      </c>
      <c r="I587" s="1">
        <v>-5505.8980000000001</v>
      </c>
    </row>
    <row r="588" spans="1:9" hidden="1" x14ac:dyDescent="0.25">
      <c r="A588" s="1" t="s">
        <v>127</v>
      </c>
      <c r="B588" s="1" t="s">
        <v>176</v>
      </c>
      <c r="C588" s="1" t="s">
        <v>143</v>
      </c>
      <c r="D588" s="1">
        <v>890.68</v>
      </c>
      <c r="E588" s="1">
        <v>0</v>
      </c>
      <c r="F588" s="1">
        <v>230.01</v>
      </c>
      <c r="G588" s="1">
        <v>1518.068</v>
      </c>
      <c r="H588" s="1">
        <v>4508.7520000000004</v>
      </c>
      <c r="I588" s="1">
        <v>-5344.06</v>
      </c>
    </row>
    <row r="589" spans="1:9" hidden="1" x14ac:dyDescent="0.25">
      <c r="A589" s="1" t="s">
        <v>127</v>
      </c>
      <c r="B589" s="1" t="s">
        <v>176</v>
      </c>
      <c r="C589" s="1" t="s">
        <v>3</v>
      </c>
      <c r="D589" s="1">
        <v>917.65</v>
      </c>
      <c r="E589" s="1">
        <v>0</v>
      </c>
      <c r="F589" s="1">
        <v>230.01</v>
      </c>
      <c r="G589" s="1">
        <v>1518.068</v>
      </c>
      <c r="H589" s="1">
        <v>3974.107</v>
      </c>
      <c r="I589" s="1">
        <v>-5505.8980000000001</v>
      </c>
    </row>
    <row r="590" spans="1:9" hidden="1" x14ac:dyDescent="0.25">
      <c r="A590" s="1" t="s">
        <v>127</v>
      </c>
      <c r="B590" s="1" t="s">
        <v>177</v>
      </c>
      <c r="C590" s="1" t="s">
        <v>143</v>
      </c>
      <c r="D590" s="1">
        <v>890.68</v>
      </c>
      <c r="E590" s="1">
        <v>0</v>
      </c>
      <c r="F590" s="1">
        <v>230.01</v>
      </c>
      <c r="G590" s="1">
        <v>1242.056</v>
      </c>
      <c r="H590" s="1">
        <v>4508.7520000000004</v>
      </c>
      <c r="I590" s="1">
        <v>-5344.06</v>
      </c>
    </row>
    <row r="591" spans="1:9" hidden="1" x14ac:dyDescent="0.25">
      <c r="A591" s="1" t="s">
        <v>127</v>
      </c>
      <c r="B591" s="1" t="s">
        <v>177</v>
      </c>
      <c r="C591" s="1" t="s">
        <v>3</v>
      </c>
      <c r="D591" s="1">
        <v>917.65</v>
      </c>
      <c r="E591" s="1">
        <v>0</v>
      </c>
      <c r="F591" s="1">
        <v>230.01</v>
      </c>
      <c r="G591" s="1">
        <v>1242.056</v>
      </c>
      <c r="H591" s="1">
        <v>3974.107</v>
      </c>
      <c r="I591" s="1">
        <v>-5505.8980000000001</v>
      </c>
    </row>
    <row r="592" spans="1:9" hidden="1" x14ac:dyDescent="0.25">
      <c r="A592" s="1" t="s">
        <v>127</v>
      </c>
      <c r="B592" s="1" t="s">
        <v>178</v>
      </c>
      <c r="C592" s="1" t="s">
        <v>143</v>
      </c>
      <c r="D592" s="1">
        <v>1030.1099999999999</v>
      </c>
      <c r="E592" s="1">
        <v>-69</v>
      </c>
      <c r="F592" s="1">
        <v>0</v>
      </c>
      <c r="G592" s="1">
        <v>455.42</v>
      </c>
      <c r="H592" s="1">
        <v>6180.6620000000003</v>
      </c>
      <c r="I592" s="1">
        <v>-6431.2539999999999</v>
      </c>
    </row>
    <row r="593" spans="1:9" hidden="1" x14ac:dyDescent="0.25">
      <c r="A593" s="1" t="s">
        <v>127</v>
      </c>
      <c r="B593" s="1" t="s">
        <v>178</v>
      </c>
      <c r="C593" s="1" t="s">
        <v>3</v>
      </c>
      <c r="D593" s="1">
        <v>1061.6400000000001</v>
      </c>
      <c r="E593" s="1">
        <v>-69</v>
      </c>
      <c r="F593" s="1">
        <v>0</v>
      </c>
      <c r="G593" s="1">
        <v>455.42</v>
      </c>
      <c r="H593" s="1">
        <v>6369.8230000000003</v>
      </c>
      <c r="I593" s="1">
        <v>-6829.3609999999999</v>
      </c>
    </row>
    <row r="594" spans="1:9" hidden="1" x14ac:dyDescent="0.25">
      <c r="A594" s="1" t="s">
        <v>127</v>
      </c>
      <c r="B594" s="1" t="s">
        <v>179</v>
      </c>
      <c r="C594" s="1" t="s">
        <v>143</v>
      </c>
      <c r="D594" s="1">
        <v>1030.1099999999999</v>
      </c>
      <c r="E594" s="1">
        <v>-69</v>
      </c>
      <c r="F594" s="1">
        <v>0</v>
      </c>
      <c r="G594" s="1">
        <v>372.61700000000002</v>
      </c>
      <c r="H594" s="1">
        <v>6180.6620000000003</v>
      </c>
      <c r="I594" s="1">
        <v>-6431.2539999999999</v>
      </c>
    </row>
    <row r="595" spans="1:9" hidden="1" x14ac:dyDescent="0.25">
      <c r="A595" s="1" t="s">
        <v>127</v>
      </c>
      <c r="B595" s="1" t="s">
        <v>179</v>
      </c>
      <c r="C595" s="1" t="s">
        <v>3</v>
      </c>
      <c r="D595" s="1">
        <v>1061.6400000000001</v>
      </c>
      <c r="E595" s="1">
        <v>-69</v>
      </c>
      <c r="F595" s="1">
        <v>0</v>
      </c>
      <c r="G595" s="1">
        <v>372.61700000000002</v>
      </c>
      <c r="H595" s="1">
        <v>6369.8230000000003</v>
      </c>
      <c r="I595" s="1">
        <v>-6829.3609999999999</v>
      </c>
    </row>
    <row r="596" spans="1:9" hidden="1" x14ac:dyDescent="0.25">
      <c r="A596" s="1" t="s">
        <v>127</v>
      </c>
      <c r="B596" s="1" t="s">
        <v>180</v>
      </c>
      <c r="C596" s="1" t="s">
        <v>143</v>
      </c>
      <c r="D596" s="1">
        <v>1030.1099999999999</v>
      </c>
      <c r="E596" s="1">
        <v>69</v>
      </c>
      <c r="F596" s="1">
        <v>0</v>
      </c>
      <c r="G596" s="1">
        <v>-455.42</v>
      </c>
      <c r="H596" s="1">
        <v>6180.6620000000003</v>
      </c>
      <c r="I596" s="1">
        <v>-5930.07</v>
      </c>
    </row>
    <row r="597" spans="1:9" hidden="1" x14ac:dyDescent="0.25">
      <c r="A597" s="1" t="s">
        <v>127</v>
      </c>
      <c r="B597" s="1" t="s">
        <v>180</v>
      </c>
      <c r="C597" s="1" t="s">
        <v>3</v>
      </c>
      <c r="D597" s="1">
        <v>1061.6400000000001</v>
      </c>
      <c r="E597" s="1">
        <v>69</v>
      </c>
      <c r="F597" s="1">
        <v>0</v>
      </c>
      <c r="G597" s="1">
        <v>-455.42</v>
      </c>
      <c r="H597" s="1">
        <v>6369.8230000000003</v>
      </c>
      <c r="I597" s="1">
        <v>-5910.2860000000001</v>
      </c>
    </row>
    <row r="598" spans="1:9" hidden="1" x14ac:dyDescent="0.25">
      <c r="A598" s="1" t="s">
        <v>127</v>
      </c>
      <c r="B598" s="1" t="s">
        <v>181</v>
      </c>
      <c r="C598" s="1" t="s">
        <v>143</v>
      </c>
      <c r="D598" s="1">
        <v>1030.1099999999999</v>
      </c>
      <c r="E598" s="1">
        <v>69</v>
      </c>
      <c r="F598" s="1">
        <v>0</v>
      </c>
      <c r="G598" s="1">
        <v>-372.61700000000002</v>
      </c>
      <c r="H598" s="1">
        <v>6180.6620000000003</v>
      </c>
      <c r="I598" s="1">
        <v>-5930.07</v>
      </c>
    </row>
    <row r="599" spans="1:9" hidden="1" x14ac:dyDescent="0.25">
      <c r="A599" s="1" t="s">
        <v>127</v>
      </c>
      <c r="B599" s="1" t="s">
        <v>181</v>
      </c>
      <c r="C599" s="1" t="s">
        <v>3</v>
      </c>
      <c r="D599" s="1">
        <v>1061.6400000000001</v>
      </c>
      <c r="E599" s="1">
        <v>69</v>
      </c>
      <c r="F599" s="1">
        <v>0</v>
      </c>
      <c r="G599" s="1">
        <v>-372.61700000000002</v>
      </c>
      <c r="H599" s="1">
        <v>6369.8230000000003</v>
      </c>
      <c r="I599" s="1">
        <v>-5910.2860000000001</v>
      </c>
    </row>
    <row r="600" spans="1:9" hidden="1" x14ac:dyDescent="0.25">
      <c r="A600" s="1" t="s">
        <v>127</v>
      </c>
      <c r="B600" s="1" t="s">
        <v>182</v>
      </c>
      <c r="C600" s="1" t="s">
        <v>143</v>
      </c>
      <c r="D600" s="1">
        <v>1030.1099999999999</v>
      </c>
      <c r="E600" s="1">
        <v>0</v>
      </c>
      <c r="F600" s="1">
        <v>-69</v>
      </c>
      <c r="G600" s="1">
        <v>-455.42</v>
      </c>
      <c r="H600" s="1">
        <v>6431.2539999999999</v>
      </c>
      <c r="I600" s="1">
        <v>-6180.6620000000003</v>
      </c>
    </row>
    <row r="601" spans="1:9" hidden="1" x14ac:dyDescent="0.25">
      <c r="A601" s="1" t="s">
        <v>127</v>
      </c>
      <c r="B601" s="1" t="s">
        <v>182</v>
      </c>
      <c r="C601" s="1" t="s">
        <v>3</v>
      </c>
      <c r="D601" s="1">
        <v>1061.6400000000001</v>
      </c>
      <c r="E601" s="1">
        <v>0</v>
      </c>
      <c r="F601" s="1">
        <v>-69</v>
      </c>
      <c r="G601" s="1">
        <v>-455.42</v>
      </c>
      <c r="H601" s="1">
        <v>6829.3609999999999</v>
      </c>
      <c r="I601" s="1">
        <v>-6369.8230000000003</v>
      </c>
    </row>
    <row r="602" spans="1:9" hidden="1" x14ac:dyDescent="0.25">
      <c r="A602" s="1" t="s">
        <v>127</v>
      </c>
      <c r="B602" s="1" t="s">
        <v>183</v>
      </c>
      <c r="C602" s="1" t="s">
        <v>143</v>
      </c>
      <c r="D602" s="1">
        <v>1030.1099999999999</v>
      </c>
      <c r="E602" s="1">
        <v>0</v>
      </c>
      <c r="F602" s="1">
        <v>-69</v>
      </c>
      <c r="G602" s="1">
        <v>-372.61700000000002</v>
      </c>
      <c r="H602" s="1">
        <v>6431.2539999999999</v>
      </c>
      <c r="I602" s="1">
        <v>-6180.6620000000003</v>
      </c>
    </row>
    <row r="603" spans="1:9" hidden="1" x14ac:dyDescent="0.25">
      <c r="A603" s="1" t="s">
        <v>127</v>
      </c>
      <c r="B603" s="1" t="s">
        <v>183</v>
      </c>
      <c r="C603" s="1" t="s">
        <v>3</v>
      </c>
      <c r="D603" s="1">
        <v>1061.6400000000001</v>
      </c>
      <c r="E603" s="1">
        <v>0</v>
      </c>
      <c r="F603" s="1">
        <v>-69</v>
      </c>
      <c r="G603" s="1">
        <v>-372.61700000000002</v>
      </c>
      <c r="H603" s="1">
        <v>6829.3609999999999</v>
      </c>
      <c r="I603" s="1">
        <v>-6369.8230000000003</v>
      </c>
    </row>
    <row r="604" spans="1:9" hidden="1" x14ac:dyDescent="0.25">
      <c r="A604" s="1" t="s">
        <v>127</v>
      </c>
      <c r="B604" s="1" t="s">
        <v>184</v>
      </c>
      <c r="C604" s="1" t="s">
        <v>143</v>
      </c>
      <c r="D604" s="1">
        <v>1030.1099999999999</v>
      </c>
      <c r="E604" s="1">
        <v>0</v>
      </c>
      <c r="F604" s="1">
        <v>69</v>
      </c>
      <c r="G604" s="1">
        <v>455.42</v>
      </c>
      <c r="H604" s="1">
        <v>5930.07</v>
      </c>
      <c r="I604" s="1">
        <v>-6180.6620000000003</v>
      </c>
    </row>
    <row r="605" spans="1:9" hidden="1" x14ac:dyDescent="0.25">
      <c r="A605" s="1" t="s">
        <v>127</v>
      </c>
      <c r="B605" s="1" t="s">
        <v>184</v>
      </c>
      <c r="C605" s="1" t="s">
        <v>3</v>
      </c>
      <c r="D605" s="1">
        <v>1061.6400000000001</v>
      </c>
      <c r="E605" s="1">
        <v>0</v>
      </c>
      <c r="F605" s="1">
        <v>69</v>
      </c>
      <c r="G605" s="1">
        <v>455.42</v>
      </c>
      <c r="H605" s="1">
        <v>5910.2860000000001</v>
      </c>
      <c r="I605" s="1">
        <v>-6369.8230000000003</v>
      </c>
    </row>
    <row r="606" spans="1:9" hidden="1" x14ac:dyDescent="0.25">
      <c r="A606" s="1" t="s">
        <v>127</v>
      </c>
      <c r="B606" s="1" t="s">
        <v>185</v>
      </c>
      <c r="C606" s="1" t="s">
        <v>143</v>
      </c>
      <c r="D606" s="1">
        <v>1030.1099999999999</v>
      </c>
      <c r="E606" s="1">
        <v>0</v>
      </c>
      <c r="F606" s="1">
        <v>69</v>
      </c>
      <c r="G606" s="1">
        <v>372.61700000000002</v>
      </c>
      <c r="H606" s="1">
        <v>5930.07</v>
      </c>
      <c r="I606" s="1">
        <v>-6180.6620000000003</v>
      </c>
    </row>
    <row r="607" spans="1:9" hidden="1" x14ac:dyDescent="0.25">
      <c r="A607" s="1" t="s">
        <v>127</v>
      </c>
      <c r="B607" s="1" t="s">
        <v>185</v>
      </c>
      <c r="C607" s="1" t="s">
        <v>3</v>
      </c>
      <c r="D607" s="1">
        <v>1061.6400000000001</v>
      </c>
      <c r="E607" s="1">
        <v>0</v>
      </c>
      <c r="F607" s="1">
        <v>69</v>
      </c>
      <c r="G607" s="1">
        <v>372.61700000000002</v>
      </c>
      <c r="H607" s="1">
        <v>5910.2860000000001</v>
      </c>
      <c r="I607" s="1">
        <v>-6369.8230000000003</v>
      </c>
    </row>
    <row r="608" spans="1:9" hidden="1" x14ac:dyDescent="0.25">
      <c r="A608" s="1" t="s">
        <v>127</v>
      </c>
      <c r="B608" s="1" t="s">
        <v>186</v>
      </c>
      <c r="C608" s="1" t="s">
        <v>143</v>
      </c>
      <c r="D608" s="1">
        <v>815.6</v>
      </c>
      <c r="E608" s="1">
        <v>-69</v>
      </c>
      <c r="F608" s="1">
        <v>0</v>
      </c>
      <c r="G608" s="1">
        <v>455.42</v>
      </c>
      <c r="H608" s="1">
        <v>4893.5810000000001</v>
      </c>
      <c r="I608" s="1">
        <v>-5144.174</v>
      </c>
    </row>
    <row r="609" spans="1:9" hidden="1" x14ac:dyDescent="0.25">
      <c r="A609" s="1" t="s">
        <v>127</v>
      </c>
      <c r="B609" s="1" t="s">
        <v>186</v>
      </c>
      <c r="C609" s="1" t="s">
        <v>3</v>
      </c>
      <c r="D609" s="1">
        <v>840.12</v>
      </c>
      <c r="E609" s="1">
        <v>-69</v>
      </c>
      <c r="F609" s="1">
        <v>0</v>
      </c>
      <c r="G609" s="1">
        <v>455.42</v>
      </c>
      <c r="H609" s="1">
        <v>5040.7070000000003</v>
      </c>
      <c r="I609" s="1">
        <v>-5500.2439999999997</v>
      </c>
    </row>
    <row r="610" spans="1:9" hidden="1" x14ac:dyDescent="0.25">
      <c r="A610" s="1" t="s">
        <v>127</v>
      </c>
      <c r="B610" s="1" t="s">
        <v>187</v>
      </c>
      <c r="C610" s="1" t="s">
        <v>143</v>
      </c>
      <c r="D610" s="1">
        <v>815.6</v>
      </c>
      <c r="E610" s="1">
        <v>-69</v>
      </c>
      <c r="F610" s="1">
        <v>0</v>
      </c>
      <c r="G610" s="1">
        <v>372.61700000000002</v>
      </c>
      <c r="H610" s="1">
        <v>4893.5810000000001</v>
      </c>
      <c r="I610" s="1">
        <v>-5144.174</v>
      </c>
    </row>
    <row r="611" spans="1:9" hidden="1" x14ac:dyDescent="0.25">
      <c r="A611" s="1" t="s">
        <v>127</v>
      </c>
      <c r="B611" s="1" t="s">
        <v>187</v>
      </c>
      <c r="C611" s="1" t="s">
        <v>3</v>
      </c>
      <c r="D611" s="1">
        <v>840.12</v>
      </c>
      <c r="E611" s="1">
        <v>-69</v>
      </c>
      <c r="F611" s="1">
        <v>0</v>
      </c>
      <c r="G611" s="1">
        <v>372.61700000000002</v>
      </c>
      <c r="H611" s="1">
        <v>5040.7070000000003</v>
      </c>
      <c r="I611" s="1">
        <v>-5500.2439999999997</v>
      </c>
    </row>
    <row r="612" spans="1:9" hidden="1" x14ac:dyDescent="0.25">
      <c r="A612" s="1" t="s">
        <v>127</v>
      </c>
      <c r="B612" s="1" t="s">
        <v>188</v>
      </c>
      <c r="C612" s="1" t="s">
        <v>143</v>
      </c>
      <c r="D612" s="1">
        <v>815.6</v>
      </c>
      <c r="E612" s="1">
        <v>69</v>
      </c>
      <c r="F612" s="1">
        <v>0</v>
      </c>
      <c r="G612" s="1">
        <v>-455.42</v>
      </c>
      <c r="H612" s="1">
        <v>4893.5810000000001</v>
      </c>
      <c r="I612" s="1">
        <v>-4642.9889999999996</v>
      </c>
    </row>
    <row r="613" spans="1:9" hidden="1" x14ac:dyDescent="0.25">
      <c r="A613" s="1" t="s">
        <v>127</v>
      </c>
      <c r="B613" s="1" t="s">
        <v>188</v>
      </c>
      <c r="C613" s="1" t="s">
        <v>3</v>
      </c>
      <c r="D613" s="1">
        <v>840.12</v>
      </c>
      <c r="E613" s="1">
        <v>69</v>
      </c>
      <c r="F613" s="1">
        <v>0</v>
      </c>
      <c r="G613" s="1">
        <v>-455.42</v>
      </c>
      <c r="H613" s="1">
        <v>5040.7070000000003</v>
      </c>
      <c r="I613" s="1">
        <v>-4581.17</v>
      </c>
    </row>
    <row r="614" spans="1:9" hidden="1" x14ac:dyDescent="0.25">
      <c r="A614" s="1" t="s">
        <v>127</v>
      </c>
      <c r="B614" s="1" t="s">
        <v>189</v>
      </c>
      <c r="C614" s="1" t="s">
        <v>143</v>
      </c>
      <c r="D614" s="1">
        <v>815.6</v>
      </c>
      <c r="E614" s="1">
        <v>69</v>
      </c>
      <c r="F614" s="1">
        <v>0</v>
      </c>
      <c r="G614" s="1">
        <v>-372.61700000000002</v>
      </c>
      <c r="H614" s="1">
        <v>4893.5810000000001</v>
      </c>
      <c r="I614" s="1">
        <v>-4642.9889999999996</v>
      </c>
    </row>
    <row r="615" spans="1:9" hidden="1" x14ac:dyDescent="0.25">
      <c r="A615" s="1" t="s">
        <v>127</v>
      </c>
      <c r="B615" s="1" t="s">
        <v>189</v>
      </c>
      <c r="C615" s="1" t="s">
        <v>3</v>
      </c>
      <c r="D615" s="1">
        <v>840.12</v>
      </c>
      <c r="E615" s="1">
        <v>69</v>
      </c>
      <c r="F615" s="1">
        <v>0</v>
      </c>
      <c r="G615" s="1">
        <v>-372.61700000000002</v>
      </c>
      <c r="H615" s="1">
        <v>5040.7070000000003</v>
      </c>
      <c r="I615" s="1">
        <v>-4581.17</v>
      </c>
    </row>
    <row r="616" spans="1:9" hidden="1" x14ac:dyDescent="0.25">
      <c r="A616" s="1" t="s">
        <v>127</v>
      </c>
      <c r="B616" s="1" t="s">
        <v>190</v>
      </c>
      <c r="C616" s="1" t="s">
        <v>143</v>
      </c>
      <c r="D616" s="1">
        <v>815.6</v>
      </c>
      <c r="E616" s="1">
        <v>0</v>
      </c>
      <c r="F616" s="1">
        <v>-69</v>
      </c>
      <c r="G616" s="1">
        <v>-455.42</v>
      </c>
      <c r="H616" s="1">
        <v>5144.174</v>
      </c>
      <c r="I616" s="1">
        <v>-4893.5810000000001</v>
      </c>
    </row>
    <row r="617" spans="1:9" hidden="1" x14ac:dyDescent="0.25">
      <c r="A617" s="1" t="s">
        <v>127</v>
      </c>
      <c r="B617" s="1" t="s">
        <v>190</v>
      </c>
      <c r="C617" s="1" t="s">
        <v>3</v>
      </c>
      <c r="D617" s="1">
        <v>840.12</v>
      </c>
      <c r="E617" s="1">
        <v>0</v>
      </c>
      <c r="F617" s="1">
        <v>-69</v>
      </c>
      <c r="G617" s="1">
        <v>-455.42</v>
      </c>
      <c r="H617" s="1">
        <v>5500.2439999999997</v>
      </c>
      <c r="I617" s="1">
        <v>-5040.7070000000003</v>
      </c>
    </row>
    <row r="618" spans="1:9" hidden="1" x14ac:dyDescent="0.25">
      <c r="A618" s="1" t="s">
        <v>127</v>
      </c>
      <c r="B618" s="1" t="s">
        <v>191</v>
      </c>
      <c r="C618" s="1" t="s">
        <v>143</v>
      </c>
      <c r="D618" s="1">
        <v>815.6</v>
      </c>
      <c r="E618" s="1">
        <v>0</v>
      </c>
      <c r="F618" s="1">
        <v>-69</v>
      </c>
      <c r="G618" s="1">
        <v>-372.61700000000002</v>
      </c>
      <c r="H618" s="1">
        <v>5144.174</v>
      </c>
      <c r="I618" s="1">
        <v>-4893.5810000000001</v>
      </c>
    </row>
    <row r="619" spans="1:9" hidden="1" x14ac:dyDescent="0.25">
      <c r="A619" s="1" t="s">
        <v>127</v>
      </c>
      <c r="B619" s="1" t="s">
        <v>191</v>
      </c>
      <c r="C619" s="1" t="s">
        <v>3</v>
      </c>
      <c r="D619" s="1">
        <v>840.12</v>
      </c>
      <c r="E619" s="1">
        <v>0</v>
      </c>
      <c r="F619" s="1">
        <v>-69</v>
      </c>
      <c r="G619" s="1">
        <v>-372.61700000000002</v>
      </c>
      <c r="H619" s="1">
        <v>5500.2439999999997</v>
      </c>
      <c r="I619" s="1">
        <v>-5040.7070000000003</v>
      </c>
    </row>
    <row r="620" spans="1:9" hidden="1" x14ac:dyDescent="0.25">
      <c r="A620" s="1" t="s">
        <v>127</v>
      </c>
      <c r="B620" s="1" t="s">
        <v>192</v>
      </c>
      <c r="C620" s="1" t="s">
        <v>143</v>
      </c>
      <c r="D620" s="1">
        <v>815.6</v>
      </c>
      <c r="E620" s="1">
        <v>0</v>
      </c>
      <c r="F620" s="1">
        <v>69</v>
      </c>
      <c r="G620" s="1">
        <v>455.42</v>
      </c>
      <c r="H620" s="1">
        <v>4642.9889999999996</v>
      </c>
      <c r="I620" s="1">
        <v>-4893.5810000000001</v>
      </c>
    </row>
    <row r="621" spans="1:9" hidden="1" x14ac:dyDescent="0.25">
      <c r="A621" s="1" t="s">
        <v>127</v>
      </c>
      <c r="B621" s="1" t="s">
        <v>192</v>
      </c>
      <c r="C621" s="1" t="s">
        <v>3</v>
      </c>
      <c r="D621" s="1">
        <v>840.12</v>
      </c>
      <c r="E621" s="1">
        <v>0</v>
      </c>
      <c r="F621" s="1">
        <v>69</v>
      </c>
      <c r="G621" s="1">
        <v>455.42</v>
      </c>
      <c r="H621" s="1">
        <v>4581.17</v>
      </c>
      <c r="I621" s="1">
        <v>-5040.7070000000003</v>
      </c>
    </row>
    <row r="622" spans="1:9" hidden="1" x14ac:dyDescent="0.25">
      <c r="A622" s="1" t="s">
        <v>127</v>
      </c>
      <c r="B622" s="1" t="s">
        <v>193</v>
      </c>
      <c r="C622" s="1" t="s">
        <v>143</v>
      </c>
      <c r="D622" s="1">
        <v>815.6</v>
      </c>
      <c r="E622" s="1">
        <v>0</v>
      </c>
      <c r="F622" s="1">
        <v>69</v>
      </c>
      <c r="G622" s="1">
        <v>372.61700000000002</v>
      </c>
      <c r="H622" s="1">
        <v>4642.9889999999996</v>
      </c>
      <c r="I622" s="1">
        <v>-4893.5810000000001</v>
      </c>
    </row>
    <row r="623" spans="1:9" hidden="1" x14ac:dyDescent="0.25">
      <c r="A623" s="1" t="s">
        <v>127</v>
      </c>
      <c r="B623" s="1" t="s">
        <v>193</v>
      </c>
      <c r="C623" s="1" t="s">
        <v>3</v>
      </c>
      <c r="D623" s="1">
        <v>840.12</v>
      </c>
      <c r="E623" s="1">
        <v>0</v>
      </c>
      <c r="F623" s="1">
        <v>69</v>
      </c>
      <c r="G623" s="1">
        <v>372.61700000000002</v>
      </c>
      <c r="H623" s="1">
        <v>4581.17</v>
      </c>
      <c r="I623" s="1">
        <v>-5040.7070000000003</v>
      </c>
    </row>
    <row r="624" spans="1:9" hidden="1" x14ac:dyDescent="0.25">
      <c r="A624" s="1" t="s">
        <v>127</v>
      </c>
      <c r="B624" s="1" t="s">
        <v>194</v>
      </c>
      <c r="C624" s="1" t="s">
        <v>143</v>
      </c>
      <c r="D624" s="1">
        <v>675.72</v>
      </c>
      <c r="E624" s="1">
        <v>-230.01</v>
      </c>
      <c r="F624" s="1">
        <v>0</v>
      </c>
      <c r="G624" s="1">
        <v>1518.068</v>
      </c>
      <c r="H624" s="1">
        <v>4054.3029999999999</v>
      </c>
      <c r="I624" s="1">
        <v>-4889.6109999999999</v>
      </c>
    </row>
    <row r="625" spans="1:9" hidden="1" x14ac:dyDescent="0.25">
      <c r="A625" s="1" t="s">
        <v>127</v>
      </c>
      <c r="B625" s="1" t="s">
        <v>194</v>
      </c>
      <c r="C625" s="1" t="s">
        <v>3</v>
      </c>
      <c r="D625" s="1">
        <v>697.79</v>
      </c>
      <c r="E625" s="1">
        <v>-230.01</v>
      </c>
      <c r="F625" s="1">
        <v>0</v>
      </c>
      <c r="G625" s="1">
        <v>1518.068</v>
      </c>
      <c r="H625" s="1">
        <v>4186.7160000000003</v>
      </c>
      <c r="I625" s="1">
        <v>-5718.5069999999996</v>
      </c>
    </row>
    <row r="626" spans="1:9" hidden="1" x14ac:dyDescent="0.25">
      <c r="A626" s="1" t="s">
        <v>127</v>
      </c>
      <c r="B626" s="1" t="s">
        <v>195</v>
      </c>
      <c r="C626" s="1" t="s">
        <v>143</v>
      </c>
      <c r="D626" s="1">
        <v>675.72</v>
      </c>
      <c r="E626" s="1">
        <v>-230.01</v>
      </c>
      <c r="F626" s="1">
        <v>0</v>
      </c>
      <c r="G626" s="1">
        <v>1242.056</v>
      </c>
      <c r="H626" s="1">
        <v>4054.3029999999999</v>
      </c>
      <c r="I626" s="1">
        <v>-4889.6109999999999</v>
      </c>
    </row>
    <row r="627" spans="1:9" hidden="1" x14ac:dyDescent="0.25">
      <c r="A627" s="1" t="s">
        <v>127</v>
      </c>
      <c r="B627" s="1" t="s">
        <v>195</v>
      </c>
      <c r="C627" s="1" t="s">
        <v>3</v>
      </c>
      <c r="D627" s="1">
        <v>697.79</v>
      </c>
      <c r="E627" s="1">
        <v>-230.01</v>
      </c>
      <c r="F627" s="1">
        <v>0</v>
      </c>
      <c r="G627" s="1">
        <v>1242.056</v>
      </c>
      <c r="H627" s="1">
        <v>4186.7160000000003</v>
      </c>
      <c r="I627" s="1">
        <v>-5718.5069999999996</v>
      </c>
    </row>
    <row r="628" spans="1:9" hidden="1" x14ac:dyDescent="0.25">
      <c r="A628" s="1" t="s">
        <v>127</v>
      </c>
      <c r="B628" s="1" t="s">
        <v>196</v>
      </c>
      <c r="C628" s="1" t="s">
        <v>143</v>
      </c>
      <c r="D628" s="1">
        <v>675.72</v>
      </c>
      <c r="E628" s="1">
        <v>230.01</v>
      </c>
      <c r="F628" s="1">
        <v>0</v>
      </c>
      <c r="G628" s="1">
        <v>-1518.068</v>
      </c>
      <c r="H628" s="1">
        <v>4054.3029999999999</v>
      </c>
      <c r="I628" s="1">
        <v>-3218.9960000000001</v>
      </c>
    </row>
    <row r="629" spans="1:9" hidden="1" x14ac:dyDescent="0.25">
      <c r="A629" s="1" t="s">
        <v>127</v>
      </c>
      <c r="B629" s="1" t="s">
        <v>196</v>
      </c>
      <c r="C629" s="1" t="s">
        <v>3</v>
      </c>
      <c r="D629" s="1">
        <v>697.79</v>
      </c>
      <c r="E629" s="1">
        <v>230.01</v>
      </c>
      <c r="F629" s="1">
        <v>0</v>
      </c>
      <c r="G629" s="1">
        <v>-1518.068</v>
      </c>
      <c r="H629" s="1">
        <v>4186.7160000000003</v>
      </c>
      <c r="I629" s="1">
        <v>-2654.9259999999999</v>
      </c>
    </row>
    <row r="630" spans="1:9" hidden="1" x14ac:dyDescent="0.25">
      <c r="A630" s="1" t="s">
        <v>127</v>
      </c>
      <c r="B630" s="1" t="s">
        <v>197</v>
      </c>
      <c r="C630" s="1" t="s">
        <v>143</v>
      </c>
      <c r="D630" s="1">
        <v>675.72</v>
      </c>
      <c r="E630" s="1">
        <v>230.01</v>
      </c>
      <c r="F630" s="1">
        <v>0</v>
      </c>
      <c r="G630" s="1">
        <v>-1242.056</v>
      </c>
      <c r="H630" s="1">
        <v>4054.3029999999999</v>
      </c>
      <c r="I630" s="1">
        <v>-3218.9960000000001</v>
      </c>
    </row>
    <row r="631" spans="1:9" hidden="1" x14ac:dyDescent="0.25">
      <c r="A631" s="1" t="s">
        <v>127</v>
      </c>
      <c r="B631" s="1" t="s">
        <v>197</v>
      </c>
      <c r="C631" s="1" t="s">
        <v>3</v>
      </c>
      <c r="D631" s="1">
        <v>697.79</v>
      </c>
      <c r="E631" s="1">
        <v>230.01</v>
      </c>
      <c r="F631" s="1">
        <v>0</v>
      </c>
      <c r="G631" s="1">
        <v>-1242.056</v>
      </c>
      <c r="H631" s="1">
        <v>4186.7160000000003</v>
      </c>
      <c r="I631" s="1">
        <v>-2654.9259999999999</v>
      </c>
    </row>
    <row r="632" spans="1:9" hidden="1" x14ac:dyDescent="0.25">
      <c r="A632" s="1" t="s">
        <v>127</v>
      </c>
      <c r="B632" s="1" t="s">
        <v>198</v>
      </c>
      <c r="C632" s="1" t="s">
        <v>143</v>
      </c>
      <c r="D632" s="1">
        <v>675.72</v>
      </c>
      <c r="E632" s="1">
        <v>0</v>
      </c>
      <c r="F632" s="1">
        <v>-230.01</v>
      </c>
      <c r="G632" s="1">
        <v>-1518.068</v>
      </c>
      <c r="H632" s="1">
        <v>4889.6109999999999</v>
      </c>
      <c r="I632" s="1">
        <v>-4054.3029999999999</v>
      </c>
    </row>
    <row r="633" spans="1:9" hidden="1" x14ac:dyDescent="0.25">
      <c r="A633" s="1" t="s">
        <v>127</v>
      </c>
      <c r="B633" s="1" t="s">
        <v>198</v>
      </c>
      <c r="C633" s="1" t="s">
        <v>3</v>
      </c>
      <c r="D633" s="1">
        <v>697.79</v>
      </c>
      <c r="E633" s="1">
        <v>0</v>
      </c>
      <c r="F633" s="1">
        <v>-230.01</v>
      </c>
      <c r="G633" s="1">
        <v>-1518.068</v>
      </c>
      <c r="H633" s="1">
        <v>5718.5069999999996</v>
      </c>
      <c r="I633" s="1">
        <v>-4186.7160000000003</v>
      </c>
    </row>
    <row r="634" spans="1:9" hidden="1" x14ac:dyDescent="0.25">
      <c r="A634" s="1" t="s">
        <v>127</v>
      </c>
      <c r="B634" s="1" t="s">
        <v>199</v>
      </c>
      <c r="C634" s="1" t="s">
        <v>143</v>
      </c>
      <c r="D634" s="1">
        <v>675.72</v>
      </c>
      <c r="E634" s="1">
        <v>0</v>
      </c>
      <c r="F634" s="1">
        <v>-230.01</v>
      </c>
      <c r="G634" s="1">
        <v>-1242.056</v>
      </c>
      <c r="H634" s="1">
        <v>4889.6109999999999</v>
      </c>
      <c r="I634" s="1">
        <v>-4054.3029999999999</v>
      </c>
    </row>
    <row r="635" spans="1:9" hidden="1" x14ac:dyDescent="0.25">
      <c r="A635" s="1" t="s">
        <v>127</v>
      </c>
      <c r="B635" s="1" t="s">
        <v>199</v>
      </c>
      <c r="C635" s="1" t="s">
        <v>3</v>
      </c>
      <c r="D635" s="1">
        <v>697.79</v>
      </c>
      <c r="E635" s="1">
        <v>0</v>
      </c>
      <c r="F635" s="1">
        <v>-230.01</v>
      </c>
      <c r="G635" s="1">
        <v>-1242.056</v>
      </c>
      <c r="H635" s="1">
        <v>5718.5069999999996</v>
      </c>
      <c r="I635" s="1">
        <v>-4186.7160000000003</v>
      </c>
    </row>
    <row r="636" spans="1:9" hidden="1" x14ac:dyDescent="0.25">
      <c r="A636" s="1" t="s">
        <v>127</v>
      </c>
      <c r="B636" s="1" t="s">
        <v>200</v>
      </c>
      <c r="C636" s="1" t="s">
        <v>143</v>
      </c>
      <c r="D636" s="1">
        <v>675.72</v>
      </c>
      <c r="E636" s="1">
        <v>0</v>
      </c>
      <c r="F636" s="1">
        <v>230.01</v>
      </c>
      <c r="G636" s="1">
        <v>1518.068</v>
      </c>
      <c r="H636" s="1">
        <v>3218.9960000000001</v>
      </c>
      <c r="I636" s="1">
        <v>-4054.3029999999999</v>
      </c>
    </row>
    <row r="637" spans="1:9" hidden="1" x14ac:dyDescent="0.25">
      <c r="A637" s="1" t="s">
        <v>127</v>
      </c>
      <c r="B637" s="1" t="s">
        <v>200</v>
      </c>
      <c r="C637" s="1" t="s">
        <v>3</v>
      </c>
      <c r="D637" s="1">
        <v>697.79</v>
      </c>
      <c r="E637" s="1">
        <v>0</v>
      </c>
      <c r="F637" s="1">
        <v>230.01</v>
      </c>
      <c r="G637" s="1">
        <v>1518.068</v>
      </c>
      <c r="H637" s="1">
        <v>2654.9259999999999</v>
      </c>
      <c r="I637" s="1">
        <v>-4186.7160000000003</v>
      </c>
    </row>
    <row r="638" spans="1:9" hidden="1" x14ac:dyDescent="0.25">
      <c r="A638" s="1" t="s">
        <v>127</v>
      </c>
      <c r="B638" s="1" t="s">
        <v>201</v>
      </c>
      <c r="C638" s="1" t="s">
        <v>143</v>
      </c>
      <c r="D638" s="1">
        <v>675.72</v>
      </c>
      <c r="E638" s="1">
        <v>0</v>
      </c>
      <c r="F638" s="1">
        <v>230.01</v>
      </c>
      <c r="G638" s="1">
        <v>1242.056</v>
      </c>
      <c r="H638" s="1">
        <v>3218.9960000000001</v>
      </c>
      <c r="I638" s="1">
        <v>-4054.3029999999999</v>
      </c>
    </row>
    <row r="639" spans="1:9" hidden="1" x14ac:dyDescent="0.25">
      <c r="A639" s="1" t="s">
        <v>127</v>
      </c>
      <c r="B639" s="1" t="s">
        <v>201</v>
      </c>
      <c r="C639" s="1" t="s">
        <v>3</v>
      </c>
      <c r="D639" s="1">
        <v>697.79</v>
      </c>
      <c r="E639" s="1">
        <v>0</v>
      </c>
      <c r="F639" s="1">
        <v>230.01</v>
      </c>
      <c r="G639" s="1">
        <v>1242.056</v>
      </c>
      <c r="H639" s="1">
        <v>2654.9259999999999</v>
      </c>
      <c r="I639" s="1">
        <v>-4186.7160000000003</v>
      </c>
    </row>
    <row r="640" spans="1:9" hidden="1" x14ac:dyDescent="0.25">
      <c r="A640" s="1" t="s">
        <v>127</v>
      </c>
      <c r="B640" s="1" t="s">
        <v>202</v>
      </c>
      <c r="C640" s="1" t="s">
        <v>143</v>
      </c>
      <c r="D640" s="1">
        <v>611.36</v>
      </c>
      <c r="E640" s="1">
        <v>-230.01</v>
      </c>
      <c r="F640" s="1">
        <v>0</v>
      </c>
      <c r="G640" s="1">
        <v>1518.068</v>
      </c>
      <c r="H640" s="1">
        <v>3668.1790000000001</v>
      </c>
      <c r="I640" s="1">
        <v>-4503.4870000000001</v>
      </c>
    </row>
    <row r="641" spans="1:9" hidden="1" x14ac:dyDescent="0.25">
      <c r="A641" s="1" t="s">
        <v>127</v>
      </c>
      <c r="B641" s="1" t="s">
        <v>202</v>
      </c>
      <c r="C641" s="1" t="s">
        <v>3</v>
      </c>
      <c r="D641" s="1">
        <v>631.33000000000004</v>
      </c>
      <c r="E641" s="1">
        <v>-230.01</v>
      </c>
      <c r="F641" s="1">
        <v>0</v>
      </c>
      <c r="G641" s="1">
        <v>1518.068</v>
      </c>
      <c r="H641" s="1">
        <v>3787.9810000000002</v>
      </c>
      <c r="I641" s="1">
        <v>-5319.7719999999999</v>
      </c>
    </row>
    <row r="642" spans="1:9" hidden="1" x14ac:dyDescent="0.25">
      <c r="A642" s="1" t="s">
        <v>127</v>
      </c>
      <c r="B642" s="1" t="s">
        <v>203</v>
      </c>
      <c r="C642" s="1" t="s">
        <v>143</v>
      </c>
      <c r="D642" s="1">
        <v>611.36</v>
      </c>
      <c r="E642" s="1">
        <v>-230.01</v>
      </c>
      <c r="F642" s="1">
        <v>0</v>
      </c>
      <c r="G642" s="1">
        <v>1242.056</v>
      </c>
      <c r="H642" s="1">
        <v>3668.1790000000001</v>
      </c>
      <c r="I642" s="1">
        <v>-4503.4870000000001</v>
      </c>
    </row>
    <row r="643" spans="1:9" hidden="1" x14ac:dyDescent="0.25">
      <c r="A643" s="1" t="s">
        <v>127</v>
      </c>
      <c r="B643" s="1" t="s">
        <v>203</v>
      </c>
      <c r="C643" s="1" t="s">
        <v>3</v>
      </c>
      <c r="D643" s="1">
        <v>631.33000000000004</v>
      </c>
      <c r="E643" s="1">
        <v>-230.01</v>
      </c>
      <c r="F643" s="1">
        <v>0</v>
      </c>
      <c r="G643" s="1">
        <v>1242.056</v>
      </c>
      <c r="H643" s="1">
        <v>3787.9810000000002</v>
      </c>
      <c r="I643" s="1">
        <v>-5319.7719999999999</v>
      </c>
    </row>
    <row r="644" spans="1:9" hidden="1" x14ac:dyDescent="0.25">
      <c r="A644" s="1" t="s">
        <v>127</v>
      </c>
      <c r="B644" s="1" t="s">
        <v>204</v>
      </c>
      <c r="C644" s="1" t="s">
        <v>143</v>
      </c>
      <c r="D644" s="1">
        <v>611.36</v>
      </c>
      <c r="E644" s="1">
        <v>230.01</v>
      </c>
      <c r="F644" s="1">
        <v>0</v>
      </c>
      <c r="G644" s="1">
        <v>-1518.068</v>
      </c>
      <c r="H644" s="1">
        <v>3668.1790000000001</v>
      </c>
      <c r="I644" s="1">
        <v>-2832.8719999999998</v>
      </c>
    </row>
    <row r="645" spans="1:9" hidden="1" x14ac:dyDescent="0.25">
      <c r="A645" s="1" t="s">
        <v>127</v>
      </c>
      <c r="B645" s="1" t="s">
        <v>204</v>
      </c>
      <c r="C645" s="1" t="s">
        <v>3</v>
      </c>
      <c r="D645" s="1">
        <v>631.33000000000004</v>
      </c>
      <c r="E645" s="1">
        <v>230.01</v>
      </c>
      <c r="F645" s="1">
        <v>0</v>
      </c>
      <c r="G645" s="1">
        <v>-1518.068</v>
      </c>
      <c r="H645" s="1">
        <v>3787.9810000000002</v>
      </c>
      <c r="I645" s="1">
        <v>-2256.1909999999998</v>
      </c>
    </row>
    <row r="646" spans="1:9" hidden="1" x14ac:dyDescent="0.25">
      <c r="A646" s="1" t="s">
        <v>127</v>
      </c>
      <c r="B646" s="1" t="s">
        <v>205</v>
      </c>
      <c r="C646" s="1" t="s">
        <v>143</v>
      </c>
      <c r="D646" s="1">
        <v>611.36</v>
      </c>
      <c r="E646" s="1">
        <v>230.01</v>
      </c>
      <c r="F646" s="1">
        <v>0</v>
      </c>
      <c r="G646" s="1">
        <v>-1242.056</v>
      </c>
      <c r="H646" s="1">
        <v>3668.1790000000001</v>
      </c>
      <c r="I646" s="1">
        <v>-2832.8719999999998</v>
      </c>
    </row>
    <row r="647" spans="1:9" hidden="1" x14ac:dyDescent="0.25">
      <c r="A647" s="1" t="s">
        <v>127</v>
      </c>
      <c r="B647" s="1" t="s">
        <v>205</v>
      </c>
      <c r="C647" s="1" t="s">
        <v>3</v>
      </c>
      <c r="D647" s="1">
        <v>631.33000000000004</v>
      </c>
      <c r="E647" s="1">
        <v>230.01</v>
      </c>
      <c r="F647" s="1">
        <v>0</v>
      </c>
      <c r="G647" s="1">
        <v>-1242.056</v>
      </c>
      <c r="H647" s="1">
        <v>3787.9810000000002</v>
      </c>
      <c r="I647" s="1">
        <v>-2256.1909999999998</v>
      </c>
    </row>
    <row r="648" spans="1:9" hidden="1" x14ac:dyDescent="0.25">
      <c r="A648" s="1" t="s">
        <v>127</v>
      </c>
      <c r="B648" s="1" t="s">
        <v>206</v>
      </c>
      <c r="C648" s="1" t="s">
        <v>143</v>
      </c>
      <c r="D648" s="1">
        <v>611.36</v>
      </c>
      <c r="E648" s="1">
        <v>0</v>
      </c>
      <c r="F648" s="1">
        <v>-230.01</v>
      </c>
      <c r="G648" s="1">
        <v>-1518.068</v>
      </c>
      <c r="H648" s="1">
        <v>4503.4870000000001</v>
      </c>
      <c r="I648" s="1">
        <v>-3668.1790000000001</v>
      </c>
    </row>
    <row r="649" spans="1:9" hidden="1" x14ac:dyDescent="0.25">
      <c r="A649" s="1" t="s">
        <v>127</v>
      </c>
      <c r="B649" s="1" t="s">
        <v>206</v>
      </c>
      <c r="C649" s="1" t="s">
        <v>3</v>
      </c>
      <c r="D649" s="1">
        <v>631.33000000000004</v>
      </c>
      <c r="E649" s="1">
        <v>0</v>
      </c>
      <c r="F649" s="1">
        <v>-230.01</v>
      </c>
      <c r="G649" s="1">
        <v>-1518.068</v>
      </c>
      <c r="H649" s="1">
        <v>5319.7719999999999</v>
      </c>
      <c r="I649" s="1">
        <v>-3787.9810000000002</v>
      </c>
    </row>
    <row r="650" spans="1:9" hidden="1" x14ac:dyDescent="0.25">
      <c r="A650" s="1" t="s">
        <v>127</v>
      </c>
      <c r="B650" s="1" t="s">
        <v>207</v>
      </c>
      <c r="C650" s="1" t="s">
        <v>143</v>
      </c>
      <c r="D650" s="1">
        <v>611.36</v>
      </c>
      <c r="E650" s="1">
        <v>0</v>
      </c>
      <c r="F650" s="1">
        <v>-230.01</v>
      </c>
      <c r="G650" s="1">
        <v>-1242.056</v>
      </c>
      <c r="H650" s="1">
        <v>4503.4870000000001</v>
      </c>
      <c r="I650" s="1">
        <v>-3668.1790000000001</v>
      </c>
    </row>
    <row r="651" spans="1:9" hidden="1" x14ac:dyDescent="0.25">
      <c r="A651" s="1" t="s">
        <v>127</v>
      </c>
      <c r="B651" s="1" t="s">
        <v>207</v>
      </c>
      <c r="C651" s="1" t="s">
        <v>3</v>
      </c>
      <c r="D651" s="1">
        <v>631.33000000000004</v>
      </c>
      <c r="E651" s="1">
        <v>0</v>
      </c>
      <c r="F651" s="1">
        <v>-230.01</v>
      </c>
      <c r="G651" s="1">
        <v>-1242.056</v>
      </c>
      <c r="H651" s="1">
        <v>5319.7719999999999</v>
      </c>
      <c r="I651" s="1">
        <v>-3787.9810000000002</v>
      </c>
    </row>
    <row r="652" spans="1:9" hidden="1" x14ac:dyDescent="0.25">
      <c r="A652" s="1" t="s">
        <v>127</v>
      </c>
      <c r="B652" s="1" t="s">
        <v>208</v>
      </c>
      <c r="C652" s="1" t="s">
        <v>143</v>
      </c>
      <c r="D652" s="1">
        <v>611.36</v>
      </c>
      <c r="E652" s="1">
        <v>0</v>
      </c>
      <c r="F652" s="1">
        <v>230.01</v>
      </c>
      <c r="G652" s="1">
        <v>1518.068</v>
      </c>
      <c r="H652" s="1">
        <v>2832.8719999999998</v>
      </c>
      <c r="I652" s="1">
        <v>-3668.1790000000001</v>
      </c>
    </row>
    <row r="653" spans="1:9" hidden="1" x14ac:dyDescent="0.25">
      <c r="A653" s="1" t="s">
        <v>127</v>
      </c>
      <c r="B653" s="1" t="s">
        <v>208</v>
      </c>
      <c r="C653" s="1" t="s">
        <v>3</v>
      </c>
      <c r="D653" s="1">
        <v>631.33000000000004</v>
      </c>
      <c r="E653" s="1">
        <v>0</v>
      </c>
      <c r="F653" s="1">
        <v>230.01</v>
      </c>
      <c r="G653" s="1">
        <v>1518.068</v>
      </c>
      <c r="H653" s="1">
        <v>2256.1909999999998</v>
      </c>
      <c r="I653" s="1">
        <v>-3787.9810000000002</v>
      </c>
    </row>
    <row r="654" spans="1:9" hidden="1" x14ac:dyDescent="0.25">
      <c r="A654" s="1" t="s">
        <v>127</v>
      </c>
      <c r="B654" s="1" t="s">
        <v>209</v>
      </c>
      <c r="C654" s="1" t="s">
        <v>143</v>
      </c>
      <c r="D654" s="1">
        <v>611.36</v>
      </c>
      <c r="E654" s="1">
        <v>0</v>
      </c>
      <c r="F654" s="1">
        <v>230.01</v>
      </c>
      <c r="G654" s="1">
        <v>1242.056</v>
      </c>
      <c r="H654" s="1">
        <v>2832.8719999999998</v>
      </c>
      <c r="I654" s="1">
        <v>-3668.1790000000001</v>
      </c>
    </row>
    <row r="655" spans="1:9" hidden="1" x14ac:dyDescent="0.25">
      <c r="A655" s="1" t="s">
        <v>127</v>
      </c>
      <c r="B655" s="1" t="s">
        <v>209</v>
      </c>
      <c r="C655" s="1" t="s">
        <v>3</v>
      </c>
      <c r="D655" s="1">
        <v>631.33000000000004</v>
      </c>
      <c r="E655" s="1">
        <v>0</v>
      </c>
      <c r="F655" s="1">
        <v>230.01</v>
      </c>
      <c r="G655" s="1">
        <v>1242.056</v>
      </c>
      <c r="H655" s="1">
        <v>2256.1909999999998</v>
      </c>
      <c r="I655" s="1">
        <v>-3787.9810000000002</v>
      </c>
    </row>
    <row r="656" spans="1:9" hidden="1" x14ac:dyDescent="0.25">
      <c r="A656" s="1" t="s">
        <v>127</v>
      </c>
      <c r="B656" s="1" t="s">
        <v>210</v>
      </c>
      <c r="C656" s="1" t="s">
        <v>143</v>
      </c>
      <c r="D656" s="1">
        <v>750.8</v>
      </c>
      <c r="E656" s="1">
        <v>-69</v>
      </c>
      <c r="F656" s="1">
        <v>0</v>
      </c>
      <c r="G656" s="1">
        <v>455.42</v>
      </c>
      <c r="H656" s="1">
        <v>4504.7809999999999</v>
      </c>
      <c r="I656" s="1">
        <v>-4755.3739999999998</v>
      </c>
    </row>
    <row r="657" spans="1:9" hidden="1" x14ac:dyDescent="0.25">
      <c r="A657" s="1" t="s">
        <v>127</v>
      </c>
      <c r="B657" s="1" t="s">
        <v>210</v>
      </c>
      <c r="C657" s="1" t="s">
        <v>3</v>
      </c>
      <c r="D657" s="1">
        <v>775.32</v>
      </c>
      <c r="E657" s="1">
        <v>-69</v>
      </c>
      <c r="F657" s="1">
        <v>0</v>
      </c>
      <c r="G657" s="1">
        <v>455.42</v>
      </c>
      <c r="H657" s="1">
        <v>4651.9070000000002</v>
      </c>
      <c r="I657" s="1">
        <v>-5111.4440000000004</v>
      </c>
    </row>
    <row r="658" spans="1:9" hidden="1" x14ac:dyDescent="0.25">
      <c r="A658" s="1" t="s">
        <v>127</v>
      </c>
      <c r="B658" s="1" t="s">
        <v>211</v>
      </c>
      <c r="C658" s="1" t="s">
        <v>143</v>
      </c>
      <c r="D658" s="1">
        <v>750.8</v>
      </c>
      <c r="E658" s="1">
        <v>-69</v>
      </c>
      <c r="F658" s="1">
        <v>0</v>
      </c>
      <c r="G658" s="1">
        <v>372.61700000000002</v>
      </c>
      <c r="H658" s="1">
        <v>4504.7809999999999</v>
      </c>
      <c r="I658" s="1">
        <v>-4755.3739999999998</v>
      </c>
    </row>
    <row r="659" spans="1:9" hidden="1" x14ac:dyDescent="0.25">
      <c r="A659" s="1" t="s">
        <v>127</v>
      </c>
      <c r="B659" s="1" t="s">
        <v>211</v>
      </c>
      <c r="C659" s="1" t="s">
        <v>3</v>
      </c>
      <c r="D659" s="1">
        <v>775.32</v>
      </c>
      <c r="E659" s="1">
        <v>-69</v>
      </c>
      <c r="F659" s="1">
        <v>0</v>
      </c>
      <c r="G659" s="1">
        <v>372.61700000000002</v>
      </c>
      <c r="H659" s="1">
        <v>4651.9070000000002</v>
      </c>
      <c r="I659" s="1">
        <v>-5111.4440000000004</v>
      </c>
    </row>
    <row r="660" spans="1:9" hidden="1" x14ac:dyDescent="0.25">
      <c r="A660" s="1" t="s">
        <v>127</v>
      </c>
      <c r="B660" s="1" t="s">
        <v>212</v>
      </c>
      <c r="C660" s="1" t="s">
        <v>143</v>
      </c>
      <c r="D660" s="1">
        <v>750.8</v>
      </c>
      <c r="E660" s="1">
        <v>69</v>
      </c>
      <c r="F660" s="1">
        <v>0</v>
      </c>
      <c r="G660" s="1">
        <v>-455.42</v>
      </c>
      <c r="H660" s="1">
        <v>4504.7809999999999</v>
      </c>
      <c r="I660" s="1">
        <v>-4254.1890000000003</v>
      </c>
    </row>
    <row r="661" spans="1:9" hidden="1" x14ac:dyDescent="0.25">
      <c r="A661" s="1" t="s">
        <v>127</v>
      </c>
      <c r="B661" s="1" t="s">
        <v>212</v>
      </c>
      <c r="C661" s="1" t="s">
        <v>3</v>
      </c>
      <c r="D661" s="1">
        <v>775.32</v>
      </c>
      <c r="E661" s="1">
        <v>69</v>
      </c>
      <c r="F661" s="1">
        <v>0</v>
      </c>
      <c r="G661" s="1">
        <v>-455.42</v>
      </c>
      <c r="H661" s="1">
        <v>4651.9070000000002</v>
      </c>
      <c r="I661" s="1">
        <v>-4192.37</v>
      </c>
    </row>
    <row r="662" spans="1:9" hidden="1" x14ac:dyDescent="0.25">
      <c r="A662" s="1" t="s">
        <v>127</v>
      </c>
      <c r="B662" s="1" t="s">
        <v>213</v>
      </c>
      <c r="C662" s="1" t="s">
        <v>143</v>
      </c>
      <c r="D662" s="1">
        <v>750.8</v>
      </c>
      <c r="E662" s="1">
        <v>69</v>
      </c>
      <c r="F662" s="1">
        <v>0</v>
      </c>
      <c r="G662" s="1">
        <v>-372.61700000000002</v>
      </c>
      <c r="H662" s="1">
        <v>4504.7809999999999</v>
      </c>
      <c r="I662" s="1">
        <v>-4254.1890000000003</v>
      </c>
    </row>
    <row r="663" spans="1:9" hidden="1" x14ac:dyDescent="0.25">
      <c r="A663" s="1" t="s">
        <v>127</v>
      </c>
      <c r="B663" s="1" t="s">
        <v>213</v>
      </c>
      <c r="C663" s="1" t="s">
        <v>3</v>
      </c>
      <c r="D663" s="1">
        <v>775.32</v>
      </c>
      <c r="E663" s="1">
        <v>69</v>
      </c>
      <c r="F663" s="1">
        <v>0</v>
      </c>
      <c r="G663" s="1">
        <v>-372.61700000000002</v>
      </c>
      <c r="H663" s="1">
        <v>4651.9070000000002</v>
      </c>
      <c r="I663" s="1">
        <v>-4192.37</v>
      </c>
    </row>
    <row r="664" spans="1:9" hidden="1" x14ac:dyDescent="0.25">
      <c r="A664" s="1" t="s">
        <v>127</v>
      </c>
      <c r="B664" s="1" t="s">
        <v>214</v>
      </c>
      <c r="C664" s="1" t="s">
        <v>143</v>
      </c>
      <c r="D664" s="1">
        <v>750.8</v>
      </c>
      <c r="E664" s="1">
        <v>0</v>
      </c>
      <c r="F664" s="1">
        <v>-69</v>
      </c>
      <c r="G664" s="1">
        <v>-455.42</v>
      </c>
      <c r="H664" s="1">
        <v>4755.3739999999998</v>
      </c>
      <c r="I664" s="1">
        <v>-4504.7809999999999</v>
      </c>
    </row>
    <row r="665" spans="1:9" hidden="1" x14ac:dyDescent="0.25">
      <c r="A665" s="1" t="s">
        <v>127</v>
      </c>
      <c r="B665" s="1" t="s">
        <v>214</v>
      </c>
      <c r="C665" s="1" t="s">
        <v>3</v>
      </c>
      <c r="D665" s="1">
        <v>775.32</v>
      </c>
      <c r="E665" s="1">
        <v>0</v>
      </c>
      <c r="F665" s="1">
        <v>-69</v>
      </c>
      <c r="G665" s="1">
        <v>-455.42</v>
      </c>
      <c r="H665" s="1">
        <v>5111.4440000000004</v>
      </c>
      <c r="I665" s="1">
        <v>-4651.9070000000002</v>
      </c>
    </row>
    <row r="666" spans="1:9" hidden="1" x14ac:dyDescent="0.25">
      <c r="A666" s="1" t="s">
        <v>127</v>
      </c>
      <c r="B666" s="1" t="s">
        <v>215</v>
      </c>
      <c r="C666" s="1" t="s">
        <v>143</v>
      </c>
      <c r="D666" s="1">
        <v>750.8</v>
      </c>
      <c r="E666" s="1">
        <v>0</v>
      </c>
      <c r="F666" s="1">
        <v>-69</v>
      </c>
      <c r="G666" s="1">
        <v>-372.61700000000002</v>
      </c>
      <c r="H666" s="1">
        <v>4755.3739999999998</v>
      </c>
      <c r="I666" s="1">
        <v>-4504.7809999999999</v>
      </c>
    </row>
    <row r="667" spans="1:9" hidden="1" x14ac:dyDescent="0.25">
      <c r="A667" s="1" t="s">
        <v>127</v>
      </c>
      <c r="B667" s="1" t="s">
        <v>215</v>
      </c>
      <c r="C667" s="1" t="s">
        <v>3</v>
      </c>
      <c r="D667" s="1">
        <v>775.32</v>
      </c>
      <c r="E667" s="1">
        <v>0</v>
      </c>
      <c r="F667" s="1">
        <v>-69</v>
      </c>
      <c r="G667" s="1">
        <v>-372.61700000000002</v>
      </c>
      <c r="H667" s="1">
        <v>5111.4440000000004</v>
      </c>
      <c r="I667" s="1">
        <v>-4651.9070000000002</v>
      </c>
    </row>
    <row r="668" spans="1:9" hidden="1" x14ac:dyDescent="0.25">
      <c r="A668" s="1" t="s">
        <v>127</v>
      </c>
      <c r="B668" s="1" t="s">
        <v>216</v>
      </c>
      <c r="C668" s="1" t="s">
        <v>143</v>
      </c>
      <c r="D668" s="1">
        <v>750.8</v>
      </c>
      <c r="E668" s="1">
        <v>0</v>
      </c>
      <c r="F668" s="1">
        <v>69</v>
      </c>
      <c r="G668" s="1">
        <v>455.42</v>
      </c>
      <c r="H668" s="1">
        <v>4254.1890000000003</v>
      </c>
      <c r="I668" s="1">
        <v>-4504.7809999999999</v>
      </c>
    </row>
    <row r="669" spans="1:9" hidden="1" x14ac:dyDescent="0.25">
      <c r="A669" s="1" t="s">
        <v>127</v>
      </c>
      <c r="B669" s="1" t="s">
        <v>216</v>
      </c>
      <c r="C669" s="1" t="s">
        <v>3</v>
      </c>
      <c r="D669" s="1">
        <v>775.32</v>
      </c>
      <c r="E669" s="1">
        <v>0</v>
      </c>
      <c r="F669" s="1">
        <v>69</v>
      </c>
      <c r="G669" s="1">
        <v>455.42</v>
      </c>
      <c r="H669" s="1">
        <v>4192.37</v>
      </c>
      <c r="I669" s="1">
        <v>-4651.9070000000002</v>
      </c>
    </row>
    <row r="670" spans="1:9" hidden="1" x14ac:dyDescent="0.25">
      <c r="A670" s="1" t="s">
        <v>127</v>
      </c>
      <c r="B670" s="1" t="s">
        <v>217</v>
      </c>
      <c r="C670" s="1" t="s">
        <v>143</v>
      </c>
      <c r="D670" s="1">
        <v>750.8</v>
      </c>
      <c r="E670" s="1">
        <v>0</v>
      </c>
      <c r="F670" s="1">
        <v>69</v>
      </c>
      <c r="G670" s="1">
        <v>372.61700000000002</v>
      </c>
      <c r="H670" s="1">
        <v>4254.1890000000003</v>
      </c>
      <c r="I670" s="1">
        <v>-4504.7809999999999</v>
      </c>
    </row>
    <row r="671" spans="1:9" hidden="1" x14ac:dyDescent="0.25">
      <c r="A671" s="1" t="s">
        <v>127</v>
      </c>
      <c r="B671" s="1" t="s">
        <v>217</v>
      </c>
      <c r="C671" s="1" t="s">
        <v>3</v>
      </c>
      <c r="D671" s="1">
        <v>775.32</v>
      </c>
      <c r="E671" s="1">
        <v>0</v>
      </c>
      <c r="F671" s="1">
        <v>69</v>
      </c>
      <c r="G671" s="1">
        <v>372.61700000000002</v>
      </c>
      <c r="H671" s="1">
        <v>4192.37</v>
      </c>
      <c r="I671" s="1">
        <v>-4651.9070000000002</v>
      </c>
    </row>
    <row r="672" spans="1:9" hidden="1" x14ac:dyDescent="0.25">
      <c r="A672" s="1" t="s">
        <v>127</v>
      </c>
      <c r="B672" s="1" t="s">
        <v>218</v>
      </c>
      <c r="C672" s="1" t="s">
        <v>143</v>
      </c>
      <c r="D672" s="1">
        <v>536.28</v>
      </c>
      <c r="E672" s="1">
        <v>-69</v>
      </c>
      <c r="F672" s="1">
        <v>0</v>
      </c>
      <c r="G672" s="1">
        <v>455.42</v>
      </c>
      <c r="H672" s="1">
        <v>3217.701</v>
      </c>
      <c r="I672" s="1">
        <v>-3468.2930000000001</v>
      </c>
    </row>
    <row r="673" spans="1:9" hidden="1" x14ac:dyDescent="0.25">
      <c r="A673" s="1" t="s">
        <v>127</v>
      </c>
      <c r="B673" s="1" t="s">
        <v>218</v>
      </c>
      <c r="C673" s="1" t="s">
        <v>3</v>
      </c>
      <c r="D673" s="1">
        <v>553.79999999999995</v>
      </c>
      <c r="E673" s="1">
        <v>-69</v>
      </c>
      <c r="F673" s="1">
        <v>0</v>
      </c>
      <c r="G673" s="1">
        <v>455.42</v>
      </c>
      <c r="H673" s="1">
        <v>3322.7910000000002</v>
      </c>
      <c r="I673" s="1">
        <v>-3782.328</v>
      </c>
    </row>
    <row r="674" spans="1:9" hidden="1" x14ac:dyDescent="0.25">
      <c r="A674" s="1" t="s">
        <v>127</v>
      </c>
      <c r="B674" s="1" t="s">
        <v>219</v>
      </c>
      <c r="C674" s="1" t="s">
        <v>143</v>
      </c>
      <c r="D674" s="1">
        <v>536.28</v>
      </c>
      <c r="E674" s="1">
        <v>-69</v>
      </c>
      <c r="F674" s="1">
        <v>0</v>
      </c>
      <c r="G674" s="1">
        <v>372.61700000000002</v>
      </c>
      <c r="H674" s="1">
        <v>3217.701</v>
      </c>
      <c r="I674" s="1">
        <v>-3468.2930000000001</v>
      </c>
    </row>
    <row r="675" spans="1:9" hidden="1" x14ac:dyDescent="0.25">
      <c r="A675" s="1" t="s">
        <v>127</v>
      </c>
      <c r="B675" s="1" t="s">
        <v>219</v>
      </c>
      <c r="C675" s="1" t="s">
        <v>3</v>
      </c>
      <c r="D675" s="1">
        <v>553.79999999999995</v>
      </c>
      <c r="E675" s="1">
        <v>-69</v>
      </c>
      <c r="F675" s="1">
        <v>0</v>
      </c>
      <c r="G675" s="1">
        <v>372.61700000000002</v>
      </c>
      <c r="H675" s="1">
        <v>3322.7910000000002</v>
      </c>
      <c r="I675" s="1">
        <v>-3782.328</v>
      </c>
    </row>
    <row r="676" spans="1:9" hidden="1" x14ac:dyDescent="0.25">
      <c r="A676" s="1" t="s">
        <v>127</v>
      </c>
      <c r="B676" s="1" t="s">
        <v>220</v>
      </c>
      <c r="C676" s="1" t="s">
        <v>143</v>
      </c>
      <c r="D676" s="1">
        <v>536.28</v>
      </c>
      <c r="E676" s="1">
        <v>69</v>
      </c>
      <c r="F676" s="1">
        <v>0</v>
      </c>
      <c r="G676" s="1">
        <v>-455.42</v>
      </c>
      <c r="H676" s="1">
        <v>3217.701</v>
      </c>
      <c r="I676" s="1">
        <v>-2967.1089999999999</v>
      </c>
    </row>
    <row r="677" spans="1:9" hidden="1" x14ac:dyDescent="0.25">
      <c r="A677" s="1" t="s">
        <v>127</v>
      </c>
      <c r="B677" s="1" t="s">
        <v>220</v>
      </c>
      <c r="C677" s="1" t="s">
        <v>3</v>
      </c>
      <c r="D677" s="1">
        <v>553.79999999999995</v>
      </c>
      <c r="E677" s="1">
        <v>69</v>
      </c>
      <c r="F677" s="1">
        <v>0</v>
      </c>
      <c r="G677" s="1">
        <v>-455.42</v>
      </c>
      <c r="H677" s="1">
        <v>3322.7910000000002</v>
      </c>
      <c r="I677" s="1">
        <v>-2863.2539999999999</v>
      </c>
    </row>
    <row r="678" spans="1:9" hidden="1" x14ac:dyDescent="0.25">
      <c r="A678" s="1" t="s">
        <v>127</v>
      </c>
      <c r="B678" s="1" t="s">
        <v>221</v>
      </c>
      <c r="C678" s="1" t="s">
        <v>143</v>
      </c>
      <c r="D678" s="1">
        <v>536.28</v>
      </c>
      <c r="E678" s="1">
        <v>69</v>
      </c>
      <c r="F678" s="1">
        <v>0</v>
      </c>
      <c r="G678" s="1">
        <v>-372.61700000000002</v>
      </c>
      <c r="H678" s="1">
        <v>3217.701</v>
      </c>
      <c r="I678" s="1">
        <v>-2967.1089999999999</v>
      </c>
    </row>
    <row r="679" spans="1:9" hidden="1" x14ac:dyDescent="0.25">
      <c r="A679" s="1" t="s">
        <v>127</v>
      </c>
      <c r="B679" s="1" t="s">
        <v>221</v>
      </c>
      <c r="C679" s="1" t="s">
        <v>3</v>
      </c>
      <c r="D679" s="1">
        <v>553.79999999999995</v>
      </c>
      <c r="E679" s="1">
        <v>69</v>
      </c>
      <c r="F679" s="1">
        <v>0</v>
      </c>
      <c r="G679" s="1">
        <v>-372.61700000000002</v>
      </c>
      <c r="H679" s="1">
        <v>3322.7910000000002</v>
      </c>
      <c r="I679" s="1">
        <v>-2863.2539999999999</v>
      </c>
    </row>
    <row r="680" spans="1:9" hidden="1" x14ac:dyDescent="0.25">
      <c r="A680" s="1" t="s">
        <v>127</v>
      </c>
      <c r="B680" s="1" t="s">
        <v>222</v>
      </c>
      <c r="C680" s="1" t="s">
        <v>143</v>
      </c>
      <c r="D680" s="1">
        <v>536.28</v>
      </c>
      <c r="E680" s="1">
        <v>0</v>
      </c>
      <c r="F680" s="1">
        <v>-69</v>
      </c>
      <c r="G680" s="1">
        <v>-455.42</v>
      </c>
      <c r="H680" s="1">
        <v>3468.2930000000001</v>
      </c>
      <c r="I680" s="1">
        <v>-3217.701</v>
      </c>
    </row>
    <row r="681" spans="1:9" hidden="1" x14ac:dyDescent="0.25">
      <c r="A681" s="1" t="s">
        <v>127</v>
      </c>
      <c r="B681" s="1" t="s">
        <v>222</v>
      </c>
      <c r="C681" s="1" t="s">
        <v>3</v>
      </c>
      <c r="D681" s="1">
        <v>553.79999999999995</v>
      </c>
      <c r="E681" s="1">
        <v>0</v>
      </c>
      <c r="F681" s="1">
        <v>-69</v>
      </c>
      <c r="G681" s="1">
        <v>-455.42</v>
      </c>
      <c r="H681" s="1">
        <v>3782.328</v>
      </c>
      <c r="I681" s="1">
        <v>-3322.7910000000002</v>
      </c>
    </row>
    <row r="682" spans="1:9" hidden="1" x14ac:dyDescent="0.25">
      <c r="A682" s="1" t="s">
        <v>127</v>
      </c>
      <c r="B682" s="1" t="s">
        <v>223</v>
      </c>
      <c r="C682" s="1" t="s">
        <v>143</v>
      </c>
      <c r="D682" s="1">
        <v>536.28</v>
      </c>
      <c r="E682" s="1">
        <v>0</v>
      </c>
      <c r="F682" s="1">
        <v>-69</v>
      </c>
      <c r="G682" s="1">
        <v>-372.61700000000002</v>
      </c>
      <c r="H682" s="1">
        <v>3468.2930000000001</v>
      </c>
      <c r="I682" s="1">
        <v>-3217.701</v>
      </c>
    </row>
    <row r="683" spans="1:9" hidden="1" x14ac:dyDescent="0.25">
      <c r="A683" s="1" t="s">
        <v>127</v>
      </c>
      <c r="B683" s="1" t="s">
        <v>223</v>
      </c>
      <c r="C683" s="1" t="s">
        <v>3</v>
      </c>
      <c r="D683" s="1">
        <v>553.79999999999995</v>
      </c>
      <c r="E683" s="1">
        <v>0</v>
      </c>
      <c r="F683" s="1">
        <v>-69</v>
      </c>
      <c r="G683" s="1">
        <v>-372.61700000000002</v>
      </c>
      <c r="H683" s="1">
        <v>3782.328</v>
      </c>
      <c r="I683" s="1">
        <v>-3322.7910000000002</v>
      </c>
    </row>
    <row r="684" spans="1:9" hidden="1" x14ac:dyDescent="0.25">
      <c r="A684" s="1" t="s">
        <v>127</v>
      </c>
      <c r="B684" s="1" t="s">
        <v>224</v>
      </c>
      <c r="C684" s="1" t="s">
        <v>143</v>
      </c>
      <c r="D684" s="1">
        <v>536.28</v>
      </c>
      <c r="E684" s="1">
        <v>0</v>
      </c>
      <c r="F684" s="1">
        <v>69</v>
      </c>
      <c r="G684" s="1">
        <v>455.42</v>
      </c>
      <c r="H684" s="1">
        <v>2967.1089999999999</v>
      </c>
      <c r="I684" s="1">
        <v>-3217.701</v>
      </c>
    </row>
    <row r="685" spans="1:9" hidden="1" x14ac:dyDescent="0.25">
      <c r="A685" s="1" t="s">
        <v>127</v>
      </c>
      <c r="B685" s="1" t="s">
        <v>224</v>
      </c>
      <c r="C685" s="1" t="s">
        <v>3</v>
      </c>
      <c r="D685" s="1">
        <v>553.79999999999995</v>
      </c>
      <c r="E685" s="1">
        <v>0</v>
      </c>
      <c r="F685" s="1">
        <v>69</v>
      </c>
      <c r="G685" s="1">
        <v>455.42</v>
      </c>
      <c r="H685" s="1">
        <v>2863.2539999999999</v>
      </c>
      <c r="I685" s="1">
        <v>-3322.7910000000002</v>
      </c>
    </row>
    <row r="686" spans="1:9" hidden="1" x14ac:dyDescent="0.25">
      <c r="A686" s="1" t="s">
        <v>127</v>
      </c>
      <c r="B686" s="1" t="s">
        <v>225</v>
      </c>
      <c r="C686" s="1" t="s">
        <v>143</v>
      </c>
      <c r="D686" s="1">
        <v>536.28</v>
      </c>
      <c r="E686" s="1">
        <v>0</v>
      </c>
      <c r="F686" s="1">
        <v>69</v>
      </c>
      <c r="G686" s="1">
        <v>372.61700000000002</v>
      </c>
      <c r="H686" s="1">
        <v>2967.1089999999999</v>
      </c>
      <c r="I686" s="1">
        <v>-3217.701</v>
      </c>
    </row>
    <row r="687" spans="1:9" hidden="1" x14ac:dyDescent="0.25">
      <c r="A687" s="1" t="s">
        <v>127</v>
      </c>
      <c r="B687" s="1" t="s">
        <v>225</v>
      </c>
      <c r="C687" s="1" t="s">
        <v>3</v>
      </c>
      <c r="D687" s="1">
        <v>553.79999999999995</v>
      </c>
      <c r="E687" s="1">
        <v>0</v>
      </c>
      <c r="F687" s="1">
        <v>69</v>
      </c>
      <c r="G687" s="1">
        <v>372.61700000000002</v>
      </c>
      <c r="H687" s="1">
        <v>2863.2539999999999</v>
      </c>
      <c r="I687" s="1">
        <v>-3322.7910000000002</v>
      </c>
    </row>
    <row r="688" spans="1:9" hidden="1" x14ac:dyDescent="0.25">
      <c r="A688" s="1" t="s">
        <v>127</v>
      </c>
      <c r="B688" s="1" t="s">
        <v>226</v>
      </c>
      <c r="C688" s="1" t="s">
        <v>143</v>
      </c>
      <c r="D688" s="1">
        <v>955.03</v>
      </c>
      <c r="E688" s="1">
        <v>243.05</v>
      </c>
      <c r="F688" s="1">
        <v>0</v>
      </c>
      <c r="G688" s="1">
        <v>1607.0250000000001</v>
      </c>
      <c r="H688" s="1">
        <v>5730.1840000000002</v>
      </c>
      <c r="I688" s="1">
        <v>-4930.93</v>
      </c>
    </row>
    <row r="689" spans="1:9" hidden="1" x14ac:dyDescent="0.25">
      <c r="A689" s="1" t="s">
        <v>127</v>
      </c>
      <c r="B689" s="1" t="s">
        <v>226</v>
      </c>
      <c r="C689" s="1" t="s">
        <v>3</v>
      </c>
      <c r="D689" s="1">
        <v>984.11</v>
      </c>
      <c r="E689" s="1">
        <v>243.05</v>
      </c>
      <c r="F689" s="1">
        <v>0</v>
      </c>
      <c r="G689" s="1">
        <v>1607.0250000000001</v>
      </c>
      <c r="H689" s="1">
        <v>5904.6329999999998</v>
      </c>
      <c r="I689" s="1">
        <v>-4373.1409999999996</v>
      </c>
    </row>
    <row r="690" spans="1:9" hidden="1" x14ac:dyDescent="0.25">
      <c r="A690" s="1" t="s">
        <v>127</v>
      </c>
      <c r="B690" s="1" t="s">
        <v>227</v>
      </c>
      <c r="C690" s="1" t="s">
        <v>143</v>
      </c>
      <c r="D690" s="1">
        <v>955.03</v>
      </c>
      <c r="E690" s="1">
        <v>-243.05</v>
      </c>
      <c r="F690" s="1">
        <v>0</v>
      </c>
      <c r="G690" s="1">
        <v>-1607.0250000000001</v>
      </c>
      <c r="H690" s="1">
        <v>5730.1840000000002</v>
      </c>
      <c r="I690" s="1">
        <v>-6529.4380000000001</v>
      </c>
    </row>
    <row r="691" spans="1:9" hidden="1" x14ac:dyDescent="0.25">
      <c r="A691" s="1" t="s">
        <v>127</v>
      </c>
      <c r="B691" s="1" t="s">
        <v>227</v>
      </c>
      <c r="C691" s="1" t="s">
        <v>3</v>
      </c>
      <c r="D691" s="1">
        <v>984.11</v>
      </c>
      <c r="E691" s="1">
        <v>-243.05</v>
      </c>
      <c r="F691" s="1">
        <v>0</v>
      </c>
      <c r="G691" s="1">
        <v>-1607.0250000000001</v>
      </c>
      <c r="H691" s="1">
        <v>5904.6329999999998</v>
      </c>
      <c r="I691" s="1">
        <v>-7436.1239999999998</v>
      </c>
    </row>
    <row r="692" spans="1:9" hidden="1" x14ac:dyDescent="0.25">
      <c r="A692" s="1" t="s">
        <v>127</v>
      </c>
      <c r="B692" s="1" t="s">
        <v>228</v>
      </c>
      <c r="C692" s="1" t="s">
        <v>143</v>
      </c>
      <c r="D692" s="1">
        <v>890.68</v>
      </c>
      <c r="E692" s="1">
        <v>243.05</v>
      </c>
      <c r="F692" s="1">
        <v>0</v>
      </c>
      <c r="G692" s="1">
        <v>1607.0250000000001</v>
      </c>
      <c r="H692" s="1">
        <v>5344.06</v>
      </c>
      <c r="I692" s="1">
        <v>-4544.8059999999996</v>
      </c>
    </row>
    <row r="693" spans="1:9" hidden="1" x14ac:dyDescent="0.25">
      <c r="A693" s="1" t="s">
        <v>127</v>
      </c>
      <c r="B693" s="1" t="s">
        <v>228</v>
      </c>
      <c r="C693" s="1" t="s">
        <v>3</v>
      </c>
      <c r="D693" s="1">
        <v>917.65</v>
      </c>
      <c r="E693" s="1">
        <v>243.05</v>
      </c>
      <c r="F693" s="1">
        <v>0</v>
      </c>
      <c r="G693" s="1">
        <v>1607.0250000000001</v>
      </c>
      <c r="H693" s="1">
        <v>5505.8980000000001</v>
      </c>
      <c r="I693" s="1">
        <v>-3974.4059999999999</v>
      </c>
    </row>
    <row r="694" spans="1:9" hidden="1" x14ac:dyDescent="0.25">
      <c r="A694" s="1" t="s">
        <v>127</v>
      </c>
      <c r="B694" s="1" t="s">
        <v>229</v>
      </c>
      <c r="C694" s="1" t="s">
        <v>143</v>
      </c>
      <c r="D694" s="1">
        <v>890.68</v>
      </c>
      <c r="E694" s="1">
        <v>-243.05</v>
      </c>
      <c r="F694" s="1">
        <v>0</v>
      </c>
      <c r="G694" s="1">
        <v>-1607.0250000000001</v>
      </c>
      <c r="H694" s="1">
        <v>5344.06</v>
      </c>
      <c r="I694" s="1">
        <v>-6143.3140000000003</v>
      </c>
    </row>
    <row r="695" spans="1:9" hidden="1" x14ac:dyDescent="0.25">
      <c r="A695" s="1" t="s">
        <v>127</v>
      </c>
      <c r="B695" s="1" t="s">
        <v>229</v>
      </c>
      <c r="C695" s="1" t="s">
        <v>3</v>
      </c>
      <c r="D695" s="1">
        <v>917.65</v>
      </c>
      <c r="E695" s="1">
        <v>-243.05</v>
      </c>
      <c r="F695" s="1">
        <v>0</v>
      </c>
      <c r="G695" s="1">
        <v>-1607.0250000000001</v>
      </c>
      <c r="H695" s="1">
        <v>5505.8980000000001</v>
      </c>
      <c r="I695" s="1">
        <v>-7037.39</v>
      </c>
    </row>
    <row r="696" spans="1:9" hidden="1" x14ac:dyDescent="0.25">
      <c r="A696" s="1" t="s">
        <v>127</v>
      </c>
      <c r="B696" s="1" t="s">
        <v>230</v>
      </c>
      <c r="C696" s="1" t="s">
        <v>143</v>
      </c>
      <c r="D696" s="1">
        <v>955.03</v>
      </c>
      <c r="E696" s="1">
        <v>0</v>
      </c>
      <c r="F696" s="1">
        <v>222.8</v>
      </c>
      <c r="G696" s="1">
        <v>1473.106</v>
      </c>
      <c r="H696" s="1">
        <v>6462.8329999999996</v>
      </c>
      <c r="I696" s="1">
        <v>-5730.1840000000002</v>
      </c>
    </row>
    <row r="697" spans="1:9" hidden="1" x14ac:dyDescent="0.25">
      <c r="A697" s="1" t="s">
        <v>127</v>
      </c>
      <c r="B697" s="1" t="s">
        <v>230</v>
      </c>
      <c r="C697" s="1" t="s">
        <v>3</v>
      </c>
      <c r="D697" s="1">
        <v>984.11</v>
      </c>
      <c r="E697" s="1">
        <v>0</v>
      </c>
      <c r="F697" s="1">
        <v>222.8</v>
      </c>
      <c r="G697" s="1">
        <v>1473.106</v>
      </c>
      <c r="H697" s="1">
        <v>7308.5</v>
      </c>
      <c r="I697" s="1">
        <v>-5904.6329999999998</v>
      </c>
    </row>
    <row r="698" spans="1:9" hidden="1" x14ac:dyDescent="0.25">
      <c r="A698" s="1" t="s">
        <v>127</v>
      </c>
      <c r="B698" s="1" t="s">
        <v>231</v>
      </c>
      <c r="C698" s="1" t="s">
        <v>143</v>
      </c>
      <c r="D698" s="1">
        <v>955.03</v>
      </c>
      <c r="E698" s="1">
        <v>0</v>
      </c>
      <c r="F698" s="1">
        <v>-222.8</v>
      </c>
      <c r="G698" s="1">
        <v>-1473.106</v>
      </c>
      <c r="H698" s="1">
        <v>4997.5339999999997</v>
      </c>
      <c r="I698" s="1">
        <v>-5730.1840000000002</v>
      </c>
    </row>
    <row r="699" spans="1:9" hidden="1" x14ac:dyDescent="0.25">
      <c r="A699" s="1" t="s">
        <v>127</v>
      </c>
      <c r="B699" s="1" t="s">
        <v>231</v>
      </c>
      <c r="C699" s="1" t="s">
        <v>3</v>
      </c>
      <c r="D699" s="1">
        <v>984.11</v>
      </c>
      <c r="E699" s="1">
        <v>0</v>
      </c>
      <c r="F699" s="1">
        <v>-222.8</v>
      </c>
      <c r="G699" s="1">
        <v>-1473.106</v>
      </c>
      <c r="H699" s="1">
        <v>4500.7650000000003</v>
      </c>
      <c r="I699" s="1">
        <v>-5904.6329999999998</v>
      </c>
    </row>
    <row r="700" spans="1:9" hidden="1" x14ac:dyDescent="0.25">
      <c r="A700" s="1" t="s">
        <v>127</v>
      </c>
      <c r="B700" s="1" t="s">
        <v>232</v>
      </c>
      <c r="C700" s="1" t="s">
        <v>143</v>
      </c>
      <c r="D700" s="1">
        <v>890.68</v>
      </c>
      <c r="E700" s="1">
        <v>0</v>
      </c>
      <c r="F700" s="1">
        <v>222.8</v>
      </c>
      <c r="G700" s="1">
        <v>1473.106</v>
      </c>
      <c r="H700" s="1">
        <v>6076.7089999999998</v>
      </c>
      <c r="I700" s="1">
        <v>-5344.06</v>
      </c>
    </row>
    <row r="701" spans="1:9" hidden="1" x14ac:dyDescent="0.25">
      <c r="A701" s="1" t="s">
        <v>127</v>
      </c>
      <c r="B701" s="1" t="s">
        <v>232</v>
      </c>
      <c r="C701" s="1" t="s">
        <v>3</v>
      </c>
      <c r="D701" s="1">
        <v>917.65</v>
      </c>
      <c r="E701" s="1">
        <v>0</v>
      </c>
      <c r="F701" s="1">
        <v>222.8</v>
      </c>
      <c r="G701" s="1">
        <v>1473.106</v>
      </c>
      <c r="H701" s="1">
        <v>6909.7650000000003</v>
      </c>
      <c r="I701" s="1">
        <v>-5505.8980000000001</v>
      </c>
    </row>
    <row r="702" spans="1:9" hidden="1" x14ac:dyDescent="0.25">
      <c r="A702" s="1" t="s">
        <v>127</v>
      </c>
      <c r="B702" s="1" t="s">
        <v>233</v>
      </c>
      <c r="C702" s="1" t="s">
        <v>143</v>
      </c>
      <c r="D702" s="1">
        <v>890.68</v>
      </c>
      <c r="E702" s="1">
        <v>0</v>
      </c>
      <c r="F702" s="1">
        <v>-222.8</v>
      </c>
      <c r="G702" s="1">
        <v>-1473.106</v>
      </c>
      <c r="H702" s="1">
        <v>4611.41</v>
      </c>
      <c r="I702" s="1">
        <v>-5344.06</v>
      </c>
    </row>
    <row r="703" spans="1:9" hidden="1" x14ac:dyDescent="0.25">
      <c r="A703" s="1" t="s">
        <v>127</v>
      </c>
      <c r="B703" s="1" t="s">
        <v>233</v>
      </c>
      <c r="C703" s="1" t="s">
        <v>3</v>
      </c>
      <c r="D703" s="1">
        <v>917.65</v>
      </c>
      <c r="E703" s="1">
        <v>0</v>
      </c>
      <c r="F703" s="1">
        <v>-222.8</v>
      </c>
      <c r="G703" s="1">
        <v>-1473.106</v>
      </c>
      <c r="H703" s="1">
        <v>4102.03</v>
      </c>
      <c r="I703" s="1">
        <v>-5505.8980000000001</v>
      </c>
    </row>
    <row r="704" spans="1:9" hidden="1" x14ac:dyDescent="0.25">
      <c r="A704" s="1" t="s">
        <v>127</v>
      </c>
      <c r="B704" s="1" t="s">
        <v>234</v>
      </c>
      <c r="C704" s="1" t="s">
        <v>143</v>
      </c>
      <c r="D704" s="1">
        <v>1030.1099999999999</v>
      </c>
      <c r="E704" s="1">
        <v>72.91</v>
      </c>
      <c r="F704" s="1">
        <v>0</v>
      </c>
      <c r="G704" s="1">
        <v>482.108</v>
      </c>
      <c r="H704" s="1">
        <v>6180.6620000000003</v>
      </c>
      <c r="I704" s="1">
        <v>-5940.8860000000004</v>
      </c>
    </row>
    <row r="705" spans="1:9" hidden="1" x14ac:dyDescent="0.25">
      <c r="A705" s="1" t="s">
        <v>127</v>
      </c>
      <c r="B705" s="1" t="s">
        <v>234</v>
      </c>
      <c r="C705" s="1" t="s">
        <v>3</v>
      </c>
      <c r="D705" s="1">
        <v>1061.6400000000001</v>
      </c>
      <c r="E705" s="1">
        <v>72.91</v>
      </c>
      <c r="F705" s="1">
        <v>0</v>
      </c>
      <c r="G705" s="1">
        <v>482.108</v>
      </c>
      <c r="H705" s="1">
        <v>6369.8230000000003</v>
      </c>
      <c r="I705" s="1">
        <v>-5910.3760000000002</v>
      </c>
    </row>
    <row r="706" spans="1:9" hidden="1" x14ac:dyDescent="0.25">
      <c r="A706" s="1" t="s">
        <v>127</v>
      </c>
      <c r="B706" s="1" t="s">
        <v>235</v>
      </c>
      <c r="C706" s="1" t="s">
        <v>143</v>
      </c>
      <c r="D706" s="1">
        <v>1030.1099999999999</v>
      </c>
      <c r="E706" s="1">
        <v>-72.91</v>
      </c>
      <c r="F706" s="1">
        <v>0</v>
      </c>
      <c r="G706" s="1">
        <v>-482.108</v>
      </c>
      <c r="H706" s="1">
        <v>6180.6620000000003</v>
      </c>
      <c r="I706" s="1">
        <v>-6420.4380000000001</v>
      </c>
    </row>
    <row r="707" spans="1:9" hidden="1" x14ac:dyDescent="0.25">
      <c r="A707" s="1" t="s">
        <v>127</v>
      </c>
      <c r="B707" s="1" t="s">
        <v>235</v>
      </c>
      <c r="C707" s="1" t="s">
        <v>3</v>
      </c>
      <c r="D707" s="1">
        <v>1061.6400000000001</v>
      </c>
      <c r="E707" s="1">
        <v>-72.91</v>
      </c>
      <c r="F707" s="1">
        <v>0</v>
      </c>
      <c r="G707" s="1">
        <v>-482.108</v>
      </c>
      <c r="H707" s="1">
        <v>6369.8230000000003</v>
      </c>
      <c r="I707" s="1">
        <v>-6829.2709999999997</v>
      </c>
    </row>
    <row r="708" spans="1:9" hidden="1" x14ac:dyDescent="0.25">
      <c r="A708" s="1" t="s">
        <v>127</v>
      </c>
      <c r="B708" s="1" t="s">
        <v>236</v>
      </c>
      <c r="C708" s="1" t="s">
        <v>143</v>
      </c>
      <c r="D708" s="1">
        <v>815.6</v>
      </c>
      <c r="E708" s="1">
        <v>72.91</v>
      </c>
      <c r="F708" s="1">
        <v>0</v>
      </c>
      <c r="G708" s="1">
        <v>482.108</v>
      </c>
      <c r="H708" s="1">
        <v>4893.5810000000001</v>
      </c>
      <c r="I708" s="1">
        <v>-4653.8050000000003</v>
      </c>
    </row>
    <row r="709" spans="1:9" hidden="1" x14ac:dyDescent="0.25">
      <c r="A709" s="1" t="s">
        <v>127</v>
      </c>
      <c r="B709" s="1" t="s">
        <v>236</v>
      </c>
      <c r="C709" s="1" t="s">
        <v>3</v>
      </c>
      <c r="D709" s="1">
        <v>840.12</v>
      </c>
      <c r="E709" s="1">
        <v>72.91</v>
      </c>
      <c r="F709" s="1">
        <v>0</v>
      </c>
      <c r="G709" s="1">
        <v>482.108</v>
      </c>
      <c r="H709" s="1">
        <v>5040.7070000000003</v>
      </c>
      <c r="I709" s="1">
        <v>-4581.26</v>
      </c>
    </row>
    <row r="710" spans="1:9" hidden="1" x14ac:dyDescent="0.25">
      <c r="A710" s="1" t="s">
        <v>127</v>
      </c>
      <c r="B710" s="1" t="s">
        <v>237</v>
      </c>
      <c r="C710" s="1" t="s">
        <v>143</v>
      </c>
      <c r="D710" s="1">
        <v>815.6</v>
      </c>
      <c r="E710" s="1">
        <v>-72.91</v>
      </c>
      <c r="F710" s="1">
        <v>0</v>
      </c>
      <c r="G710" s="1">
        <v>-482.108</v>
      </c>
      <c r="H710" s="1">
        <v>4893.5810000000001</v>
      </c>
      <c r="I710" s="1">
        <v>-5133.3580000000002</v>
      </c>
    </row>
    <row r="711" spans="1:9" hidden="1" x14ac:dyDescent="0.25">
      <c r="A711" s="1" t="s">
        <v>127</v>
      </c>
      <c r="B711" s="1" t="s">
        <v>237</v>
      </c>
      <c r="C711" s="1" t="s">
        <v>3</v>
      </c>
      <c r="D711" s="1">
        <v>840.12</v>
      </c>
      <c r="E711" s="1">
        <v>-72.91</v>
      </c>
      <c r="F711" s="1">
        <v>0</v>
      </c>
      <c r="G711" s="1">
        <v>-482.108</v>
      </c>
      <c r="H711" s="1">
        <v>5040.7070000000003</v>
      </c>
      <c r="I711" s="1">
        <v>-5500.1549999999997</v>
      </c>
    </row>
    <row r="712" spans="1:9" hidden="1" x14ac:dyDescent="0.25">
      <c r="A712" s="1" t="s">
        <v>127</v>
      </c>
      <c r="B712" s="1" t="s">
        <v>238</v>
      </c>
      <c r="C712" s="1" t="s">
        <v>143</v>
      </c>
      <c r="D712" s="1">
        <v>1030.1099999999999</v>
      </c>
      <c r="E712" s="1">
        <v>0</v>
      </c>
      <c r="F712" s="1">
        <v>66.84</v>
      </c>
      <c r="G712" s="1">
        <v>441.93200000000002</v>
      </c>
      <c r="H712" s="1">
        <v>6400.4570000000003</v>
      </c>
      <c r="I712" s="1">
        <v>-6180.6620000000003</v>
      </c>
    </row>
    <row r="713" spans="1:9" hidden="1" x14ac:dyDescent="0.25">
      <c r="A713" s="1" t="s">
        <v>127</v>
      </c>
      <c r="B713" s="1" t="s">
        <v>238</v>
      </c>
      <c r="C713" s="1" t="s">
        <v>3</v>
      </c>
      <c r="D713" s="1">
        <v>1061.6400000000001</v>
      </c>
      <c r="E713" s="1">
        <v>0</v>
      </c>
      <c r="F713" s="1">
        <v>66.84</v>
      </c>
      <c r="G713" s="1">
        <v>441.93200000000002</v>
      </c>
      <c r="H713" s="1">
        <v>6790.9840000000004</v>
      </c>
      <c r="I713" s="1">
        <v>-6369.8230000000003</v>
      </c>
    </row>
    <row r="714" spans="1:9" hidden="1" x14ac:dyDescent="0.25">
      <c r="A714" s="1" t="s">
        <v>127</v>
      </c>
      <c r="B714" s="1" t="s">
        <v>239</v>
      </c>
      <c r="C714" s="1" t="s">
        <v>143</v>
      </c>
      <c r="D714" s="1">
        <v>1030.1099999999999</v>
      </c>
      <c r="E714" s="1">
        <v>0</v>
      </c>
      <c r="F714" s="1">
        <v>-66.84</v>
      </c>
      <c r="G714" s="1">
        <v>-441.93200000000002</v>
      </c>
      <c r="H714" s="1">
        <v>5960.8670000000002</v>
      </c>
      <c r="I714" s="1">
        <v>-6180.6620000000003</v>
      </c>
    </row>
    <row r="715" spans="1:9" hidden="1" x14ac:dyDescent="0.25">
      <c r="A715" s="1" t="s">
        <v>127</v>
      </c>
      <c r="B715" s="1" t="s">
        <v>239</v>
      </c>
      <c r="C715" s="1" t="s">
        <v>3</v>
      </c>
      <c r="D715" s="1">
        <v>1061.6400000000001</v>
      </c>
      <c r="E715" s="1">
        <v>0</v>
      </c>
      <c r="F715" s="1">
        <v>-66.84</v>
      </c>
      <c r="G715" s="1">
        <v>-441.93200000000002</v>
      </c>
      <c r="H715" s="1">
        <v>5948.6629999999996</v>
      </c>
      <c r="I715" s="1">
        <v>-6369.8230000000003</v>
      </c>
    </row>
    <row r="716" spans="1:9" hidden="1" x14ac:dyDescent="0.25">
      <c r="A716" s="1" t="s">
        <v>127</v>
      </c>
      <c r="B716" s="1" t="s">
        <v>240</v>
      </c>
      <c r="C716" s="1" t="s">
        <v>143</v>
      </c>
      <c r="D716" s="1">
        <v>815.6</v>
      </c>
      <c r="E716" s="1">
        <v>0</v>
      </c>
      <c r="F716" s="1">
        <v>66.84</v>
      </c>
      <c r="G716" s="1">
        <v>441.93200000000002</v>
      </c>
      <c r="H716" s="1">
        <v>5113.3760000000002</v>
      </c>
      <c r="I716" s="1">
        <v>-4893.5810000000001</v>
      </c>
    </row>
    <row r="717" spans="1:9" hidden="1" x14ac:dyDescent="0.25">
      <c r="A717" s="1" t="s">
        <v>127</v>
      </c>
      <c r="B717" s="1" t="s">
        <v>240</v>
      </c>
      <c r="C717" s="1" t="s">
        <v>3</v>
      </c>
      <c r="D717" s="1">
        <v>840.12</v>
      </c>
      <c r="E717" s="1">
        <v>0</v>
      </c>
      <c r="F717" s="1">
        <v>66.84</v>
      </c>
      <c r="G717" s="1">
        <v>441.93200000000002</v>
      </c>
      <c r="H717" s="1">
        <v>5461.8670000000002</v>
      </c>
      <c r="I717" s="1">
        <v>-5040.7070000000003</v>
      </c>
    </row>
    <row r="718" spans="1:9" hidden="1" x14ac:dyDescent="0.25">
      <c r="A718" s="1" t="s">
        <v>127</v>
      </c>
      <c r="B718" s="1" t="s">
        <v>241</v>
      </c>
      <c r="C718" s="1" t="s">
        <v>143</v>
      </c>
      <c r="D718" s="1">
        <v>815.6</v>
      </c>
      <c r="E718" s="1">
        <v>0</v>
      </c>
      <c r="F718" s="1">
        <v>-66.84</v>
      </c>
      <c r="G718" s="1">
        <v>-441.93200000000002</v>
      </c>
      <c r="H718" s="1">
        <v>4673.7870000000003</v>
      </c>
      <c r="I718" s="1">
        <v>-4893.5810000000001</v>
      </c>
    </row>
    <row r="719" spans="1:9" hidden="1" x14ac:dyDescent="0.25">
      <c r="A719" s="1" t="s">
        <v>127</v>
      </c>
      <c r="B719" s="1" t="s">
        <v>241</v>
      </c>
      <c r="C719" s="1" t="s">
        <v>3</v>
      </c>
      <c r="D719" s="1">
        <v>840.12</v>
      </c>
      <c r="E719" s="1">
        <v>0</v>
      </c>
      <c r="F719" s="1">
        <v>-66.84</v>
      </c>
      <c r="G719" s="1">
        <v>-441.93200000000002</v>
      </c>
      <c r="H719" s="1">
        <v>4619.5469999999996</v>
      </c>
      <c r="I719" s="1">
        <v>-5040.7070000000003</v>
      </c>
    </row>
    <row r="720" spans="1:9" hidden="1" x14ac:dyDescent="0.25">
      <c r="A720" s="1" t="s">
        <v>127</v>
      </c>
      <c r="B720" s="1" t="s">
        <v>242</v>
      </c>
      <c r="C720" s="1" t="s">
        <v>143</v>
      </c>
      <c r="D720" s="1">
        <v>675.72</v>
      </c>
      <c r="E720" s="1">
        <v>243.05</v>
      </c>
      <c r="F720" s="1">
        <v>0</v>
      </c>
      <c r="G720" s="1">
        <v>1607.0250000000001</v>
      </c>
      <c r="H720" s="1">
        <v>4054.3029999999999</v>
      </c>
      <c r="I720" s="1">
        <v>-3255.049</v>
      </c>
    </row>
    <row r="721" spans="1:9" hidden="1" x14ac:dyDescent="0.25">
      <c r="A721" s="1" t="s">
        <v>127</v>
      </c>
      <c r="B721" s="1" t="s">
        <v>242</v>
      </c>
      <c r="C721" s="1" t="s">
        <v>3</v>
      </c>
      <c r="D721" s="1">
        <v>697.79</v>
      </c>
      <c r="E721" s="1">
        <v>243.05</v>
      </c>
      <c r="F721" s="1">
        <v>0</v>
      </c>
      <c r="G721" s="1">
        <v>1607.0250000000001</v>
      </c>
      <c r="H721" s="1">
        <v>4186.7160000000003</v>
      </c>
      <c r="I721" s="1">
        <v>-2655.2249999999999</v>
      </c>
    </row>
    <row r="722" spans="1:9" hidden="1" x14ac:dyDescent="0.25">
      <c r="A722" s="1" t="s">
        <v>127</v>
      </c>
      <c r="B722" s="1" t="s">
        <v>243</v>
      </c>
      <c r="C722" s="1" t="s">
        <v>143</v>
      </c>
      <c r="D722" s="1">
        <v>675.72</v>
      </c>
      <c r="E722" s="1">
        <v>-243.05</v>
      </c>
      <c r="F722" s="1">
        <v>0</v>
      </c>
      <c r="G722" s="1">
        <v>-1607.0250000000001</v>
      </c>
      <c r="H722" s="1">
        <v>4054.3029999999999</v>
      </c>
      <c r="I722" s="1">
        <v>-4853.5569999999998</v>
      </c>
    </row>
    <row r="723" spans="1:9" hidden="1" x14ac:dyDescent="0.25">
      <c r="A723" s="1" t="s">
        <v>127</v>
      </c>
      <c r="B723" s="1" t="s">
        <v>243</v>
      </c>
      <c r="C723" s="1" t="s">
        <v>3</v>
      </c>
      <c r="D723" s="1">
        <v>697.79</v>
      </c>
      <c r="E723" s="1">
        <v>-243.05</v>
      </c>
      <c r="F723" s="1">
        <v>0</v>
      </c>
      <c r="G723" s="1">
        <v>-1607.0250000000001</v>
      </c>
      <c r="H723" s="1">
        <v>4186.7160000000003</v>
      </c>
      <c r="I723" s="1">
        <v>-5718.2079999999996</v>
      </c>
    </row>
    <row r="724" spans="1:9" hidden="1" x14ac:dyDescent="0.25">
      <c r="A724" s="1" t="s">
        <v>127</v>
      </c>
      <c r="B724" s="1" t="s">
        <v>244</v>
      </c>
      <c r="C724" s="1" t="s">
        <v>143</v>
      </c>
      <c r="D724" s="1">
        <v>611.36</v>
      </c>
      <c r="E724" s="1">
        <v>243.05</v>
      </c>
      <c r="F724" s="1">
        <v>0</v>
      </c>
      <c r="G724" s="1">
        <v>1607.0250000000001</v>
      </c>
      <c r="H724" s="1">
        <v>3668.1790000000001</v>
      </c>
      <c r="I724" s="1">
        <v>-2868.9250000000002</v>
      </c>
    </row>
    <row r="725" spans="1:9" hidden="1" x14ac:dyDescent="0.25">
      <c r="A725" s="1" t="s">
        <v>127</v>
      </c>
      <c r="B725" s="1" t="s">
        <v>244</v>
      </c>
      <c r="C725" s="1" t="s">
        <v>3</v>
      </c>
      <c r="D725" s="1">
        <v>631.33000000000004</v>
      </c>
      <c r="E725" s="1">
        <v>243.05</v>
      </c>
      <c r="F725" s="1">
        <v>0</v>
      </c>
      <c r="G725" s="1">
        <v>1607.0250000000001</v>
      </c>
      <c r="H725" s="1">
        <v>3787.9810000000002</v>
      </c>
      <c r="I725" s="1">
        <v>-2256.4899999999998</v>
      </c>
    </row>
    <row r="726" spans="1:9" hidden="1" x14ac:dyDescent="0.25">
      <c r="A726" s="1" t="s">
        <v>127</v>
      </c>
      <c r="B726" s="1" t="s">
        <v>245</v>
      </c>
      <c r="C726" s="1" t="s">
        <v>143</v>
      </c>
      <c r="D726" s="1">
        <v>611.36</v>
      </c>
      <c r="E726" s="1">
        <v>-243.05</v>
      </c>
      <c r="F726" s="1">
        <v>0</v>
      </c>
      <c r="G726" s="1">
        <v>-1607.0250000000001</v>
      </c>
      <c r="H726" s="1">
        <v>3668.1790000000001</v>
      </c>
      <c r="I726" s="1">
        <v>-4467.433</v>
      </c>
    </row>
    <row r="727" spans="1:9" hidden="1" x14ac:dyDescent="0.25">
      <c r="A727" s="1" t="s">
        <v>127</v>
      </c>
      <c r="B727" s="1" t="s">
        <v>245</v>
      </c>
      <c r="C727" s="1" t="s">
        <v>3</v>
      </c>
      <c r="D727" s="1">
        <v>631.33000000000004</v>
      </c>
      <c r="E727" s="1">
        <v>-243.05</v>
      </c>
      <c r="F727" s="1">
        <v>0</v>
      </c>
      <c r="G727" s="1">
        <v>-1607.0250000000001</v>
      </c>
      <c r="H727" s="1">
        <v>3787.9810000000002</v>
      </c>
      <c r="I727" s="1">
        <v>-5319.473</v>
      </c>
    </row>
    <row r="728" spans="1:9" hidden="1" x14ac:dyDescent="0.25">
      <c r="A728" s="1" t="s">
        <v>127</v>
      </c>
      <c r="B728" s="1" t="s">
        <v>246</v>
      </c>
      <c r="C728" s="1" t="s">
        <v>143</v>
      </c>
      <c r="D728" s="1">
        <v>675.72</v>
      </c>
      <c r="E728" s="1">
        <v>0</v>
      </c>
      <c r="F728" s="1">
        <v>222.8</v>
      </c>
      <c r="G728" s="1">
        <v>1473.106</v>
      </c>
      <c r="H728" s="1">
        <v>4786.9530000000004</v>
      </c>
      <c r="I728" s="1">
        <v>-4054.3029999999999</v>
      </c>
    </row>
    <row r="729" spans="1:9" hidden="1" x14ac:dyDescent="0.25">
      <c r="A729" s="1" t="s">
        <v>127</v>
      </c>
      <c r="B729" s="1" t="s">
        <v>246</v>
      </c>
      <c r="C729" s="1" t="s">
        <v>3</v>
      </c>
      <c r="D729" s="1">
        <v>697.79</v>
      </c>
      <c r="E729" s="1">
        <v>0</v>
      </c>
      <c r="F729" s="1">
        <v>222.8</v>
      </c>
      <c r="G729" s="1">
        <v>1473.106</v>
      </c>
      <c r="H729" s="1">
        <v>5590.5839999999998</v>
      </c>
      <c r="I729" s="1">
        <v>-4186.7160000000003</v>
      </c>
    </row>
    <row r="730" spans="1:9" hidden="1" x14ac:dyDescent="0.25">
      <c r="A730" s="1" t="s">
        <v>127</v>
      </c>
      <c r="B730" s="1" t="s">
        <v>247</v>
      </c>
      <c r="C730" s="1" t="s">
        <v>143</v>
      </c>
      <c r="D730" s="1">
        <v>675.72</v>
      </c>
      <c r="E730" s="1">
        <v>0</v>
      </c>
      <c r="F730" s="1">
        <v>-222.8</v>
      </c>
      <c r="G730" s="1">
        <v>-1473.106</v>
      </c>
      <c r="H730" s="1">
        <v>3321.654</v>
      </c>
      <c r="I730" s="1">
        <v>-4054.3029999999999</v>
      </c>
    </row>
    <row r="731" spans="1:9" hidden="1" x14ac:dyDescent="0.25">
      <c r="A731" s="1" t="s">
        <v>127</v>
      </c>
      <c r="B731" s="1" t="s">
        <v>247</v>
      </c>
      <c r="C731" s="1" t="s">
        <v>3</v>
      </c>
      <c r="D731" s="1">
        <v>697.79</v>
      </c>
      <c r="E731" s="1">
        <v>0</v>
      </c>
      <c r="F731" s="1">
        <v>-222.8</v>
      </c>
      <c r="G731" s="1">
        <v>-1473.106</v>
      </c>
      <c r="H731" s="1">
        <v>2782.8490000000002</v>
      </c>
      <c r="I731" s="1">
        <v>-4186.7160000000003</v>
      </c>
    </row>
    <row r="732" spans="1:9" hidden="1" x14ac:dyDescent="0.25">
      <c r="A732" s="1" t="s">
        <v>127</v>
      </c>
      <c r="B732" s="1" t="s">
        <v>248</v>
      </c>
      <c r="C732" s="1" t="s">
        <v>143</v>
      </c>
      <c r="D732" s="1">
        <v>611.36</v>
      </c>
      <c r="E732" s="1">
        <v>0</v>
      </c>
      <c r="F732" s="1">
        <v>222.8</v>
      </c>
      <c r="G732" s="1">
        <v>1473.106</v>
      </c>
      <c r="H732" s="1">
        <v>4400.8289999999997</v>
      </c>
      <c r="I732" s="1">
        <v>-3668.1790000000001</v>
      </c>
    </row>
    <row r="733" spans="1:9" hidden="1" x14ac:dyDescent="0.25">
      <c r="A733" s="1" t="s">
        <v>127</v>
      </c>
      <c r="B733" s="1" t="s">
        <v>248</v>
      </c>
      <c r="C733" s="1" t="s">
        <v>3</v>
      </c>
      <c r="D733" s="1">
        <v>631.33000000000004</v>
      </c>
      <c r="E733" s="1">
        <v>0</v>
      </c>
      <c r="F733" s="1">
        <v>222.8</v>
      </c>
      <c r="G733" s="1">
        <v>1473.106</v>
      </c>
      <c r="H733" s="1">
        <v>5191.8490000000002</v>
      </c>
      <c r="I733" s="1">
        <v>-3787.9810000000002</v>
      </c>
    </row>
    <row r="734" spans="1:9" hidden="1" x14ac:dyDescent="0.25">
      <c r="A734" s="1" t="s">
        <v>127</v>
      </c>
      <c r="B734" s="1" t="s">
        <v>249</v>
      </c>
      <c r="C734" s="1" t="s">
        <v>143</v>
      </c>
      <c r="D734" s="1">
        <v>611.36</v>
      </c>
      <c r="E734" s="1">
        <v>0</v>
      </c>
      <c r="F734" s="1">
        <v>-222.8</v>
      </c>
      <c r="G734" s="1">
        <v>-1473.106</v>
      </c>
      <c r="H734" s="1">
        <v>2935.53</v>
      </c>
      <c r="I734" s="1">
        <v>-3668.1790000000001</v>
      </c>
    </row>
    <row r="735" spans="1:9" hidden="1" x14ac:dyDescent="0.25">
      <c r="A735" s="1" t="s">
        <v>127</v>
      </c>
      <c r="B735" s="1" t="s">
        <v>249</v>
      </c>
      <c r="C735" s="1" t="s">
        <v>3</v>
      </c>
      <c r="D735" s="1">
        <v>631.33000000000004</v>
      </c>
      <c r="E735" s="1">
        <v>0</v>
      </c>
      <c r="F735" s="1">
        <v>-222.8</v>
      </c>
      <c r="G735" s="1">
        <v>-1473.106</v>
      </c>
      <c r="H735" s="1">
        <v>2384.114</v>
      </c>
      <c r="I735" s="1">
        <v>-3787.9810000000002</v>
      </c>
    </row>
    <row r="736" spans="1:9" hidden="1" x14ac:dyDescent="0.25">
      <c r="A736" s="1" t="s">
        <v>127</v>
      </c>
      <c r="B736" s="1" t="s">
        <v>250</v>
      </c>
      <c r="C736" s="1" t="s">
        <v>143</v>
      </c>
      <c r="D736" s="1">
        <v>750.8</v>
      </c>
      <c r="E736" s="1">
        <v>72.91</v>
      </c>
      <c r="F736" s="1">
        <v>0</v>
      </c>
      <c r="G736" s="1">
        <v>482.108</v>
      </c>
      <c r="H736" s="1">
        <v>4504.7809999999999</v>
      </c>
      <c r="I736" s="1">
        <v>-4265.0050000000001</v>
      </c>
    </row>
    <row r="737" spans="1:9" hidden="1" x14ac:dyDescent="0.25">
      <c r="A737" s="1" t="s">
        <v>127</v>
      </c>
      <c r="B737" s="1" t="s">
        <v>250</v>
      </c>
      <c r="C737" s="1" t="s">
        <v>3</v>
      </c>
      <c r="D737" s="1">
        <v>775.32</v>
      </c>
      <c r="E737" s="1">
        <v>72.91</v>
      </c>
      <c r="F737" s="1">
        <v>0</v>
      </c>
      <c r="G737" s="1">
        <v>482.108</v>
      </c>
      <c r="H737" s="1">
        <v>4651.9070000000002</v>
      </c>
      <c r="I737" s="1">
        <v>-4192.46</v>
      </c>
    </row>
    <row r="738" spans="1:9" hidden="1" x14ac:dyDescent="0.25">
      <c r="A738" s="1" t="s">
        <v>127</v>
      </c>
      <c r="B738" s="1" t="s">
        <v>251</v>
      </c>
      <c r="C738" s="1" t="s">
        <v>143</v>
      </c>
      <c r="D738" s="1">
        <v>750.8</v>
      </c>
      <c r="E738" s="1">
        <v>-72.91</v>
      </c>
      <c r="F738" s="1">
        <v>0</v>
      </c>
      <c r="G738" s="1">
        <v>-482.108</v>
      </c>
      <c r="H738" s="1">
        <v>4504.7809999999999</v>
      </c>
      <c r="I738" s="1">
        <v>-4744.558</v>
      </c>
    </row>
    <row r="739" spans="1:9" hidden="1" x14ac:dyDescent="0.25">
      <c r="A739" s="1" t="s">
        <v>127</v>
      </c>
      <c r="B739" s="1" t="s">
        <v>251</v>
      </c>
      <c r="C739" s="1" t="s">
        <v>3</v>
      </c>
      <c r="D739" s="1">
        <v>775.32</v>
      </c>
      <c r="E739" s="1">
        <v>-72.91</v>
      </c>
      <c r="F739" s="1">
        <v>0</v>
      </c>
      <c r="G739" s="1">
        <v>-482.108</v>
      </c>
      <c r="H739" s="1">
        <v>4651.9070000000002</v>
      </c>
      <c r="I739" s="1">
        <v>-5111.3549999999996</v>
      </c>
    </row>
    <row r="740" spans="1:9" hidden="1" x14ac:dyDescent="0.25">
      <c r="A740" s="1" t="s">
        <v>127</v>
      </c>
      <c r="B740" s="1" t="s">
        <v>252</v>
      </c>
      <c r="C740" s="1" t="s">
        <v>143</v>
      </c>
      <c r="D740" s="1">
        <v>536.28</v>
      </c>
      <c r="E740" s="1">
        <v>72.91</v>
      </c>
      <c r="F740" s="1">
        <v>0</v>
      </c>
      <c r="G740" s="1">
        <v>482.108</v>
      </c>
      <c r="H740" s="1">
        <v>3217.701</v>
      </c>
      <c r="I740" s="1">
        <v>-2977.9250000000002</v>
      </c>
    </row>
    <row r="741" spans="1:9" hidden="1" x14ac:dyDescent="0.25">
      <c r="A741" s="1" t="s">
        <v>127</v>
      </c>
      <c r="B741" s="1" t="s">
        <v>252</v>
      </c>
      <c r="C741" s="1" t="s">
        <v>3</v>
      </c>
      <c r="D741" s="1">
        <v>553.79999999999995</v>
      </c>
      <c r="E741" s="1">
        <v>72.91</v>
      </c>
      <c r="F741" s="1">
        <v>0</v>
      </c>
      <c r="G741" s="1">
        <v>482.108</v>
      </c>
      <c r="H741" s="1">
        <v>3322.7910000000002</v>
      </c>
      <c r="I741" s="1">
        <v>-2863.3429999999998</v>
      </c>
    </row>
    <row r="742" spans="1:9" hidden="1" x14ac:dyDescent="0.25">
      <c r="A742" s="1" t="s">
        <v>127</v>
      </c>
      <c r="B742" s="1" t="s">
        <v>253</v>
      </c>
      <c r="C742" s="1" t="s">
        <v>143</v>
      </c>
      <c r="D742" s="1">
        <v>536.28</v>
      </c>
      <c r="E742" s="1">
        <v>-72.91</v>
      </c>
      <c r="F742" s="1">
        <v>0</v>
      </c>
      <c r="G742" s="1">
        <v>-482.108</v>
      </c>
      <c r="H742" s="1">
        <v>3217.701</v>
      </c>
      <c r="I742" s="1">
        <v>-3457.4769999999999</v>
      </c>
    </row>
    <row r="743" spans="1:9" hidden="1" x14ac:dyDescent="0.25">
      <c r="A743" s="1" t="s">
        <v>127</v>
      </c>
      <c r="B743" s="1" t="s">
        <v>253</v>
      </c>
      <c r="C743" s="1" t="s">
        <v>3</v>
      </c>
      <c r="D743" s="1">
        <v>553.79999999999995</v>
      </c>
      <c r="E743" s="1">
        <v>-72.91</v>
      </c>
      <c r="F743" s="1">
        <v>0</v>
      </c>
      <c r="G743" s="1">
        <v>-482.108</v>
      </c>
      <c r="H743" s="1">
        <v>3322.7910000000002</v>
      </c>
      <c r="I743" s="1">
        <v>-3782.2379999999998</v>
      </c>
    </row>
    <row r="744" spans="1:9" hidden="1" x14ac:dyDescent="0.25">
      <c r="A744" s="1" t="s">
        <v>127</v>
      </c>
      <c r="B744" s="1" t="s">
        <v>254</v>
      </c>
      <c r="C744" s="1" t="s">
        <v>143</v>
      </c>
      <c r="D744" s="1">
        <v>750.8</v>
      </c>
      <c r="E744" s="1">
        <v>0</v>
      </c>
      <c r="F744" s="1">
        <v>66.84</v>
      </c>
      <c r="G744" s="1">
        <v>441.93200000000002</v>
      </c>
      <c r="H744" s="1">
        <v>4724.576</v>
      </c>
      <c r="I744" s="1">
        <v>-4504.7809999999999</v>
      </c>
    </row>
    <row r="745" spans="1:9" hidden="1" x14ac:dyDescent="0.25">
      <c r="A745" s="1" t="s">
        <v>127</v>
      </c>
      <c r="B745" s="1" t="s">
        <v>254</v>
      </c>
      <c r="C745" s="1" t="s">
        <v>3</v>
      </c>
      <c r="D745" s="1">
        <v>775.32</v>
      </c>
      <c r="E745" s="1">
        <v>0</v>
      </c>
      <c r="F745" s="1">
        <v>66.84</v>
      </c>
      <c r="G745" s="1">
        <v>441.93200000000002</v>
      </c>
      <c r="H745" s="1">
        <v>5073.067</v>
      </c>
      <c r="I745" s="1">
        <v>-4651.9070000000002</v>
      </c>
    </row>
    <row r="746" spans="1:9" hidden="1" x14ac:dyDescent="0.25">
      <c r="A746" s="1" t="s">
        <v>127</v>
      </c>
      <c r="B746" s="1" t="s">
        <v>255</v>
      </c>
      <c r="C746" s="1" t="s">
        <v>143</v>
      </c>
      <c r="D746" s="1">
        <v>750.8</v>
      </c>
      <c r="E746" s="1">
        <v>0</v>
      </c>
      <c r="F746" s="1">
        <v>-66.84</v>
      </c>
      <c r="G746" s="1">
        <v>-441.93200000000002</v>
      </c>
      <c r="H746" s="1">
        <v>4284.9870000000001</v>
      </c>
      <c r="I746" s="1">
        <v>-4504.7809999999999</v>
      </c>
    </row>
    <row r="747" spans="1:9" hidden="1" x14ac:dyDescent="0.25">
      <c r="A747" s="1" t="s">
        <v>127</v>
      </c>
      <c r="B747" s="1" t="s">
        <v>255</v>
      </c>
      <c r="C747" s="1" t="s">
        <v>3</v>
      </c>
      <c r="D747" s="1">
        <v>775.32</v>
      </c>
      <c r="E747" s="1">
        <v>0</v>
      </c>
      <c r="F747" s="1">
        <v>-66.84</v>
      </c>
      <c r="G747" s="1">
        <v>-441.93200000000002</v>
      </c>
      <c r="H747" s="1">
        <v>4230.7470000000003</v>
      </c>
      <c r="I747" s="1">
        <v>-4651.9070000000002</v>
      </c>
    </row>
    <row r="748" spans="1:9" hidden="1" x14ac:dyDescent="0.25">
      <c r="A748" s="1" t="s">
        <v>127</v>
      </c>
      <c r="B748" s="1" t="s">
        <v>256</v>
      </c>
      <c r="C748" s="1" t="s">
        <v>143</v>
      </c>
      <c r="D748" s="1">
        <v>536.28</v>
      </c>
      <c r="E748" s="1">
        <v>0</v>
      </c>
      <c r="F748" s="1">
        <v>66.84</v>
      </c>
      <c r="G748" s="1">
        <v>441.93200000000002</v>
      </c>
      <c r="H748" s="1">
        <v>3437.4960000000001</v>
      </c>
      <c r="I748" s="1">
        <v>-3217.701</v>
      </c>
    </row>
    <row r="749" spans="1:9" hidden="1" x14ac:dyDescent="0.25">
      <c r="A749" s="1" t="s">
        <v>127</v>
      </c>
      <c r="B749" s="1" t="s">
        <v>256</v>
      </c>
      <c r="C749" s="1" t="s">
        <v>3</v>
      </c>
      <c r="D749" s="1">
        <v>553.79999999999995</v>
      </c>
      <c r="E749" s="1">
        <v>0</v>
      </c>
      <c r="F749" s="1">
        <v>66.84</v>
      </c>
      <c r="G749" s="1">
        <v>441.93200000000002</v>
      </c>
      <c r="H749" s="1">
        <v>3743.951</v>
      </c>
      <c r="I749" s="1">
        <v>-3322.7910000000002</v>
      </c>
    </row>
    <row r="750" spans="1:9" hidden="1" x14ac:dyDescent="0.25">
      <c r="A750" s="1" t="s">
        <v>127</v>
      </c>
      <c r="B750" s="1" t="s">
        <v>257</v>
      </c>
      <c r="C750" s="1" t="s">
        <v>143</v>
      </c>
      <c r="D750" s="1">
        <v>536.28</v>
      </c>
      <c r="E750" s="1">
        <v>0</v>
      </c>
      <c r="F750" s="1">
        <v>-66.84</v>
      </c>
      <c r="G750" s="1">
        <v>-441.93200000000002</v>
      </c>
      <c r="H750" s="1">
        <v>2997.9059999999999</v>
      </c>
      <c r="I750" s="1">
        <v>-3217.701</v>
      </c>
    </row>
    <row r="751" spans="1:9" hidden="1" x14ac:dyDescent="0.25">
      <c r="A751" s="1" t="s">
        <v>127</v>
      </c>
      <c r="B751" s="1" t="s">
        <v>257</v>
      </c>
      <c r="C751" s="1" t="s">
        <v>3</v>
      </c>
      <c r="D751" s="1">
        <v>553.79999999999995</v>
      </c>
      <c r="E751" s="1">
        <v>0</v>
      </c>
      <c r="F751" s="1">
        <v>-66.84</v>
      </c>
      <c r="G751" s="1">
        <v>-441.93200000000002</v>
      </c>
      <c r="H751" s="1">
        <v>2901.6309999999999</v>
      </c>
      <c r="I751" s="1">
        <v>-3322.7910000000002</v>
      </c>
    </row>
    <row r="752" spans="1:9" hidden="1" x14ac:dyDescent="0.25">
      <c r="A752" s="1" t="s">
        <v>9</v>
      </c>
      <c r="B752" s="1" t="s">
        <v>2</v>
      </c>
      <c r="C752" s="1" t="s">
        <v>143</v>
      </c>
      <c r="D752" s="1">
        <v>961.18</v>
      </c>
      <c r="E752" s="1">
        <v>0</v>
      </c>
      <c r="F752" s="1">
        <v>0</v>
      </c>
      <c r="G752" s="1">
        <v>0</v>
      </c>
      <c r="H752" s="1">
        <v>5767.0640000000003</v>
      </c>
      <c r="I752" s="1">
        <v>-5767.0640000000003</v>
      </c>
    </row>
    <row r="753" spans="1:9" x14ac:dyDescent="0.25">
      <c r="A753" s="1" t="s">
        <v>9</v>
      </c>
      <c r="B753" s="1" t="s">
        <v>2</v>
      </c>
      <c r="C753" s="1" t="s">
        <v>3</v>
      </c>
      <c r="D753" s="1">
        <v>984.53</v>
      </c>
      <c r="E753" s="1">
        <v>0</v>
      </c>
      <c r="F753" s="1">
        <v>0</v>
      </c>
      <c r="G753" s="1">
        <v>0</v>
      </c>
      <c r="H753" s="1">
        <v>5907.1840000000002</v>
      </c>
      <c r="I753" s="1">
        <v>-5907.1840000000002</v>
      </c>
    </row>
    <row r="754" spans="1:9" hidden="1" x14ac:dyDescent="0.25">
      <c r="A754" s="1" t="s">
        <v>9</v>
      </c>
      <c r="B754" s="1" t="s">
        <v>144</v>
      </c>
      <c r="C754" s="1" t="s">
        <v>143</v>
      </c>
      <c r="D754" s="1">
        <v>172.8</v>
      </c>
      <c r="E754" s="1">
        <v>0</v>
      </c>
      <c r="F754" s="1">
        <v>0</v>
      </c>
      <c r="G754" s="1">
        <v>0</v>
      </c>
      <c r="H754" s="1">
        <v>1036.8</v>
      </c>
      <c r="I754" s="1">
        <v>-1036.8</v>
      </c>
    </row>
    <row r="755" spans="1:9" hidden="1" x14ac:dyDescent="0.25">
      <c r="A755" s="1" t="s">
        <v>9</v>
      </c>
      <c r="B755" s="1" t="s">
        <v>144</v>
      </c>
      <c r="C755" s="1" t="s">
        <v>3</v>
      </c>
      <c r="D755" s="1">
        <v>172.8</v>
      </c>
      <c r="E755" s="1">
        <v>0</v>
      </c>
      <c r="F755" s="1">
        <v>0</v>
      </c>
      <c r="G755" s="1">
        <v>0</v>
      </c>
      <c r="H755" s="1">
        <v>1036.8</v>
      </c>
      <c r="I755" s="1">
        <v>-1036.8</v>
      </c>
    </row>
    <row r="756" spans="1:9" hidden="1" x14ac:dyDescent="0.25">
      <c r="A756" s="1" t="s">
        <v>9</v>
      </c>
      <c r="B756" s="1" t="s">
        <v>12</v>
      </c>
      <c r="C756" s="1" t="s">
        <v>143</v>
      </c>
      <c r="D756" s="1">
        <v>0</v>
      </c>
      <c r="E756" s="1">
        <v>-256.13</v>
      </c>
      <c r="F756" s="1">
        <v>0</v>
      </c>
      <c r="G756" s="1">
        <v>1690.4690000000001</v>
      </c>
      <c r="H756" s="1">
        <v>0</v>
      </c>
      <c r="I756" s="1">
        <v>-1531.7909999999999</v>
      </c>
    </row>
    <row r="757" spans="1:9" hidden="1" x14ac:dyDescent="0.25">
      <c r="A757" s="1" t="s">
        <v>9</v>
      </c>
      <c r="B757" s="1" t="s">
        <v>12</v>
      </c>
      <c r="C757" s="1" t="s">
        <v>3</v>
      </c>
      <c r="D757" s="1">
        <v>0</v>
      </c>
      <c r="E757" s="1">
        <v>-256.13</v>
      </c>
      <c r="F757" s="1">
        <v>0</v>
      </c>
      <c r="G757" s="1">
        <v>1690.4690000000001</v>
      </c>
      <c r="H757" s="1">
        <v>0</v>
      </c>
      <c r="I757" s="1">
        <v>-2316.5059999999999</v>
      </c>
    </row>
    <row r="758" spans="1:9" hidden="1" x14ac:dyDescent="0.25">
      <c r="A758" s="1" t="s">
        <v>9</v>
      </c>
      <c r="B758" s="1" t="s">
        <v>13</v>
      </c>
      <c r="C758" s="1" t="s">
        <v>143</v>
      </c>
      <c r="D758" s="1">
        <v>0</v>
      </c>
      <c r="E758" s="1">
        <v>-256.13</v>
      </c>
      <c r="F758" s="1">
        <v>0</v>
      </c>
      <c r="G758" s="1">
        <v>1383.1110000000001</v>
      </c>
      <c r="H758" s="1">
        <v>0</v>
      </c>
      <c r="I758" s="1">
        <v>-1531.7909999999999</v>
      </c>
    </row>
    <row r="759" spans="1:9" hidden="1" x14ac:dyDescent="0.25">
      <c r="A759" s="1" t="s">
        <v>9</v>
      </c>
      <c r="B759" s="1" t="s">
        <v>13</v>
      </c>
      <c r="C759" s="1" t="s">
        <v>3</v>
      </c>
      <c r="D759" s="1">
        <v>0</v>
      </c>
      <c r="E759" s="1">
        <v>-256.13</v>
      </c>
      <c r="F759" s="1">
        <v>0</v>
      </c>
      <c r="G759" s="1">
        <v>1383.1110000000001</v>
      </c>
      <c r="H759" s="1">
        <v>0</v>
      </c>
      <c r="I759" s="1">
        <v>-2316.5059999999999</v>
      </c>
    </row>
    <row r="760" spans="1:9" hidden="1" x14ac:dyDescent="0.25">
      <c r="A760" s="1" t="s">
        <v>9</v>
      </c>
      <c r="B760" s="1" t="s">
        <v>14</v>
      </c>
      <c r="C760" s="1" t="s">
        <v>143</v>
      </c>
      <c r="D760" s="1">
        <v>0</v>
      </c>
      <c r="E760" s="1">
        <v>0</v>
      </c>
      <c r="F760" s="1">
        <v>-256.13</v>
      </c>
      <c r="G760" s="1">
        <v>-1690.4690000000001</v>
      </c>
      <c r="H760" s="1">
        <v>1531.7909999999999</v>
      </c>
      <c r="I760" s="1">
        <v>0</v>
      </c>
    </row>
    <row r="761" spans="1:9" hidden="1" x14ac:dyDescent="0.25">
      <c r="A761" s="1" t="s">
        <v>9</v>
      </c>
      <c r="B761" s="1" t="s">
        <v>14</v>
      </c>
      <c r="C761" s="1" t="s">
        <v>3</v>
      </c>
      <c r="D761" s="1">
        <v>0</v>
      </c>
      <c r="E761" s="1">
        <v>0</v>
      </c>
      <c r="F761" s="1">
        <v>-256.13</v>
      </c>
      <c r="G761" s="1">
        <v>-1690.4690000000001</v>
      </c>
      <c r="H761" s="1">
        <v>2316.5059999999999</v>
      </c>
      <c r="I761" s="1">
        <v>0</v>
      </c>
    </row>
    <row r="762" spans="1:9" hidden="1" x14ac:dyDescent="0.25">
      <c r="A762" s="1" t="s">
        <v>9</v>
      </c>
      <c r="B762" s="1" t="s">
        <v>15</v>
      </c>
      <c r="C762" s="1" t="s">
        <v>143</v>
      </c>
      <c r="D762" s="1">
        <v>0</v>
      </c>
      <c r="E762" s="1">
        <v>0</v>
      </c>
      <c r="F762" s="1">
        <v>-256.13</v>
      </c>
      <c r="G762" s="1">
        <v>-1383.1110000000001</v>
      </c>
      <c r="H762" s="1">
        <v>1531.7909999999999</v>
      </c>
      <c r="I762" s="1">
        <v>0</v>
      </c>
    </row>
    <row r="763" spans="1:9" hidden="1" x14ac:dyDescent="0.25">
      <c r="A763" s="1" t="s">
        <v>9</v>
      </c>
      <c r="B763" s="1" t="s">
        <v>15</v>
      </c>
      <c r="C763" s="1" t="s">
        <v>3</v>
      </c>
      <c r="D763" s="1">
        <v>0</v>
      </c>
      <c r="E763" s="1">
        <v>0</v>
      </c>
      <c r="F763" s="1">
        <v>-256.13</v>
      </c>
      <c r="G763" s="1">
        <v>-1383.1110000000001</v>
      </c>
      <c r="H763" s="1">
        <v>2316.5059999999999</v>
      </c>
      <c r="I763" s="1">
        <v>0</v>
      </c>
    </row>
    <row r="764" spans="1:9" hidden="1" x14ac:dyDescent="0.25">
      <c r="A764" s="1" t="s">
        <v>9</v>
      </c>
      <c r="B764" s="1" t="s">
        <v>145</v>
      </c>
      <c r="C764" s="1" t="s">
        <v>143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</row>
    <row r="765" spans="1:9" hidden="1" x14ac:dyDescent="0.25">
      <c r="A765" s="1" t="s">
        <v>9</v>
      </c>
      <c r="B765" s="1" t="s">
        <v>145</v>
      </c>
      <c r="C765" s="1" t="s">
        <v>3</v>
      </c>
      <c r="D765" s="1">
        <v>0</v>
      </c>
      <c r="E765" s="1">
        <v>0</v>
      </c>
      <c r="F765" s="1">
        <v>0</v>
      </c>
      <c r="G765" s="1">
        <v>0</v>
      </c>
      <c r="H765" s="1">
        <v>0</v>
      </c>
      <c r="I765" s="1">
        <v>0</v>
      </c>
    </row>
    <row r="766" spans="1:9" hidden="1" x14ac:dyDescent="0.25">
      <c r="A766" s="1" t="s">
        <v>9</v>
      </c>
      <c r="B766" s="1" t="s">
        <v>146</v>
      </c>
      <c r="C766" s="1" t="s">
        <v>143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</v>
      </c>
    </row>
    <row r="767" spans="1:9" hidden="1" x14ac:dyDescent="0.25">
      <c r="A767" s="1" t="s">
        <v>9</v>
      </c>
      <c r="B767" s="1" t="s">
        <v>146</v>
      </c>
      <c r="C767" s="1" t="s">
        <v>3</v>
      </c>
      <c r="D767" s="1">
        <v>0</v>
      </c>
      <c r="E767" s="1">
        <v>0</v>
      </c>
      <c r="F767" s="1">
        <v>0</v>
      </c>
      <c r="G767" s="1">
        <v>0</v>
      </c>
      <c r="H767" s="1">
        <v>0</v>
      </c>
      <c r="I767" s="1">
        <v>0</v>
      </c>
    </row>
    <row r="768" spans="1:9" hidden="1" x14ac:dyDescent="0.25">
      <c r="A768" s="1" t="s">
        <v>9</v>
      </c>
      <c r="B768" s="1" t="s">
        <v>147</v>
      </c>
      <c r="C768" s="1" t="s">
        <v>143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1">
        <v>0</v>
      </c>
    </row>
    <row r="769" spans="1:9" hidden="1" x14ac:dyDescent="0.25">
      <c r="A769" s="1" t="s">
        <v>9</v>
      </c>
      <c r="B769" s="1" t="s">
        <v>147</v>
      </c>
      <c r="C769" s="1" t="s">
        <v>3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</row>
    <row r="770" spans="1:9" hidden="1" x14ac:dyDescent="0.25">
      <c r="A770" s="1" t="s">
        <v>9</v>
      </c>
      <c r="B770" s="1" t="s">
        <v>148</v>
      </c>
      <c r="C770" s="1" t="s">
        <v>143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</row>
    <row r="771" spans="1:9" hidden="1" x14ac:dyDescent="0.25">
      <c r="A771" s="1" t="s">
        <v>9</v>
      </c>
      <c r="B771" s="1" t="s">
        <v>148</v>
      </c>
      <c r="C771" s="1" t="s">
        <v>3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</row>
    <row r="772" spans="1:9" hidden="1" x14ac:dyDescent="0.25">
      <c r="A772" s="1" t="s">
        <v>9</v>
      </c>
      <c r="B772" s="1" t="s">
        <v>149</v>
      </c>
      <c r="C772" s="1" t="s">
        <v>143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</row>
    <row r="773" spans="1:9" hidden="1" x14ac:dyDescent="0.25">
      <c r="A773" s="1" t="s">
        <v>9</v>
      </c>
      <c r="B773" s="1" t="s">
        <v>149</v>
      </c>
      <c r="C773" s="1" t="s">
        <v>3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  <c r="I773" s="1">
        <v>0</v>
      </c>
    </row>
    <row r="774" spans="1:9" hidden="1" x14ac:dyDescent="0.25">
      <c r="A774" s="1" t="s">
        <v>9</v>
      </c>
      <c r="B774" s="1" t="s">
        <v>150</v>
      </c>
      <c r="C774" s="1" t="s">
        <v>143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  <c r="I774" s="1">
        <v>0</v>
      </c>
    </row>
    <row r="775" spans="1:9" hidden="1" x14ac:dyDescent="0.25">
      <c r="A775" s="1" t="s">
        <v>9</v>
      </c>
      <c r="B775" s="1" t="s">
        <v>150</v>
      </c>
      <c r="C775" s="1" t="s">
        <v>3</v>
      </c>
      <c r="D775" s="1">
        <v>0</v>
      </c>
      <c r="E775" s="1">
        <v>0</v>
      </c>
      <c r="F775" s="1">
        <v>0</v>
      </c>
      <c r="G775" s="1">
        <v>0</v>
      </c>
      <c r="H775" s="1">
        <v>0</v>
      </c>
      <c r="I775" s="1">
        <v>0</v>
      </c>
    </row>
    <row r="776" spans="1:9" hidden="1" x14ac:dyDescent="0.25">
      <c r="A776" s="1" t="s">
        <v>9</v>
      </c>
      <c r="B776" s="1" t="s">
        <v>16</v>
      </c>
      <c r="C776" s="1" t="s">
        <v>143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</row>
    <row r="777" spans="1:9" hidden="1" x14ac:dyDescent="0.25">
      <c r="A777" s="1" t="s">
        <v>9</v>
      </c>
      <c r="B777" s="1" t="s">
        <v>16</v>
      </c>
      <c r="C777" s="1" t="s">
        <v>3</v>
      </c>
      <c r="D777" s="1">
        <v>0</v>
      </c>
      <c r="E777" s="1">
        <v>0</v>
      </c>
      <c r="F777" s="1">
        <v>0</v>
      </c>
      <c r="G777" s="1">
        <v>0</v>
      </c>
      <c r="H777" s="1">
        <v>0</v>
      </c>
      <c r="I777" s="1">
        <v>0</v>
      </c>
    </row>
    <row r="778" spans="1:9" hidden="1" x14ac:dyDescent="0.25">
      <c r="A778" s="1" t="s">
        <v>9</v>
      </c>
      <c r="B778" s="1" t="s">
        <v>151</v>
      </c>
      <c r="C778" s="1" t="s">
        <v>143</v>
      </c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</row>
    <row r="779" spans="1:9" hidden="1" x14ac:dyDescent="0.25">
      <c r="A779" s="1" t="s">
        <v>9</v>
      </c>
      <c r="B779" s="1" t="s">
        <v>151</v>
      </c>
      <c r="C779" s="1" t="s">
        <v>3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</row>
    <row r="780" spans="1:9" hidden="1" x14ac:dyDescent="0.25">
      <c r="A780" s="1" t="s">
        <v>9</v>
      </c>
      <c r="B780" s="1" t="s">
        <v>152</v>
      </c>
      <c r="C780" s="1" t="s">
        <v>143</v>
      </c>
      <c r="D780" s="1">
        <v>0</v>
      </c>
      <c r="E780" s="1">
        <v>-72.8</v>
      </c>
      <c r="F780" s="1">
        <v>0</v>
      </c>
      <c r="G780" s="1">
        <v>436.786</v>
      </c>
      <c r="H780" s="1">
        <v>0</v>
      </c>
      <c r="I780" s="1">
        <v>-269.13600000000002</v>
      </c>
    </row>
    <row r="781" spans="1:9" hidden="1" x14ac:dyDescent="0.25">
      <c r="A781" s="1" t="s">
        <v>9</v>
      </c>
      <c r="B781" s="1" t="s">
        <v>152</v>
      </c>
      <c r="C781" s="1" t="s">
        <v>3</v>
      </c>
      <c r="D781" s="1">
        <v>0</v>
      </c>
      <c r="E781" s="1">
        <v>-72.8</v>
      </c>
      <c r="F781" s="1">
        <v>0</v>
      </c>
      <c r="G781" s="1">
        <v>436.786</v>
      </c>
      <c r="H781" s="1">
        <v>0</v>
      </c>
      <c r="I781" s="1">
        <v>-492.03</v>
      </c>
    </row>
    <row r="782" spans="1:9" hidden="1" x14ac:dyDescent="0.25">
      <c r="A782" s="1" t="s">
        <v>9</v>
      </c>
      <c r="B782" s="1" t="s">
        <v>153</v>
      </c>
      <c r="C782" s="1" t="s">
        <v>143</v>
      </c>
      <c r="D782" s="1">
        <v>0</v>
      </c>
      <c r="E782" s="1">
        <v>0</v>
      </c>
      <c r="F782" s="1">
        <v>-72.8</v>
      </c>
      <c r="G782" s="1">
        <v>-436.786</v>
      </c>
      <c r="H782" s="1">
        <v>269.13600000000002</v>
      </c>
      <c r="I782" s="1">
        <v>0</v>
      </c>
    </row>
    <row r="783" spans="1:9" hidden="1" x14ac:dyDescent="0.25">
      <c r="A783" s="1" t="s">
        <v>9</v>
      </c>
      <c r="B783" s="1" t="s">
        <v>153</v>
      </c>
      <c r="C783" s="1" t="s">
        <v>3</v>
      </c>
      <c r="D783" s="1">
        <v>0</v>
      </c>
      <c r="E783" s="1">
        <v>0</v>
      </c>
      <c r="F783" s="1">
        <v>-72.8</v>
      </c>
      <c r="G783" s="1">
        <v>-436.786</v>
      </c>
      <c r="H783" s="1">
        <v>492.03</v>
      </c>
      <c r="I783" s="1">
        <v>0</v>
      </c>
    </row>
    <row r="784" spans="1:9" hidden="1" x14ac:dyDescent="0.25">
      <c r="A784" s="1" t="s">
        <v>9</v>
      </c>
      <c r="B784" s="1" t="s">
        <v>154</v>
      </c>
      <c r="C784" s="1" t="s">
        <v>143</v>
      </c>
      <c r="D784" s="1">
        <v>0</v>
      </c>
      <c r="E784" s="1">
        <v>0</v>
      </c>
      <c r="F784" s="1">
        <v>0</v>
      </c>
      <c r="G784" s="1">
        <v>0</v>
      </c>
      <c r="H784" s="1">
        <v>0</v>
      </c>
      <c r="I784" s="1">
        <v>0</v>
      </c>
    </row>
    <row r="785" spans="1:9" hidden="1" x14ac:dyDescent="0.25">
      <c r="A785" s="1" t="s">
        <v>9</v>
      </c>
      <c r="B785" s="1" t="s">
        <v>154</v>
      </c>
      <c r="C785" s="1" t="s">
        <v>3</v>
      </c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</row>
    <row r="786" spans="1:9" hidden="1" x14ac:dyDescent="0.25">
      <c r="A786" s="1" t="s">
        <v>9</v>
      </c>
      <c r="B786" s="1" t="s">
        <v>155</v>
      </c>
      <c r="C786" s="1" t="s">
        <v>143</v>
      </c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</row>
    <row r="787" spans="1:9" hidden="1" x14ac:dyDescent="0.25">
      <c r="A787" s="1" t="s">
        <v>9</v>
      </c>
      <c r="B787" s="1" t="s">
        <v>155</v>
      </c>
      <c r="C787" s="1" t="s">
        <v>3</v>
      </c>
      <c r="D787" s="1">
        <v>0</v>
      </c>
      <c r="E787" s="1">
        <v>0</v>
      </c>
      <c r="F787" s="1">
        <v>0</v>
      </c>
      <c r="G787" s="1">
        <v>0</v>
      </c>
      <c r="H787" s="1">
        <v>0</v>
      </c>
      <c r="I787" s="1">
        <v>0</v>
      </c>
    </row>
    <row r="788" spans="1:9" hidden="1" x14ac:dyDescent="0.25">
      <c r="A788" s="1" t="s">
        <v>9</v>
      </c>
      <c r="B788" s="1" t="s">
        <v>156</v>
      </c>
      <c r="C788" s="1" t="s">
        <v>143</v>
      </c>
      <c r="D788" s="1">
        <v>0</v>
      </c>
      <c r="E788" s="1">
        <v>0</v>
      </c>
      <c r="F788" s="1">
        <v>0</v>
      </c>
      <c r="G788" s="1">
        <v>0</v>
      </c>
      <c r="H788" s="1">
        <v>0</v>
      </c>
      <c r="I788" s="1">
        <v>0</v>
      </c>
    </row>
    <row r="789" spans="1:9" hidden="1" x14ac:dyDescent="0.25">
      <c r="A789" s="1" t="s">
        <v>9</v>
      </c>
      <c r="B789" s="1" t="s">
        <v>156</v>
      </c>
      <c r="C789" s="1" t="s">
        <v>3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</row>
    <row r="790" spans="1:9" hidden="1" x14ac:dyDescent="0.25">
      <c r="A790" s="1" t="s">
        <v>9</v>
      </c>
      <c r="B790" s="1" t="s">
        <v>4</v>
      </c>
      <c r="C790" s="1" t="s">
        <v>143</v>
      </c>
      <c r="D790" s="1">
        <v>0</v>
      </c>
      <c r="E790" s="1">
        <v>241.29</v>
      </c>
      <c r="F790" s="1">
        <v>0</v>
      </c>
      <c r="G790" s="1">
        <v>1597.4490000000001</v>
      </c>
      <c r="H790" s="1">
        <v>0</v>
      </c>
      <c r="I790" s="1">
        <v>1276.2429999999999</v>
      </c>
    </row>
    <row r="791" spans="1:9" hidden="1" x14ac:dyDescent="0.25">
      <c r="A791" s="1" t="s">
        <v>9</v>
      </c>
      <c r="B791" s="1" t="s">
        <v>4</v>
      </c>
      <c r="C791" s="1" t="s">
        <v>3</v>
      </c>
      <c r="D791" s="1">
        <v>0</v>
      </c>
      <c r="E791" s="1">
        <v>241.29</v>
      </c>
      <c r="F791" s="1">
        <v>0</v>
      </c>
      <c r="G791" s="1">
        <v>1597.4490000000001</v>
      </c>
      <c r="H791" s="1">
        <v>0</v>
      </c>
      <c r="I791" s="1">
        <v>2010.2850000000001</v>
      </c>
    </row>
    <row r="792" spans="1:9" hidden="1" x14ac:dyDescent="0.25">
      <c r="A792" s="1" t="s">
        <v>9</v>
      </c>
      <c r="B792" s="1" t="s">
        <v>5</v>
      </c>
      <c r="C792" s="1" t="s">
        <v>143</v>
      </c>
      <c r="D792" s="1">
        <v>0</v>
      </c>
      <c r="E792" s="1">
        <v>0</v>
      </c>
      <c r="F792" s="1">
        <v>241.29</v>
      </c>
      <c r="G792" s="1">
        <v>1597.4490000000001</v>
      </c>
      <c r="H792" s="1">
        <v>1276.2429999999999</v>
      </c>
      <c r="I792" s="1">
        <v>0</v>
      </c>
    </row>
    <row r="793" spans="1:9" hidden="1" x14ac:dyDescent="0.25">
      <c r="A793" s="1" t="s">
        <v>9</v>
      </c>
      <c r="B793" s="1" t="s">
        <v>5</v>
      </c>
      <c r="C793" s="1" t="s">
        <v>3</v>
      </c>
      <c r="D793" s="1">
        <v>0</v>
      </c>
      <c r="E793" s="1">
        <v>0</v>
      </c>
      <c r="F793" s="1">
        <v>241.29</v>
      </c>
      <c r="G793" s="1">
        <v>1597.4490000000001</v>
      </c>
      <c r="H793" s="1">
        <v>2010.2850000000001</v>
      </c>
      <c r="I793" s="1">
        <v>0</v>
      </c>
    </row>
    <row r="794" spans="1:9" hidden="1" x14ac:dyDescent="0.25">
      <c r="A794" s="1" t="s">
        <v>9</v>
      </c>
      <c r="B794" s="1" t="s">
        <v>6</v>
      </c>
      <c r="C794" s="1" t="s">
        <v>143</v>
      </c>
      <c r="D794" s="1">
        <v>144.18</v>
      </c>
      <c r="E794" s="1">
        <v>0</v>
      </c>
      <c r="F794" s="1">
        <v>0</v>
      </c>
      <c r="G794" s="1">
        <v>0</v>
      </c>
      <c r="H794" s="1">
        <v>865.06</v>
      </c>
      <c r="I794" s="1">
        <v>-865.06</v>
      </c>
    </row>
    <row r="795" spans="1:9" hidden="1" x14ac:dyDescent="0.25">
      <c r="A795" s="1" t="s">
        <v>9</v>
      </c>
      <c r="B795" s="1" t="s">
        <v>6</v>
      </c>
      <c r="C795" s="1" t="s">
        <v>3</v>
      </c>
      <c r="D795" s="1">
        <v>147.68</v>
      </c>
      <c r="E795" s="1">
        <v>0</v>
      </c>
      <c r="F795" s="1">
        <v>0</v>
      </c>
      <c r="G795" s="1">
        <v>0</v>
      </c>
      <c r="H795" s="1">
        <v>886.07799999999997</v>
      </c>
      <c r="I795" s="1">
        <v>-886.07799999999997</v>
      </c>
    </row>
    <row r="796" spans="1:9" hidden="1" x14ac:dyDescent="0.25">
      <c r="A796" s="1" t="s">
        <v>9</v>
      </c>
      <c r="B796" s="1" t="s">
        <v>7</v>
      </c>
      <c r="C796" s="1" t="s">
        <v>143</v>
      </c>
      <c r="D796" s="1">
        <v>0</v>
      </c>
      <c r="E796" s="1">
        <v>289.55</v>
      </c>
      <c r="F796" s="1">
        <v>0</v>
      </c>
      <c r="G796" s="1">
        <v>1916.9390000000001</v>
      </c>
      <c r="H796" s="1">
        <v>0</v>
      </c>
      <c r="I796" s="1">
        <v>1531.492</v>
      </c>
    </row>
    <row r="797" spans="1:9" hidden="1" x14ac:dyDescent="0.25">
      <c r="A797" s="1" t="s">
        <v>9</v>
      </c>
      <c r="B797" s="1" t="s">
        <v>7</v>
      </c>
      <c r="C797" s="1" t="s">
        <v>3</v>
      </c>
      <c r="D797" s="1">
        <v>0</v>
      </c>
      <c r="E797" s="1">
        <v>289.55</v>
      </c>
      <c r="F797" s="1">
        <v>0</v>
      </c>
      <c r="G797" s="1">
        <v>1916.9390000000001</v>
      </c>
      <c r="H797" s="1">
        <v>0</v>
      </c>
      <c r="I797" s="1">
        <v>2412.3420000000001</v>
      </c>
    </row>
    <row r="798" spans="1:9" hidden="1" x14ac:dyDescent="0.25">
      <c r="A798" s="1" t="s">
        <v>9</v>
      </c>
      <c r="B798" s="1" t="s">
        <v>157</v>
      </c>
      <c r="C798" s="1" t="s">
        <v>143</v>
      </c>
      <c r="D798" s="1">
        <v>0</v>
      </c>
      <c r="E798" s="1">
        <v>-289.55</v>
      </c>
      <c r="F798" s="1">
        <v>0</v>
      </c>
      <c r="G798" s="1">
        <v>-1916.9390000000001</v>
      </c>
      <c r="H798" s="1">
        <v>0</v>
      </c>
      <c r="I798" s="1">
        <v>-1531.492</v>
      </c>
    </row>
    <row r="799" spans="1:9" hidden="1" x14ac:dyDescent="0.25">
      <c r="A799" s="1" t="s">
        <v>9</v>
      </c>
      <c r="B799" s="1" t="s">
        <v>157</v>
      </c>
      <c r="C799" s="1" t="s">
        <v>3</v>
      </c>
      <c r="D799" s="1">
        <v>0</v>
      </c>
      <c r="E799" s="1">
        <v>-289.55</v>
      </c>
      <c r="F799" s="1">
        <v>0</v>
      </c>
      <c r="G799" s="1">
        <v>-1916.9390000000001</v>
      </c>
      <c r="H799" s="1">
        <v>0</v>
      </c>
      <c r="I799" s="1">
        <v>-2412.3420000000001</v>
      </c>
    </row>
    <row r="800" spans="1:9" hidden="1" x14ac:dyDescent="0.25">
      <c r="A800" s="1" t="s">
        <v>9</v>
      </c>
      <c r="B800" s="1" t="s">
        <v>8</v>
      </c>
      <c r="C800" s="1" t="s">
        <v>143</v>
      </c>
      <c r="D800" s="1">
        <v>0</v>
      </c>
      <c r="E800" s="1">
        <v>0</v>
      </c>
      <c r="F800" s="1">
        <v>265.42</v>
      </c>
      <c r="G800" s="1">
        <v>1757.194</v>
      </c>
      <c r="H800" s="1">
        <v>1403.867</v>
      </c>
      <c r="I800" s="1">
        <v>0</v>
      </c>
    </row>
    <row r="801" spans="1:9" hidden="1" x14ac:dyDescent="0.25">
      <c r="A801" s="1" t="s">
        <v>9</v>
      </c>
      <c r="B801" s="1" t="s">
        <v>8</v>
      </c>
      <c r="C801" s="1" t="s">
        <v>3</v>
      </c>
      <c r="D801" s="1">
        <v>0</v>
      </c>
      <c r="E801" s="1">
        <v>0</v>
      </c>
      <c r="F801" s="1">
        <v>265.42</v>
      </c>
      <c r="G801" s="1">
        <v>1757.194</v>
      </c>
      <c r="H801" s="1">
        <v>2211.3139999999999</v>
      </c>
      <c r="I801" s="1">
        <v>0</v>
      </c>
    </row>
    <row r="802" spans="1:9" hidden="1" x14ac:dyDescent="0.25">
      <c r="A802" s="1" t="s">
        <v>9</v>
      </c>
      <c r="B802" s="1" t="s">
        <v>158</v>
      </c>
      <c r="C802" s="1" t="s">
        <v>143</v>
      </c>
      <c r="D802" s="1">
        <v>0</v>
      </c>
      <c r="E802" s="1">
        <v>0</v>
      </c>
      <c r="F802" s="1">
        <v>-265.42</v>
      </c>
      <c r="G802" s="1">
        <v>-1757.194</v>
      </c>
      <c r="H802" s="1">
        <v>-1403.867</v>
      </c>
      <c r="I802" s="1">
        <v>0</v>
      </c>
    </row>
    <row r="803" spans="1:9" hidden="1" x14ac:dyDescent="0.25">
      <c r="A803" s="1" t="s">
        <v>9</v>
      </c>
      <c r="B803" s="1" t="s">
        <v>158</v>
      </c>
      <c r="C803" s="1" t="s">
        <v>3</v>
      </c>
      <c r="D803" s="1">
        <v>0</v>
      </c>
      <c r="E803" s="1">
        <v>0</v>
      </c>
      <c r="F803" s="1">
        <v>-265.42</v>
      </c>
      <c r="G803" s="1">
        <v>-1757.194</v>
      </c>
      <c r="H803" s="1">
        <v>-2211.3139999999999</v>
      </c>
      <c r="I803" s="1">
        <v>0</v>
      </c>
    </row>
    <row r="804" spans="1:9" hidden="1" x14ac:dyDescent="0.25">
      <c r="A804" s="1" t="s">
        <v>9</v>
      </c>
      <c r="B804" s="1" t="s">
        <v>159</v>
      </c>
      <c r="C804" s="1" t="s">
        <v>143</v>
      </c>
      <c r="D804" s="1">
        <v>1345.65</v>
      </c>
      <c r="E804" s="1">
        <v>0</v>
      </c>
      <c r="F804" s="1">
        <v>0</v>
      </c>
      <c r="G804" s="1">
        <v>0</v>
      </c>
      <c r="H804" s="1">
        <v>8073.8890000000001</v>
      </c>
      <c r="I804" s="1">
        <v>-8073.8890000000001</v>
      </c>
    </row>
    <row r="805" spans="1:9" hidden="1" x14ac:dyDescent="0.25">
      <c r="A805" s="1" t="s">
        <v>9</v>
      </c>
      <c r="B805" s="1" t="s">
        <v>159</v>
      </c>
      <c r="C805" s="1" t="s">
        <v>3</v>
      </c>
      <c r="D805" s="1">
        <v>1378.34</v>
      </c>
      <c r="E805" s="1">
        <v>0</v>
      </c>
      <c r="F805" s="1">
        <v>0</v>
      </c>
      <c r="G805" s="1">
        <v>0</v>
      </c>
      <c r="H805" s="1">
        <v>8270.0570000000007</v>
      </c>
      <c r="I805" s="1">
        <v>-8270.0570000000007</v>
      </c>
    </row>
    <row r="806" spans="1:9" hidden="1" x14ac:dyDescent="0.25">
      <c r="A806" s="1" t="s">
        <v>9</v>
      </c>
      <c r="B806" s="1" t="s">
        <v>160</v>
      </c>
      <c r="C806" s="1" t="s">
        <v>143</v>
      </c>
      <c r="D806" s="1">
        <v>1429.89</v>
      </c>
      <c r="E806" s="1">
        <v>0</v>
      </c>
      <c r="F806" s="1">
        <v>0</v>
      </c>
      <c r="G806" s="1">
        <v>0</v>
      </c>
      <c r="H806" s="1">
        <v>8579.357</v>
      </c>
      <c r="I806" s="1">
        <v>-8579.357</v>
      </c>
    </row>
    <row r="807" spans="1:9" hidden="1" x14ac:dyDescent="0.25">
      <c r="A807" s="1" t="s">
        <v>9</v>
      </c>
      <c r="B807" s="1" t="s">
        <v>160</v>
      </c>
      <c r="C807" s="1" t="s">
        <v>3</v>
      </c>
      <c r="D807" s="1">
        <v>1457.92</v>
      </c>
      <c r="E807" s="1">
        <v>0</v>
      </c>
      <c r="F807" s="1">
        <v>0</v>
      </c>
      <c r="G807" s="1">
        <v>0</v>
      </c>
      <c r="H807" s="1">
        <v>8747.5</v>
      </c>
      <c r="I807" s="1">
        <v>-8747.5</v>
      </c>
    </row>
    <row r="808" spans="1:9" hidden="1" x14ac:dyDescent="0.25">
      <c r="A808" s="1" t="s">
        <v>9</v>
      </c>
      <c r="B808" s="1" t="s">
        <v>161</v>
      </c>
      <c r="C808" s="1" t="s">
        <v>143</v>
      </c>
      <c r="D808" s="1">
        <v>1239.81</v>
      </c>
      <c r="E808" s="1">
        <v>0</v>
      </c>
      <c r="F808" s="1">
        <v>0</v>
      </c>
      <c r="G808" s="1">
        <v>0</v>
      </c>
      <c r="H808" s="1">
        <v>7438.8770000000004</v>
      </c>
      <c r="I808" s="1">
        <v>-7438.8770000000004</v>
      </c>
    </row>
    <row r="809" spans="1:9" hidden="1" x14ac:dyDescent="0.25">
      <c r="A809" s="1" t="s">
        <v>9</v>
      </c>
      <c r="B809" s="1" t="s">
        <v>161</v>
      </c>
      <c r="C809" s="1" t="s">
        <v>3</v>
      </c>
      <c r="D809" s="1">
        <v>1267.8399999999999</v>
      </c>
      <c r="E809" s="1">
        <v>0</v>
      </c>
      <c r="F809" s="1">
        <v>0</v>
      </c>
      <c r="G809" s="1">
        <v>0</v>
      </c>
      <c r="H809" s="1">
        <v>7607.02</v>
      </c>
      <c r="I809" s="1">
        <v>-7607.02</v>
      </c>
    </row>
    <row r="810" spans="1:9" hidden="1" x14ac:dyDescent="0.25">
      <c r="A810" s="1" t="s">
        <v>9</v>
      </c>
      <c r="B810" s="1" t="s">
        <v>162</v>
      </c>
      <c r="C810" s="1" t="s">
        <v>143</v>
      </c>
      <c r="D810" s="1">
        <v>1283.07</v>
      </c>
      <c r="E810" s="1">
        <v>-256.13</v>
      </c>
      <c r="F810" s="1">
        <v>0</v>
      </c>
      <c r="G810" s="1">
        <v>1690.4690000000001</v>
      </c>
      <c r="H810" s="1">
        <v>7698.3950000000004</v>
      </c>
      <c r="I810" s="1">
        <v>-9230.1849999999995</v>
      </c>
    </row>
    <row r="811" spans="1:9" hidden="1" x14ac:dyDescent="0.25">
      <c r="A811" s="1" t="s">
        <v>9</v>
      </c>
      <c r="B811" s="1" t="s">
        <v>162</v>
      </c>
      <c r="C811" s="1" t="s">
        <v>3</v>
      </c>
      <c r="D811" s="1">
        <v>1312.14</v>
      </c>
      <c r="E811" s="1">
        <v>-256.13</v>
      </c>
      <c r="F811" s="1">
        <v>0</v>
      </c>
      <c r="G811" s="1">
        <v>1690.4690000000001</v>
      </c>
      <c r="H811" s="1">
        <v>7872.8440000000001</v>
      </c>
      <c r="I811" s="1">
        <v>-10189.349</v>
      </c>
    </row>
    <row r="812" spans="1:9" hidden="1" x14ac:dyDescent="0.25">
      <c r="A812" s="1" t="s">
        <v>9</v>
      </c>
      <c r="B812" s="1" t="s">
        <v>163</v>
      </c>
      <c r="C812" s="1" t="s">
        <v>143</v>
      </c>
      <c r="D812" s="1">
        <v>1283.07</v>
      </c>
      <c r="E812" s="1">
        <v>-256.13</v>
      </c>
      <c r="F812" s="1">
        <v>0</v>
      </c>
      <c r="G812" s="1">
        <v>1383.1110000000001</v>
      </c>
      <c r="H812" s="1">
        <v>7698.3950000000004</v>
      </c>
      <c r="I812" s="1">
        <v>-9230.1849999999995</v>
      </c>
    </row>
    <row r="813" spans="1:9" hidden="1" x14ac:dyDescent="0.25">
      <c r="A813" s="1" t="s">
        <v>9</v>
      </c>
      <c r="B813" s="1" t="s">
        <v>163</v>
      </c>
      <c r="C813" s="1" t="s">
        <v>3</v>
      </c>
      <c r="D813" s="1">
        <v>1312.14</v>
      </c>
      <c r="E813" s="1">
        <v>-256.13</v>
      </c>
      <c r="F813" s="1">
        <v>0</v>
      </c>
      <c r="G813" s="1">
        <v>1383.1110000000001</v>
      </c>
      <c r="H813" s="1">
        <v>7872.8440000000001</v>
      </c>
      <c r="I813" s="1">
        <v>-10189.349</v>
      </c>
    </row>
    <row r="814" spans="1:9" hidden="1" x14ac:dyDescent="0.25">
      <c r="A814" s="1" t="s">
        <v>9</v>
      </c>
      <c r="B814" s="1" t="s">
        <v>164</v>
      </c>
      <c r="C814" s="1" t="s">
        <v>143</v>
      </c>
      <c r="D814" s="1">
        <v>1283.07</v>
      </c>
      <c r="E814" s="1">
        <v>256.13</v>
      </c>
      <c r="F814" s="1">
        <v>0</v>
      </c>
      <c r="G814" s="1">
        <v>-1690.4690000000001</v>
      </c>
      <c r="H814" s="1">
        <v>7698.3950000000004</v>
      </c>
      <c r="I814" s="1">
        <v>-6166.6040000000003</v>
      </c>
    </row>
    <row r="815" spans="1:9" hidden="1" x14ac:dyDescent="0.25">
      <c r="A815" s="1" t="s">
        <v>9</v>
      </c>
      <c r="B815" s="1" t="s">
        <v>164</v>
      </c>
      <c r="C815" s="1" t="s">
        <v>3</v>
      </c>
      <c r="D815" s="1">
        <v>1312.14</v>
      </c>
      <c r="E815" s="1">
        <v>256.13</v>
      </c>
      <c r="F815" s="1">
        <v>0</v>
      </c>
      <c r="G815" s="1">
        <v>-1690.4690000000001</v>
      </c>
      <c r="H815" s="1">
        <v>7872.8440000000001</v>
      </c>
      <c r="I815" s="1">
        <v>-5556.3379999999997</v>
      </c>
    </row>
    <row r="816" spans="1:9" hidden="1" x14ac:dyDescent="0.25">
      <c r="A816" s="1" t="s">
        <v>9</v>
      </c>
      <c r="B816" s="1" t="s">
        <v>165</v>
      </c>
      <c r="C816" s="1" t="s">
        <v>143</v>
      </c>
      <c r="D816" s="1">
        <v>1283.07</v>
      </c>
      <c r="E816" s="1">
        <v>256.13</v>
      </c>
      <c r="F816" s="1">
        <v>0</v>
      </c>
      <c r="G816" s="1">
        <v>-1383.1110000000001</v>
      </c>
      <c r="H816" s="1">
        <v>7698.3950000000004</v>
      </c>
      <c r="I816" s="1">
        <v>-6166.6040000000003</v>
      </c>
    </row>
    <row r="817" spans="1:9" hidden="1" x14ac:dyDescent="0.25">
      <c r="A817" s="1" t="s">
        <v>9</v>
      </c>
      <c r="B817" s="1" t="s">
        <v>165</v>
      </c>
      <c r="C817" s="1" t="s">
        <v>3</v>
      </c>
      <c r="D817" s="1">
        <v>1312.14</v>
      </c>
      <c r="E817" s="1">
        <v>256.13</v>
      </c>
      <c r="F817" s="1">
        <v>0</v>
      </c>
      <c r="G817" s="1">
        <v>-1383.1110000000001</v>
      </c>
      <c r="H817" s="1">
        <v>7872.8440000000001</v>
      </c>
      <c r="I817" s="1">
        <v>-5556.3379999999997</v>
      </c>
    </row>
    <row r="818" spans="1:9" hidden="1" x14ac:dyDescent="0.25">
      <c r="A818" s="1" t="s">
        <v>9</v>
      </c>
      <c r="B818" s="1" t="s">
        <v>166</v>
      </c>
      <c r="C818" s="1" t="s">
        <v>143</v>
      </c>
      <c r="D818" s="1">
        <v>1283.07</v>
      </c>
      <c r="E818" s="1">
        <v>0</v>
      </c>
      <c r="F818" s="1">
        <v>-256.13</v>
      </c>
      <c r="G818" s="1">
        <v>-1690.4690000000001</v>
      </c>
      <c r="H818" s="1">
        <v>9230.1849999999995</v>
      </c>
      <c r="I818" s="1">
        <v>-7698.3950000000004</v>
      </c>
    </row>
    <row r="819" spans="1:9" hidden="1" x14ac:dyDescent="0.25">
      <c r="A819" s="1" t="s">
        <v>9</v>
      </c>
      <c r="B819" s="1" t="s">
        <v>166</v>
      </c>
      <c r="C819" s="1" t="s">
        <v>3</v>
      </c>
      <c r="D819" s="1">
        <v>1312.14</v>
      </c>
      <c r="E819" s="1">
        <v>0</v>
      </c>
      <c r="F819" s="1">
        <v>-256.13</v>
      </c>
      <c r="G819" s="1">
        <v>-1690.4690000000001</v>
      </c>
      <c r="H819" s="1">
        <v>10189.349</v>
      </c>
      <c r="I819" s="1">
        <v>-7872.8440000000001</v>
      </c>
    </row>
    <row r="820" spans="1:9" hidden="1" x14ac:dyDescent="0.25">
      <c r="A820" s="1" t="s">
        <v>9</v>
      </c>
      <c r="B820" s="1" t="s">
        <v>167</v>
      </c>
      <c r="C820" s="1" t="s">
        <v>143</v>
      </c>
      <c r="D820" s="1">
        <v>1283.07</v>
      </c>
      <c r="E820" s="1">
        <v>0</v>
      </c>
      <c r="F820" s="1">
        <v>-256.13</v>
      </c>
      <c r="G820" s="1">
        <v>-1383.1110000000001</v>
      </c>
      <c r="H820" s="1">
        <v>9230.1849999999995</v>
      </c>
      <c r="I820" s="1">
        <v>-7698.3950000000004</v>
      </c>
    </row>
    <row r="821" spans="1:9" hidden="1" x14ac:dyDescent="0.25">
      <c r="A821" s="1" t="s">
        <v>9</v>
      </c>
      <c r="B821" s="1" t="s">
        <v>167</v>
      </c>
      <c r="C821" s="1" t="s">
        <v>3</v>
      </c>
      <c r="D821" s="1">
        <v>1312.14</v>
      </c>
      <c r="E821" s="1">
        <v>0</v>
      </c>
      <c r="F821" s="1">
        <v>-256.13</v>
      </c>
      <c r="G821" s="1">
        <v>-1383.1110000000001</v>
      </c>
      <c r="H821" s="1">
        <v>10189.349</v>
      </c>
      <c r="I821" s="1">
        <v>-7872.8440000000001</v>
      </c>
    </row>
    <row r="822" spans="1:9" hidden="1" x14ac:dyDescent="0.25">
      <c r="A822" s="1" t="s">
        <v>9</v>
      </c>
      <c r="B822" s="1" t="s">
        <v>168</v>
      </c>
      <c r="C822" s="1" t="s">
        <v>143</v>
      </c>
      <c r="D822" s="1">
        <v>1283.07</v>
      </c>
      <c r="E822" s="1">
        <v>0</v>
      </c>
      <c r="F822" s="1">
        <v>256.13</v>
      </c>
      <c r="G822" s="1">
        <v>1690.4690000000001</v>
      </c>
      <c r="H822" s="1">
        <v>6166.6040000000003</v>
      </c>
      <c r="I822" s="1">
        <v>-7698.3950000000004</v>
      </c>
    </row>
    <row r="823" spans="1:9" hidden="1" x14ac:dyDescent="0.25">
      <c r="A823" s="1" t="s">
        <v>9</v>
      </c>
      <c r="B823" s="1" t="s">
        <v>168</v>
      </c>
      <c r="C823" s="1" t="s">
        <v>3</v>
      </c>
      <c r="D823" s="1">
        <v>1312.14</v>
      </c>
      <c r="E823" s="1">
        <v>0</v>
      </c>
      <c r="F823" s="1">
        <v>256.13</v>
      </c>
      <c r="G823" s="1">
        <v>1690.4690000000001</v>
      </c>
      <c r="H823" s="1">
        <v>5556.3379999999997</v>
      </c>
      <c r="I823" s="1">
        <v>-7872.8440000000001</v>
      </c>
    </row>
    <row r="824" spans="1:9" hidden="1" x14ac:dyDescent="0.25">
      <c r="A824" s="1" t="s">
        <v>9</v>
      </c>
      <c r="B824" s="1" t="s">
        <v>169</v>
      </c>
      <c r="C824" s="1" t="s">
        <v>143</v>
      </c>
      <c r="D824" s="1">
        <v>1283.07</v>
      </c>
      <c r="E824" s="1">
        <v>0</v>
      </c>
      <c r="F824" s="1">
        <v>256.13</v>
      </c>
      <c r="G824" s="1">
        <v>1383.1110000000001</v>
      </c>
      <c r="H824" s="1">
        <v>6166.6040000000003</v>
      </c>
      <c r="I824" s="1">
        <v>-7698.3950000000004</v>
      </c>
    </row>
    <row r="825" spans="1:9" hidden="1" x14ac:dyDescent="0.25">
      <c r="A825" s="1" t="s">
        <v>9</v>
      </c>
      <c r="B825" s="1" t="s">
        <v>169</v>
      </c>
      <c r="C825" s="1" t="s">
        <v>3</v>
      </c>
      <c r="D825" s="1">
        <v>1312.14</v>
      </c>
      <c r="E825" s="1">
        <v>0</v>
      </c>
      <c r="F825" s="1">
        <v>256.13</v>
      </c>
      <c r="G825" s="1">
        <v>1383.1110000000001</v>
      </c>
      <c r="H825" s="1">
        <v>5556.3379999999997</v>
      </c>
      <c r="I825" s="1">
        <v>-7872.8440000000001</v>
      </c>
    </row>
    <row r="826" spans="1:9" hidden="1" x14ac:dyDescent="0.25">
      <c r="A826" s="1" t="s">
        <v>9</v>
      </c>
      <c r="B826" s="1" t="s">
        <v>170</v>
      </c>
      <c r="C826" s="1" t="s">
        <v>143</v>
      </c>
      <c r="D826" s="1">
        <v>1196.56</v>
      </c>
      <c r="E826" s="1">
        <v>-256.13</v>
      </c>
      <c r="F826" s="1">
        <v>0</v>
      </c>
      <c r="G826" s="1">
        <v>1690.4690000000001</v>
      </c>
      <c r="H826" s="1">
        <v>7179.3590000000004</v>
      </c>
      <c r="I826" s="1">
        <v>-8711.1489999999994</v>
      </c>
    </row>
    <row r="827" spans="1:9" hidden="1" x14ac:dyDescent="0.25">
      <c r="A827" s="1" t="s">
        <v>9</v>
      </c>
      <c r="B827" s="1" t="s">
        <v>170</v>
      </c>
      <c r="C827" s="1" t="s">
        <v>3</v>
      </c>
      <c r="D827" s="1">
        <v>1223.53</v>
      </c>
      <c r="E827" s="1">
        <v>-256.13</v>
      </c>
      <c r="F827" s="1">
        <v>0</v>
      </c>
      <c r="G827" s="1">
        <v>1690.4690000000001</v>
      </c>
      <c r="H827" s="1">
        <v>7341.1970000000001</v>
      </c>
      <c r="I827" s="1">
        <v>-9657.7029999999995</v>
      </c>
    </row>
    <row r="828" spans="1:9" hidden="1" x14ac:dyDescent="0.25">
      <c r="A828" s="1" t="s">
        <v>9</v>
      </c>
      <c r="B828" s="1" t="s">
        <v>171</v>
      </c>
      <c r="C828" s="1" t="s">
        <v>143</v>
      </c>
      <c r="D828" s="1">
        <v>1196.56</v>
      </c>
      <c r="E828" s="1">
        <v>-256.13</v>
      </c>
      <c r="F828" s="1">
        <v>0</v>
      </c>
      <c r="G828" s="1">
        <v>1383.1110000000001</v>
      </c>
      <c r="H828" s="1">
        <v>7179.3590000000004</v>
      </c>
      <c r="I828" s="1">
        <v>-8711.1489999999994</v>
      </c>
    </row>
    <row r="829" spans="1:9" hidden="1" x14ac:dyDescent="0.25">
      <c r="A829" s="1" t="s">
        <v>9</v>
      </c>
      <c r="B829" s="1" t="s">
        <v>171</v>
      </c>
      <c r="C829" s="1" t="s">
        <v>3</v>
      </c>
      <c r="D829" s="1">
        <v>1223.53</v>
      </c>
      <c r="E829" s="1">
        <v>-256.13</v>
      </c>
      <c r="F829" s="1">
        <v>0</v>
      </c>
      <c r="G829" s="1">
        <v>1383.1110000000001</v>
      </c>
      <c r="H829" s="1">
        <v>7341.1970000000001</v>
      </c>
      <c r="I829" s="1">
        <v>-9657.7029999999995</v>
      </c>
    </row>
    <row r="830" spans="1:9" hidden="1" x14ac:dyDescent="0.25">
      <c r="A830" s="1" t="s">
        <v>9</v>
      </c>
      <c r="B830" s="1" t="s">
        <v>172</v>
      </c>
      <c r="C830" s="1" t="s">
        <v>143</v>
      </c>
      <c r="D830" s="1">
        <v>1196.56</v>
      </c>
      <c r="E830" s="1">
        <v>256.13</v>
      </c>
      <c r="F830" s="1">
        <v>0</v>
      </c>
      <c r="G830" s="1">
        <v>-1690.4690000000001</v>
      </c>
      <c r="H830" s="1">
        <v>7179.3590000000004</v>
      </c>
      <c r="I830" s="1">
        <v>-5647.5680000000002</v>
      </c>
    </row>
    <row r="831" spans="1:9" hidden="1" x14ac:dyDescent="0.25">
      <c r="A831" s="1" t="s">
        <v>9</v>
      </c>
      <c r="B831" s="1" t="s">
        <v>172</v>
      </c>
      <c r="C831" s="1" t="s">
        <v>3</v>
      </c>
      <c r="D831" s="1">
        <v>1223.53</v>
      </c>
      <c r="E831" s="1">
        <v>256.13</v>
      </c>
      <c r="F831" s="1">
        <v>0</v>
      </c>
      <c r="G831" s="1">
        <v>-1690.4690000000001</v>
      </c>
      <c r="H831" s="1">
        <v>7341.1970000000001</v>
      </c>
      <c r="I831" s="1">
        <v>-5024.6909999999998</v>
      </c>
    </row>
    <row r="832" spans="1:9" hidden="1" x14ac:dyDescent="0.25">
      <c r="A832" s="1" t="s">
        <v>9</v>
      </c>
      <c r="B832" s="1" t="s">
        <v>173</v>
      </c>
      <c r="C832" s="1" t="s">
        <v>143</v>
      </c>
      <c r="D832" s="1">
        <v>1196.56</v>
      </c>
      <c r="E832" s="1">
        <v>256.13</v>
      </c>
      <c r="F832" s="1">
        <v>0</v>
      </c>
      <c r="G832" s="1">
        <v>-1383.1110000000001</v>
      </c>
      <c r="H832" s="1">
        <v>7179.3590000000004</v>
      </c>
      <c r="I832" s="1">
        <v>-5647.5680000000002</v>
      </c>
    </row>
    <row r="833" spans="1:9" hidden="1" x14ac:dyDescent="0.25">
      <c r="A833" s="1" t="s">
        <v>9</v>
      </c>
      <c r="B833" s="1" t="s">
        <v>173</v>
      </c>
      <c r="C833" s="1" t="s">
        <v>3</v>
      </c>
      <c r="D833" s="1">
        <v>1223.53</v>
      </c>
      <c r="E833" s="1">
        <v>256.13</v>
      </c>
      <c r="F833" s="1">
        <v>0</v>
      </c>
      <c r="G833" s="1">
        <v>-1383.1110000000001</v>
      </c>
      <c r="H833" s="1">
        <v>7341.1970000000001</v>
      </c>
      <c r="I833" s="1">
        <v>-5024.6909999999998</v>
      </c>
    </row>
    <row r="834" spans="1:9" hidden="1" x14ac:dyDescent="0.25">
      <c r="A834" s="1" t="s">
        <v>9</v>
      </c>
      <c r="B834" s="1" t="s">
        <v>174</v>
      </c>
      <c r="C834" s="1" t="s">
        <v>143</v>
      </c>
      <c r="D834" s="1">
        <v>1196.56</v>
      </c>
      <c r="E834" s="1">
        <v>0</v>
      </c>
      <c r="F834" s="1">
        <v>-256.13</v>
      </c>
      <c r="G834" s="1">
        <v>-1690.4690000000001</v>
      </c>
      <c r="H834" s="1">
        <v>8711.1489999999994</v>
      </c>
      <c r="I834" s="1">
        <v>-7179.3590000000004</v>
      </c>
    </row>
    <row r="835" spans="1:9" hidden="1" x14ac:dyDescent="0.25">
      <c r="A835" s="1" t="s">
        <v>9</v>
      </c>
      <c r="B835" s="1" t="s">
        <v>174</v>
      </c>
      <c r="C835" s="1" t="s">
        <v>3</v>
      </c>
      <c r="D835" s="1">
        <v>1223.53</v>
      </c>
      <c r="E835" s="1">
        <v>0</v>
      </c>
      <c r="F835" s="1">
        <v>-256.13</v>
      </c>
      <c r="G835" s="1">
        <v>-1690.4690000000001</v>
      </c>
      <c r="H835" s="1">
        <v>9657.7029999999995</v>
      </c>
      <c r="I835" s="1">
        <v>-7341.1970000000001</v>
      </c>
    </row>
    <row r="836" spans="1:9" hidden="1" x14ac:dyDescent="0.25">
      <c r="A836" s="1" t="s">
        <v>9</v>
      </c>
      <c r="B836" s="1" t="s">
        <v>175</v>
      </c>
      <c r="C836" s="1" t="s">
        <v>143</v>
      </c>
      <c r="D836" s="1">
        <v>1196.56</v>
      </c>
      <c r="E836" s="1">
        <v>0</v>
      </c>
      <c r="F836" s="1">
        <v>-256.13</v>
      </c>
      <c r="G836" s="1">
        <v>-1383.1110000000001</v>
      </c>
      <c r="H836" s="1">
        <v>8711.1489999999994</v>
      </c>
      <c r="I836" s="1">
        <v>-7179.3590000000004</v>
      </c>
    </row>
    <row r="837" spans="1:9" hidden="1" x14ac:dyDescent="0.25">
      <c r="A837" s="1" t="s">
        <v>9</v>
      </c>
      <c r="B837" s="1" t="s">
        <v>175</v>
      </c>
      <c r="C837" s="1" t="s">
        <v>3</v>
      </c>
      <c r="D837" s="1">
        <v>1223.53</v>
      </c>
      <c r="E837" s="1">
        <v>0</v>
      </c>
      <c r="F837" s="1">
        <v>-256.13</v>
      </c>
      <c r="G837" s="1">
        <v>-1383.1110000000001</v>
      </c>
      <c r="H837" s="1">
        <v>9657.7029999999995</v>
      </c>
      <c r="I837" s="1">
        <v>-7341.1970000000001</v>
      </c>
    </row>
    <row r="838" spans="1:9" hidden="1" x14ac:dyDescent="0.25">
      <c r="A838" s="1" t="s">
        <v>9</v>
      </c>
      <c r="B838" s="1" t="s">
        <v>176</v>
      </c>
      <c r="C838" s="1" t="s">
        <v>143</v>
      </c>
      <c r="D838" s="1">
        <v>1196.56</v>
      </c>
      <c r="E838" s="1">
        <v>0</v>
      </c>
      <c r="F838" s="1">
        <v>256.13</v>
      </c>
      <c r="G838" s="1">
        <v>1690.4690000000001</v>
      </c>
      <c r="H838" s="1">
        <v>5647.5680000000002</v>
      </c>
      <c r="I838" s="1">
        <v>-7179.3590000000004</v>
      </c>
    </row>
    <row r="839" spans="1:9" hidden="1" x14ac:dyDescent="0.25">
      <c r="A839" s="1" t="s">
        <v>9</v>
      </c>
      <c r="B839" s="1" t="s">
        <v>176</v>
      </c>
      <c r="C839" s="1" t="s">
        <v>3</v>
      </c>
      <c r="D839" s="1">
        <v>1223.53</v>
      </c>
      <c r="E839" s="1">
        <v>0</v>
      </c>
      <c r="F839" s="1">
        <v>256.13</v>
      </c>
      <c r="G839" s="1">
        <v>1690.4690000000001</v>
      </c>
      <c r="H839" s="1">
        <v>5024.6909999999998</v>
      </c>
      <c r="I839" s="1">
        <v>-7341.1970000000001</v>
      </c>
    </row>
    <row r="840" spans="1:9" hidden="1" x14ac:dyDescent="0.25">
      <c r="A840" s="1" t="s">
        <v>9</v>
      </c>
      <c r="B840" s="1" t="s">
        <v>177</v>
      </c>
      <c r="C840" s="1" t="s">
        <v>143</v>
      </c>
      <c r="D840" s="1">
        <v>1196.56</v>
      </c>
      <c r="E840" s="1">
        <v>0</v>
      </c>
      <c r="F840" s="1">
        <v>256.13</v>
      </c>
      <c r="G840" s="1">
        <v>1383.1110000000001</v>
      </c>
      <c r="H840" s="1">
        <v>5647.5680000000002</v>
      </c>
      <c r="I840" s="1">
        <v>-7179.3590000000004</v>
      </c>
    </row>
    <row r="841" spans="1:9" hidden="1" x14ac:dyDescent="0.25">
      <c r="A841" s="1" t="s">
        <v>9</v>
      </c>
      <c r="B841" s="1" t="s">
        <v>177</v>
      </c>
      <c r="C841" s="1" t="s">
        <v>3</v>
      </c>
      <c r="D841" s="1">
        <v>1223.53</v>
      </c>
      <c r="E841" s="1">
        <v>0</v>
      </c>
      <c r="F841" s="1">
        <v>256.13</v>
      </c>
      <c r="G841" s="1">
        <v>1383.1110000000001</v>
      </c>
      <c r="H841" s="1">
        <v>5024.6909999999998</v>
      </c>
      <c r="I841" s="1">
        <v>-7341.1970000000001</v>
      </c>
    </row>
    <row r="842" spans="1:9" hidden="1" x14ac:dyDescent="0.25">
      <c r="A842" s="1" t="s">
        <v>9</v>
      </c>
      <c r="B842" s="1" t="s">
        <v>178</v>
      </c>
      <c r="C842" s="1" t="s">
        <v>143</v>
      </c>
      <c r="D842" s="1">
        <v>1383.99</v>
      </c>
      <c r="E842" s="1">
        <v>-76.84</v>
      </c>
      <c r="F842" s="1">
        <v>0</v>
      </c>
      <c r="G842" s="1">
        <v>507.14100000000002</v>
      </c>
      <c r="H842" s="1">
        <v>8303.9359999999997</v>
      </c>
      <c r="I842" s="1">
        <v>-8763.473</v>
      </c>
    </row>
    <row r="843" spans="1:9" hidden="1" x14ac:dyDescent="0.25">
      <c r="A843" s="1" t="s">
        <v>9</v>
      </c>
      <c r="B843" s="1" t="s">
        <v>178</v>
      </c>
      <c r="C843" s="1" t="s">
        <v>3</v>
      </c>
      <c r="D843" s="1">
        <v>1415.52</v>
      </c>
      <c r="E843" s="1">
        <v>-76.84</v>
      </c>
      <c r="F843" s="1">
        <v>0</v>
      </c>
      <c r="G843" s="1">
        <v>507.14100000000002</v>
      </c>
      <c r="H843" s="1">
        <v>8493.098</v>
      </c>
      <c r="I843" s="1">
        <v>-9188.0499999999993</v>
      </c>
    </row>
    <row r="844" spans="1:9" hidden="1" x14ac:dyDescent="0.25">
      <c r="A844" s="1" t="s">
        <v>9</v>
      </c>
      <c r="B844" s="1" t="s">
        <v>179</v>
      </c>
      <c r="C844" s="1" t="s">
        <v>143</v>
      </c>
      <c r="D844" s="1">
        <v>1383.99</v>
      </c>
      <c r="E844" s="1">
        <v>-76.84</v>
      </c>
      <c r="F844" s="1">
        <v>0</v>
      </c>
      <c r="G844" s="1">
        <v>414.93299999999999</v>
      </c>
      <c r="H844" s="1">
        <v>8303.9359999999997</v>
      </c>
      <c r="I844" s="1">
        <v>-8763.473</v>
      </c>
    </row>
    <row r="845" spans="1:9" hidden="1" x14ac:dyDescent="0.25">
      <c r="A845" s="1" t="s">
        <v>9</v>
      </c>
      <c r="B845" s="1" t="s">
        <v>179</v>
      </c>
      <c r="C845" s="1" t="s">
        <v>3</v>
      </c>
      <c r="D845" s="1">
        <v>1415.52</v>
      </c>
      <c r="E845" s="1">
        <v>-76.84</v>
      </c>
      <c r="F845" s="1">
        <v>0</v>
      </c>
      <c r="G845" s="1">
        <v>414.93299999999999</v>
      </c>
      <c r="H845" s="1">
        <v>8493.098</v>
      </c>
      <c r="I845" s="1">
        <v>-9188.0499999999993</v>
      </c>
    </row>
    <row r="846" spans="1:9" hidden="1" x14ac:dyDescent="0.25">
      <c r="A846" s="1" t="s">
        <v>9</v>
      </c>
      <c r="B846" s="1" t="s">
        <v>180</v>
      </c>
      <c r="C846" s="1" t="s">
        <v>143</v>
      </c>
      <c r="D846" s="1">
        <v>1383.99</v>
      </c>
      <c r="E846" s="1">
        <v>76.84</v>
      </c>
      <c r="F846" s="1">
        <v>0</v>
      </c>
      <c r="G846" s="1">
        <v>-507.14100000000002</v>
      </c>
      <c r="H846" s="1">
        <v>8303.9359999999997</v>
      </c>
      <c r="I846" s="1">
        <v>-7844.3990000000003</v>
      </c>
    </row>
    <row r="847" spans="1:9" hidden="1" x14ac:dyDescent="0.25">
      <c r="A847" s="1" t="s">
        <v>9</v>
      </c>
      <c r="B847" s="1" t="s">
        <v>180</v>
      </c>
      <c r="C847" s="1" t="s">
        <v>3</v>
      </c>
      <c r="D847" s="1">
        <v>1415.52</v>
      </c>
      <c r="E847" s="1">
        <v>76.84</v>
      </c>
      <c r="F847" s="1">
        <v>0</v>
      </c>
      <c r="G847" s="1">
        <v>-507.14100000000002</v>
      </c>
      <c r="H847" s="1">
        <v>8493.098</v>
      </c>
      <c r="I847" s="1">
        <v>-7798.1459999999997</v>
      </c>
    </row>
    <row r="848" spans="1:9" hidden="1" x14ac:dyDescent="0.25">
      <c r="A848" s="1" t="s">
        <v>9</v>
      </c>
      <c r="B848" s="1" t="s">
        <v>181</v>
      </c>
      <c r="C848" s="1" t="s">
        <v>143</v>
      </c>
      <c r="D848" s="1">
        <v>1383.99</v>
      </c>
      <c r="E848" s="1">
        <v>76.84</v>
      </c>
      <c r="F848" s="1">
        <v>0</v>
      </c>
      <c r="G848" s="1">
        <v>-414.93299999999999</v>
      </c>
      <c r="H848" s="1">
        <v>8303.9359999999997</v>
      </c>
      <c r="I848" s="1">
        <v>-7844.3990000000003</v>
      </c>
    </row>
    <row r="849" spans="1:9" hidden="1" x14ac:dyDescent="0.25">
      <c r="A849" s="1" t="s">
        <v>9</v>
      </c>
      <c r="B849" s="1" t="s">
        <v>181</v>
      </c>
      <c r="C849" s="1" t="s">
        <v>3</v>
      </c>
      <c r="D849" s="1">
        <v>1415.52</v>
      </c>
      <c r="E849" s="1">
        <v>76.84</v>
      </c>
      <c r="F849" s="1">
        <v>0</v>
      </c>
      <c r="G849" s="1">
        <v>-414.93299999999999</v>
      </c>
      <c r="H849" s="1">
        <v>8493.098</v>
      </c>
      <c r="I849" s="1">
        <v>-7798.1459999999997</v>
      </c>
    </row>
    <row r="850" spans="1:9" hidden="1" x14ac:dyDescent="0.25">
      <c r="A850" s="1" t="s">
        <v>9</v>
      </c>
      <c r="B850" s="1" t="s">
        <v>182</v>
      </c>
      <c r="C850" s="1" t="s">
        <v>143</v>
      </c>
      <c r="D850" s="1">
        <v>1383.99</v>
      </c>
      <c r="E850" s="1">
        <v>0</v>
      </c>
      <c r="F850" s="1">
        <v>-76.84</v>
      </c>
      <c r="G850" s="1">
        <v>-507.14100000000002</v>
      </c>
      <c r="H850" s="1">
        <v>8763.473</v>
      </c>
      <c r="I850" s="1">
        <v>-8303.9359999999997</v>
      </c>
    </row>
    <row r="851" spans="1:9" hidden="1" x14ac:dyDescent="0.25">
      <c r="A851" s="1" t="s">
        <v>9</v>
      </c>
      <c r="B851" s="1" t="s">
        <v>182</v>
      </c>
      <c r="C851" s="1" t="s">
        <v>3</v>
      </c>
      <c r="D851" s="1">
        <v>1415.52</v>
      </c>
      <c r="E851" s="1">
        <v>0</v>
      </c>
      <c r="F851" s="1">
        <v>-76.84</v>
      </c>
      <c r="G851" s="1">
        <v>-507.14100000000002</v>
      </c>
      <c r="H851" s="1">
        <v>9188.0499999999993</v>
      </c>
      <c r="I851" s="1">
        <v>-8493.098</v>
      </c>
    </row>
    <row r="852" spans="1:9" hidden="1" x14ac:dyDescent="0.25">
      <c r="A852" s="1" t="s">
        <v>9</v>
      </c>
      <c r="B852" s="1" t="s">
        <v>183</v>
      </c>
      <c r="C852" s="1" t="s">
        <v>143</v>
      </c>
      <c r="D852" s="1">
        <v>1383.99</v>
      </c>
      <c r="E852" s="1">
        <v>0</v>
      </c>
      <c r="F852" s="1">
        <v>-76.84</v>
      </c>
      <c r="G852" s="1">
        <v>-414.93299999999999</v>
      </c>
      <c r="H852" s="1">
        <v>8763.473</v>
      </c>
      <c r="I852" s="1">
        <v>-8303.9359999999997</v>
      </c>
    </row>
    <row r="853" spans="1:9" hidden="1" x14ac:dyDescent="0.25">
      <c r="A853" s="1" t="s">
        <v>9</v>
      </c>
      <c r="B853" s="1" t="s">
        <v>183</v>
      </c>
      <c r="C853" s="1" t="s">
        <v>3</v>
      </c>
      <c r="D853" s="1">
        <v>1415.52</v>
      </c>
      <c r="E853" s="1">
        <v>0</v>
      </c>
      <c r="F853" s="1">
        <v>-76.84</v>
      </c>
      <c r="G853" s="1">
        <v>-414.93299999999999</v>
      </c>
      <c r="H853" s="1">
        <v>9188.0499999999993</v>
      </c>
      <c r="I853" s="1">
        <v>-8493.098</v>
      </c>
    </row>
    <row r="854" spans="1:9" hidden="1" x14ac:dyDescent="0.25">
      <c r="A854" s="1" t="s">
        <v>9</v>
      </c>
      <c r="B854" s="1" t="s">
        <v>184</v>
      </c>
      <c r="C854" s="1" t="s">
        <v>143</v>
      </c>
      <c r="D854" s="1">
        <v>1383.99</v>
      </c>
      <c r="E854" s="1">
        <v>0</v>
      </c>
      <c r="F854" s="1">
        <v>76.84</v>
      </c>
      <c r="G854" s="1">
        <v>507.14100000000002</v>
      </c>
      <c r="H854" s="1">
        <v>7844.3990000000003</v>
      </c>
      <c r="I854" s="1">
        <v>-8303.9359999999997</v>
      </c>
    </row>
    <row r="855" spans="1:9" hidden="1" x14ac:dyDescent="0.25">
      <c r="A855" s="1" t="s">
        <v>9</v>
      </c>
      <c r="B855" s="1" t="s">
        <v>184</v>
      </c>
      <c r="C855" s="1" t="s">
        <v>3</v>
      </c>
      <c r="D855" s="1">
        <v>1415.52</v>
      </c>
      <c r="E855" s="1">
        <v>0</v>
      </c>
      <c r="F855" s="1">
        <v>76.84</v>
      </c>
      <c r="G855" s="1">
        <v>507.14100000000002</v>
      </c>
      <c r="H855" s="1">
        <v>7798.1459999999997</v>
      </c>
      <c r="I855" s="1">
        <v>-8493.098</v>
      </c>
    </row>
    <row r="856" spans="1:9" hidden="1" x14ac:dyDescent="0.25">
      <c r="A856" s="1" t="s">
        <v>9</v>
      </c>
      <c r="B856" s="1" t="s">
        <v>185</v>
      </c>
      <c r="C856" s="1" t="s">
        <v>143</v>
      </c>
      <c r="D856" s="1">
        <v>1383.99</v>
      </c>
      <c r="E856" s="1">
        <v>0</v>
      </c>
      <c r="F856" s="1">
        <v>76.84</v>
      </c>
      <c r="G856" s="1">
        <v>414.93299999999999</v>
      </c>
      <c r="H856" s="1">
        <v>7844.3990000000003</v>
      </c>
      <c r="I856" s="1">
        <v>-8303.9359999999997</v>
      </c>
    </row>
    <row r="857" spans="1:9" hidden="1" x14ac:dyDescent="0.25">
      <c r="A857" s="1" t="s">
        <v>9</v>
      </c>
      <c r="B857" s="1" t="s">
        <v>185</v>
      </c>
      <c r="C857" s="1" t="s">
        <v>3</v>
      </c>
      <c r="D857" s="1">
        <v>1415.52</v>
      </c>
      <c r="E857" s="1">
        <v>0</v>
      </c>
      <c r="F857" s="1">
        <v>76.84</v>
      </c>
      <c r="G857" s="1">
        <v>414.93299999999999</v>
      </c>
      <c r="H857" s="1">
        <v>7798.1459999999997</v>
      </c>
      <c r="I857" s="1">
        <v>-8493.098</v>
      </c>
    </row>
    <row r="858" spans="1:9" hidden="1" x14ac:dyDescent="0.25">
      <c r="A858" s="1" t="s">
        <v>9</v>
      </c>
      <c r="B858" s="1" t="s">
        <v>186</v>
      </c>
      <c r="C858" s="1" t="s">
        <v>143</v>
      </c>
      <c r="D858" s="1">
        <v>1095.6400000000001</v>
      </c>
      <c r="E858" s="1">
        <v>-76.84</v>
      </c>
      <c r="F858" s="1">
        <v>0</v>
      </c>
      <c r="G858" s="1">
        <v>507.14100000000002</v>
      </c>
      <c r="H858" s="1">
        <v>6573.817</v>
      </c>
      <c r="I858" s="1">
        <v>-7033.3540000000003</v>
      </c>
    </row>
    <row r="859" spans="1:9" hidden="1" x14ac:dyDescent="0.25">
      <c r="A859" s="1" t="s">
        <v>9</v>
      </c>
      <c r="B859" s="1" t="s">
        <v>186</v>
      </c>
      <c r="C859" s="1" t="s">
        <v>3</v>
      </c>
      <c r="D859" s="1">
        <v>1120.1600000000001</v>
      </c>
      <c r="E859" s="1">
        <v>-76.84</v>
      </c>
      <c r="F859" s="1">
        <v>0</v>
      </c>
      <c r="G859" s="1">
        <v>507.14100000000002</v>
      </c>
      <c r="H859" s="1">
        <v>6720.9430000000002</v>
      </c>
      <c r="I859" s="1">
        <v>-7415.8940000000002</v>
      </c>
    </row>
    <row r="860" spans="1:9" hidden="1" x14ac:dyDescent="0.25">
      <c r="A860" s="1" t="s">
        <v>9</v>
      </c>
      <c r="B860" s="1" t="s">
        <v>187</v>
      </c>
      <c r="C860" s="1" t="s">
        <v>143</v>
      </c>
      <c r="D860" s="1">
        <v>1095.6400000000001</v>
      </c>
      <c r="E860" s="1">
        <v>-76.84</v>
      </c>
      <c r="F860" s="1">
        <v>0</v>
      </c>
      <c r="G860" s="1">
        <v>414.93299999999999</v>
      </c>
      <c r="H860" s="1">
        <v>6573.817</v>
      </c>
      <c r="I860" s="1">
        <v>-7033.3540000000003</v>
      </c>
    </row>
    <row r="861" spans="1:9" hidden="1" x14ac:dyDescent="0.25">
      <c r="A861" s="1" t="s">
        <v>9</v>
      </c>
      <c r="B861" s="1" t="s">
        <v>187</v>
      </c>
      <c r="C861" s="1" t="s">
        <v>3</v>
      </c>
      <c r="D861" s="1">
        <v>1120.1600000000001</v>
      </c>
      <c r="E861" s="1">
        <v>-76.84</v>
      </c>
      <c r="F861" s="1">
        <v>0</v>
      </c>
      <c r="G861" s="1">
        <v>414.93299999999999</v>
      </c>
      <c r="H861" s="1">
        <v>6720.9430000000002</v>
      </c>
      <c r="I861" s="1">
        <v>-7415.8940000000002</v>
      </c>
    </row>
    <row r="862" spans="1:9" hidden="1" x14ac:dyDescent="0.25">
      <c r="A862" s="1" t="s">
        <v>9</v>
      </c>
      <c r="B862" s="1" t="s">
        <v>188</v>
      </c>
      <c r="C862" s="1" t="s">
        <v>143</v>
      </c>
      <c r="D862" s="1">
        <v>1095.6400000000001</v>
      </c>
      <c r="E862" s="1">
        <v>76.84</v>
      </c>
      <c r="F862" s="1">
        <v>0</v>
      </c>
      <c r="G862" s="1">
        <v>-507.14100000000002</v>
      </c>
      <c r="H862" s="1">
        <v>6573.817</v>
      </c>
      <c r="I862" s="1">
        <v>-6114.28</v>
      </c>
    </row>
    <row r="863" spans="1:9" hidden="1" x14ac:dyDescent="0.25">
      <c r="A863" s="1" t="s">
        <v>9</v>
      </c>
      <c r="B863" s="1" t="s">
        <v>188</v>
      </c>
      <c r="C863" s="1" t="s">
        <v>3</v>
      </c>
      <c r="D863" s="1">
        <v>1120.1600000000001</v>
      </c>
      <c r="E863" s="1">
        <v>76.84</v>
      </c>
      <c r="F863" s="1">
        <v>0</v>
      </c>
      <c r="G863" s="1">
        <v>-507.14100000000002</v>
      </c>
      <c r="H863" s="1">
        <v>6720.9430000000002</v>
      </c>
      <c r="I863" s="1">
        <v>-6025.991</v>
      </c>
    </row>
    <row r="864" spans="1:9" hidden="1" x14ac:dyDescent="0.25">
      <c r="A864" s="1" t="s">
        <v>9</v>
      </c>
      <c r="B864" s="1" t="s">
        <v>189</v>
      </c>
      <c r="C864" s="1" t="s">
        <v>143</v>
      </c>
      <c r="D864" s="1">
        <v>1095.6400000000001</v>
      </c>
      <c r="E864" s="1">
        <v>76.84</v>
      </c>
      <c r="F864" s="1">
        <v>0</v>
      </c>
      <c r="G864" s="1">
        <v>-414.93299999999999</v>
      </c>
      <c r="H864" s="1">
        <v>6573.817</v>
      </c>
      <c r="I864" s="1">
        <v>-6114.28</v>
      </c>
    </row>
    <row r="865" spans="1:9" hidden="1" x14ac:dyDescent="0.25">
      <c r="A865" s="1" t="s">
        <v>9</v>
      </c>
      <c r="B865" s="1" t="s">
        <v>189</v>
      </c>
      <c r="C865" s="1" t="s">
        <v>3</v>
      </c>
      <c r="D865" s="1">
        <v>1120.1600000000001</v>
      </c>
      <c r="E865" s="1">
        <v>76.84</v>
      </c>
      <c r="F865" s="1">
        <v>0</v>
      </c>
      <c r="G865" s="1">
        <v>-414.93299999999999</v>
      </c>
      <c r="H865" s="1">
        <v>6720.9430000000002</v>
      </c>
      <c r="I865" s="1">
        <v>-6025.991</v>
      </c>
    </row>
    <row r="866" spans="1:9" hidden="1" x14ac:dyDescent="0.25">
      <c r="A866" s="1" t="s">
        <v>9</v>
      </c>
      <c r="B866" s="1" t="s">
        <v>190</v>
      </c>
      <c r="C866" s="1" t="s">
        <v>143</v>
      </c>
      <c r="D866" s="1">
        <v>1095.6400000000001</v>
      </c>
      <c r="E866" s="1">
        <v>0</v>
      </c>
      <c r="F866" s="1">
        <v>-76.84</v>
      </c>
      <c r="G866" s="1">
        <v>-507.14100000000002</v>
      </c>
      <c r="H866" s="1">
        <v>7033.3540000000003</v>
      </c>
      <c r="I866" s="1">
        <v>-6573.817</v>
      </c>
    </row>
    <row r="867" spans="1:9" hidden="1" x14ac:dyDescent="0.25">
      <c r="A867" s="1" t="s">
        <v>9</v>
      </c>
      <c r="B867" s="1" t="s">
        <v>190</v>
      </c>
      <c r="C867" s="1" t="s">
        <v>3</v>
      </c>
      <c r="D867" s="1">
        <v>1120.1600000000001</v>
      </c>
      <c r="E867" s="1">
        <v>0</v>
      </c>
      <c r="F867" s="1">
        <v>-76.84</v>
      </c>
      <c r="G867" s="1">
        <v>-507.14100000000002</v>
      </c>
      <c r="H867" s="1">
        <v>7415.8940000000002</v>
      </c>
      <c r="I867" s="1">
        <v>-6720.9430000000002</v>
      </c>
    </row>
    <row r="868" spans="1:9" hidden="1" x14ac:dyDescent="0.25">
      <c r="A868" s="1" t="s">
        <v>9</v>
      </c>
      <c r="B868" s="1" t="s">
        <v>191</v>
      </c>
      <c r="C868" s="1" t="s">
        <v>143</v>
      </c>
      <c r="D868" s="1">
        <v>1095.6400000000001</v>
      </c>
      <c r="E868" s="1">
        <v>0</v>
      </c>
      <c r="F868" s="1">
        <v>-76.84</v>
      </c>
      <c r="G868" s="1">
        <v>-414.93299999999999</v>
      </c>
      <c r="H868" s="1">
        <v>7033.3540000000003</v>
      </c>
      <c r="I868" s="1">
        <v>-6573.817</v>
      </c>
    </row>
    <row r="869" spans="1:9" hidden="1" x14ac:dyDescent="0.25">
      <c r="A869" s="1" t="s">
        <v>9</v>
      </c>
      <c r="B869" s="1" t="s">
        <v>191</v>
      </c>
      <c r="C869" s="1" t="s">
        <v>3</v>
      </c>
      <c r="D869" s="1">
        <v>1120.1600000000001</v>
      </c>
      <c r="E869" s="1">
        <v>0</v>
      </c>
      <c r="F869" s="1">
        <v>-76.84</v>
      </c>
      <c r="G869" s="1">
        <v>-414.93299999999999</v>
      </c>
      <c r="H869" s="1">
        <v>7415.8940000000002</v>
      </c>
      <c r="I869" s="1">
        <v>-6720.9430000000002</v>
      </c>
    </row>
    <row r="870" spans="1:9" hidden="1" x14ac:dyDescent="0.25">
      <c r="A870" s="1" t="s">
        <v>9</v>
      </c>
      <c r="B870" s="1" t="s">
        <v>192</v>
      </c>
      <c r="C870" s="1" t="s">
        <v>143</v>
      </c>
      <c r="D870" s="1">
        <v>1095.6400000000001</v>
      </c>
      <c r="E870" s="1">
        <v>0</v>
      </c>
      <c r="F870" s="1">
        <v>76.84</v>
      </c>
      <c r="G870" s="1">
        <v>507.14100000000002</v>
      </c>
      <c r="H870" s="1">
        <v>6114.28</v>
      </c>
      <c r="I870" s="1">
        <v>-6573.817</v>
      </c>
    </row>
    <row r="871" spans="1:9" hidden="1" x14ac:dyDescent="0.25">
      <c r="A871" s="1" t="s">
        <v>9</v>
      </c>
      <c r="B871" s="1" t="s">
        <v>192</v>
      </c>
      <c r="C871" s="1" t="s">
        <v>3</v>
      </c>
      <c r="D871" s="1">
        <v>1120.1600000000001</v>
      </c>
      <c r="E871" s="1">
        <v>0</v>
      </c>
      <c r="F871" s="1">
        <v>76.84</v>
      </c>
      <c r="G871" s="1">
        <v>507.14100000000002</v>
      </c>
      <c r="H871" s="1">
        <v>6025.991</v>
      </c>
      <c r="I871" s="1">
        <v>-6720.9430000000002</v>
      </c>
    </row>
    <row r="872" spans="1:9" hidden="1" x14ac:dyDescent="0.25">
      <c r="A872" s="1" t="s">
        <v>9</v>
      </c>
      <c r="B872" s="1" t="s">
        <v>193</v>
      </c>
      <c r="C872" s="1" t="s">
        <v>143</v>
      </c>
      <c r="D872" s="1">
        <v>1095.6400000000001</v>
      </c>
      <c r="E872" s="1">
        <v>0</v>
      </c>
      <c r="F872" s="1">
        <v>76.84</v>
      </c>
      <c r="G872" s="1">
        <v>414.93299999999999</v>
      </c>
      <c r="H872" s="1">
        <v>6114.28</v>
      </c>
      <c r="I872" s="1">
        <v>-6573.817</v>
      </c>
    </row>
    <row r="873" spans="1:9" hidden="1" x14ac:dyDescent="0.25">
      <c r="A873" s="1" t="s">
        <v>9</v>
      </c>
      <c r="B873" s="1" t="s">
        <v>193</v>
      </c>
      <c r="C873" s="1" t="s">
        <v>3</v>
      </c>
      <c r="D873" s="1">
        <v>1120.1600000000001</v>
      </c>
      <c r="E873" s="1">
        <v>0</v>
      </c>
      <c r="F873" s="1">
        <v>76.84</v>
      </c>
      <c r="G873" s="1">
        <v>414.93299999999999</v>
      </c>
      <c r="H873" s="1">
        <v>6025.991</v>
      </c>
      <c r="I873" s="1">
        <v>-6720.9430000000002</v>
      </c>
    </row>
    <row r="874" spans="1:9" hidden="1" x14ac:dyDescent="0.25">
      <c r="A874" s="1" t="s">
        <v>9</v>
      </c>
      <c r="B874" s="1" t="s">
        <v>194</v>
      </c>
      <c r="C874" s="1" t="s">
        <v>143</v>
      </c>
      <c r="D874" s="1">
        <v>908.31</v>
      </c>
      <c r="E874" s="1">
        <v>-256.13</v>
      </c>
      <c r="F874" s="1">
        <v>0</v>
      </c>
      <c r="G874" s="1">
        <v>1690.4690000000001</v>
      </c>
      <c r="H874" s="1">
        <v>5449.875</v>
      </c>
      <c r="I874" s="1">
        <v>-6981.6660000000002</v>
      </c>
    </row>
    <row r="875" spans="1:9" hidden="1" x14ac:dyDescent="0.25">
      <c r="A875" s="1" t="s">
        <v>9</v>
      </c>
      <c r="B875" s="1" t="s">
        <v>194</v>
      </c>
      <c r="C875" s="1" t="s">
        <v>3</v>
      </c>
      <c r="D875" s="1">
        <v>930.38</v>
      </c>
      <c r="E875" s="1">
        <v>-256.13</v>
      </c>
      <c r="F875" s="1">
        <v>0</v>
      </c>
      <c r="G875" s="1">
        <v>1690.4690000000001</v>
      </c>
      <c r="H875" s="1">
        <v>5582.2879999999996</v>
      </c>
      <c r="I875" s="1">
        <v>-7898.7939999999999</v>
      </c>
    </row>
    <row r="876" spans="1:9" hidden="1" x14ac:dyDescent="0.25">
      <c r="A876" s="1" t="s">
        <v>9</v>
      </c>
      <c r="B876" s="1" t="s">
        <v>195</v>
      </c>
      <c r="C876" s="1" t="s">
        <v>143</v>
      </c>
      <c r="D876" s="1">
        <v>908.31</v>
      </c>
      <c r="E876" s="1">
        <v>-256.13</v>
      </c>
      <c r="F876" s="1">
        <v>0</v>
      </c>
      <c r="G876" s="1">
        <v>1383.1110000000001</v>
      </c>
      <c r="H876" s="1">
        <v>5449.875</v>
      </c>
      <c r="I876" s="1">
        <v>-6981.6660000000002</v>
      </c>
    </row>
    <row r="877" spans="1:9" hidden="1" x14ac:dyDescent="0.25">
      <c r="A877" s="1" t="s">
        <v>9</v>
      </c>
      <c r="B877" s="1" t="s">
        <v>195</v>
      </c>
      <c r="C877" s="1" t="s">
        <v>3</v>
      </c>
      <c r="D877" s="1">
        <v>930.38</v>
      </c>
      <c r="E877" s="1">
        <v>-256.13</v>
      </c>
      <c r="F877" s="1">
        <v>0</v>
      </c>
      <c r="G877" s="1">
        <v>1383.1110000000001</v>
      </c>
      <c r="H877" s="1">
        <v>5582.2879999999996</v>
      </c>
      <c r="I877" s="1">
        <v>-7898.7939999999999</v>
      </c>
    </row>
    <row r="878" spans="1:9" hidden="1" x14ac:dyDescent="0.25">
      <c r="A878" s="1" t="s">
        <v>9</v>
      </c>
      <c r="B878" s="1" t="s">
        <v>196</v>
      </c>
      <c r="C878" s="1" t="s">
        <v>143</v>
      </c>
      <c r="D878" s="1">
        <v>908.31</v>
      </c>
      <c r="E878" s="1">
        <v>256.13</v>
      </c>
      <c r="F878" s="1">
        <v>0</v>
      </c>
      <c r="G878" s="1">
        <v>-1690.4690000000001</v>
      </c>
      <c r="H878" s="1">
        <v>5449.875</v>
      </c>
      <c r="I878" s="1">
        <v>-3918.085</v>
      </c>
    </row>
    <row r="879" spans="1:9" hidden="1" x14ac:dyDescent="0.25">
      <c r="A879" s="1" t="s">
        <v>9</v>
      </c>
      <c r="B879" s="1" t="s">
        <v>196</v>
      </c>
      <c r="C879" s="1" t="s">
        <v>3</v>
      </c>
      <c r="D879" s="1">
        <v>930.38</v>
      </c>
      <c r="E879" s="1">
        <v>256.13</v>
      </c>
      <c r="F879" s="1">
        <v>0</v>
      </c>
      <c r="G879" s="1">
        <v>-1690.4690000000001</v>
      </c>
      <c r="H879" s="1">
        <v>5582.2879999999996</v>
      </c>
      <c r="I879" s="1">
        <v>-3265.7829999999999</v>
      </c>
    </row>
    <row r="880" spans="1:9" hidden="1" x14ac:dyDescent="0.25">
      <c r="A880" s="1" t="s">
        <v>9</v>
      </c>
      <c r="B880" s="1" t="s">
        <v>197</v>
      </c>
      <c r="C880" s="1" t="s">
        <v>143</v>
      </c>
      <c r="D880" s="1">
        <v>908.31</v>
      </c>
      <c r="E880" s="1">
        <v>256.13</v>
      </c>
      <c r="F880" s="1">
        <v>0</v>
      </c>
      <c r="G880" s="1">
        <v>-1383.1110000000001</v>
      </c>
      <c r="H880" s="1">
        <v>5449.875</v>
      </c>
      <c r="I880" s="1">
        <v>-3918.085</v>
      </c>
    </row>
    <row r="881" spans="1:9" hidden="1" x14ac:dyDescent="0.25">
      <c r="A881" s="1" t="s">
        <v>9</v>
      </c>
      <c r="B881" s="1" t="s">
        <v>197</v>
      </c>
      <c r="C881" s="1" t="s">
        <v>3</v>
      </c>
      <c r="D881" s="1">
        <v>930.38</v>
      </c>
      <c r="E881" s="1">
        <v>256.13</v>
      </c>
      <c r="F881" s="1">
        <v>0</v>
      </c>
      <c r="G881" s="1">
        <v>-1383.1110000000001</v>
      </c>
      <c r="H881" s="1">
        <v>5582.2879999999996</v>
      </c>
      <c r="I881" s="1">
        <v>-3265.7829999999999</v>
      </c>
    </row>
    <row r="882" spans="1:9" hidden="1" x14ac:dyDescent="0.25">
      <c r="A882" s="1" t="s">
        <v>9</v>
      </c>
      <c r="B882" s="1" t="s">
        <v>198</v>
      </c>
      <c r="C882" s="1" t="s">
        <v>143</v>
      </c>
      <c r="D882" s="1">
        <v>908.31</v>
      </c>
      <c r="E882" s="1">
        <v>0</v>
      </c>
      <c r="F882" s="1">
        <v>-256.13</v>
      </c>
      <c r="G882" s="1">
        <v>-1690.4690000000001</v>
      </c>
      <c r="H882" s="1">
        <v>6981.6660000000002</v>
      </c>
      <c r="I882" s="1">
        <v>-5449.875</v>
      </c>
    </row>
    <row r="883" spans="1:9" hidden="1" x14ac:dyDescent="0.25">
      <c r="A883" s="1" t="s">
        <v>9</v>
      </c>
      <c r="B883" s="1" t="s">
        <v>198</v>
      </c>
      <c r="C883" s="1" t="s">
        <v>3</v>
      </c>
      <c r="D883" s="1">
        <v>930.38</v>
      </c>
      <c r="E883" s="1">
        <v>0</v>
      </c>
      <c r="F883" s="1">
        <v>-256.13</v>
      </c>
      <c r="G883" s="1">
        <v>-1690.4690000000001</v>
      </c>
      <c r="H883" s="1">
        <v>7898.7939999999999</v>
      </c>
      <c r="I883" s="1">
        <v>-5582.2879999999996</v>
      </c>
    </row>
    <row r="884" spans="1:9" hidden="1" x14ac:dyDescent="0.25">
      <c r="A884" s="1" t="s">
        <v>9</v>
      </c>
      <c r="B884" s="1" t="s">
        <v>199</v>
      </c>
      <c r="C884" s="1" t="s">
        <v>143</v>
      </c>
      <c r="D884" s="1">
        <v>908.31</v>
      </c>
      <c r="E884" s="1">
        <v>0</v>
      </c>
      <c r="F884" s="1">
        <v>-256.13</v>
      </c>
      <c r="G884" s="1">
        <v>-1383.1110000000001</v>
      </c>
      <c r="H884" s="1">
        <v>6981.6660000000002</v>
      </c>
      <c r="I884" s="1">
        <v>-5449.875</v>
      </c>
    </row>
    <row r="885" spans="1:9" hidden="1" x14ac:dyDescent="0.25">
      <c r="A885" s="1" t="s">
        <v>9</v>
      </c>
      <c r="B885" s="1" t="s">
        <v>199</v>
      </c>
      <c r="C885" s="1" t="s">
        <v>3</v>
      </c>
      <c r="D885" s="1">
        <v>930.38</v>
      </c>
      <c r="E885" s="1">
        <v>0</v>
      </c>
      <c r="F885" s="1">
        <v>-256.13</v>
      </c>
      <c r="G885" s="1">
        <v>-1383.1110000000001</v>
      </c>
      <c r="H885" s="1">
        <v>7898.7939999999999</v>
      </c>
      <c r="I885" s="1">
        <v>-5582.2879999999996</v>
      </c>
    </row>
    <row r="886" spans="1:9" hidden="1" x14ac:dyDescent="0.25">
      <c r="A886" s="1" t="s">
        <v>9</v>
      </c>
      <c r="B886" s="1" t="s">
        <v>200</v>
      </c>
      <c r="C886" s="1" t="s">
        <v>143</v>
      </c>
      <c r="D886" s="1">
        <v>908.31</v>
      </c>
      <c r="E886" s="1">
        <v>0</v>
      </c>
      <c r="F886" s="1">
        <v>256.13</v>
      </c>
      <c r="G886" s="1">
        <v>1690.4690000000001</v>
      </c>
      <c r="H886" s="1">
        <v>3918.085</v>
      </c>
      <c r="I886" s="1">
        <v>-5449.875</v>
      </c>
    </row>
    <row r="887" spans="1:9" hidden="1" x14ac:dyDescent="0.25">
      <c r="A887" s="1" t="s">
        <v>9</v>
      </c>
      <c r="B887" s="1" t="s">
        <v>200</v>
      </c>
      <c r="C887" s="1" t="s">
        <v>3</v>
      </c>
      <c r="D887" s="1">
        <v>930.38</v>
      </c>
      <c r="E887" s="1">
        <v>0</v>
      </c>
      <c r="F887" s="1">
        <v>256.13</v>
      </c>
      <c r="G887" s="1">
        <v>1690.4690000000001</v>
      </c>
      <c r="H887" s="1">
        <v>3265.7829999999999</v>
      </c>
      <c r="I887" s="1">
        <v>-5582.2879999999996</v>
      </c>
    </row>
    <row r="888" spans="1:9" hidden="1" x14ac:dyDescent="0.25">
      <c r="A888" s="1" t="s">
        <v>9</v>
      </c>
      <c r="B888" s="1" t="s">
        <v>201</v>
      </c>
      <c r="C888" s="1" t="s">
        <v>143</v>
      </c>
      <c r="D888" s="1">
        <v>908.31</v>
      </c>
      <c r="E888" s="1">
        <v>0</v>
      </c>
      <c r="F888" s="1">
        <v>256.13</v>
      </c>
      <c r="G888" s="1">
        <v>1383.1110000000001</v>
      </c>
      <c r="H888" s="1">
        <v>3918.085</v>
      </c>
      <c r="I888" s="1">
        <v>-5449.875</v>
      </c>
    </row>
    <row r="889" spans="1:9" hidden="1" x14ac:dyDescent="0.25">
      <c r="A889" s="1" t="s">
        <v>9</v>
      </c>
      <c r="B889" s="1" t="s">
        <v>201</v>
      </c>
      <c r="C889" s="1" t="s">
        <v>3</v>
      </c>
      <c r="D889" s="1">
        <v>930.38</v>
      </c>
      <c r="E889" s="1">
        <v>0</v>
      </c>
      <c r="F889" s="1">
        <v>256.13</v>
      </c>
      <c r="G889" s="1">
        <v>1383.1110000000001</v>
      </c>
      <c r="H889" s="1">
        <v>3265.7829999999999</v>
      </c>
      <c r="I889" s="1">
        <v>-5582.2879999999996</v>
      </c>
    </row>
    <row r="890" spans="1:9" hidden="1" x14ac:dyDescent="0.25">
      <c r="A890" s="1" t="s">
        <v>9</v>
      </c>
      <c r="B890" s="1" t="s">
        <v>202</v>
      </c>
      <c r="C890" s="1" t="s">
        <v>143</v>
      </c>
      <c r="D890" s="1">
        <v>821.81</v>
      </c>
      <c r="E890" s="1">
        <v>-256.13</v>
      </c>
      <c r="F890" s="1">
        <v>0</v>
      </c>
      <c r="G890" s="1">
        <v>1690.4690000000001</v>
      </c>
      <c r="H890" s="1">
        <v>4930.84</v>
      </c>
      <c r="I890" s="1">
        <v>-6462.63</v>
      </c>
    </row>
    <row r="891" spans="1:9" hidden="1" x14ac:dyDescent="0.25">
      <c r="A891" s="1" t="s">
        <v>9</v>
      </c>
      <c r="B891" s="1" t="s">
        <v>202</v>
      </c>
      <c r="C891" s="1" t="s">
        <v>3</v>
      </c>
      <c r="D891" s="1">
        <v>841.77</v>
      </c>
      <c r="E891" s="1">
        <v>-256.13</v>
      </c>
      <c r="F891" s="1">
        <v>0</v>
      </c>
      <c r="G891" s="1">
        <v>1690.4690000000001</v>
      </c>
      <c r="H891" s="1">
        <v>5050.6419999999998</v>
      </c>
      <c r="I891" s="1">
        <v>-7367.1480000000001</v>
      </c>
    </row>
    <row r="892" spans="1:9" hidden="1" x14ac:dyDescent="0.25">
      <c r="A892" s="1" t="s">
        <v>9</v>
      </c>
      <c r="B892" s="1" t="s">
        <v>203</v>
      </c>
      <c r="C892" s="1" t="s">
        <v>143</v>
      </c>
      <c r="D892" s="1">
        <v>821.81</v>
      </c>
      <c r="E892" s="1">
        <v>-256.13</v>
      </c>
      <c r="F892" s="1">
        <v>0</v>
      </c>
      <c r="G892" s="1">
        <v>1383.1110000000001</v>
      </c>
      <c r="H892" s="1">
        <v>4930.84</v>
      </c>
      <c r="I892" s="1">
        <v>-6462.63</v>
      </c>
    </row>
    <row r="893" spans="1:9" hidden="1" x14ac:dyDescent="0.25">
      <c r="A893" s="1" t="s">
        <v>9</v>
      </c>
      <c r="B893" s="1" t="s">
        <v>203</v>
      </c>
      <c r="C893" s="1" t="s">
        <v>3</v>
      </c>
      <c r="D893" s="1">
        <v>841.77</v>
      </c>
      <c r="E893" s="1">
        <v>-256.13</v>
      </c>
      <c r="F893" s="1">
        <v>0</v>
      </c>
      <c r="G893" s="1">
        <v>1383.1110000000001</v>
      </c>
      <c r="H893" s="1">
        <v>5050.6419999999998</v>
      </c>
      <c r="I893" s="1">
        <v>-7367.1480000000001</v>
      </c>
    </row>
    <row r="894" spans="1:9" hidden="1" x14ac:dyDescent="0.25">
      <c r="A894" s="1" t="s">
        <v>9</v>
      </c>
      <c r="B894" s="1" t="s">
        <v>204</v>
      </c>
      <c r="C894" s="1" t="s">
        <v>143</v>
      </c>
      <c r="D894" s="1">
        <v>821.81</v>
      </c>
      <c r="E894" s="1">
        <v>256.13</v>
      </c>
      <c r="F894" s="1">
        <v>0</v>
      </c>
      <c r="G894" s="1">
        <v>-1690.4690000000001</v>
      </c>
      <c r="H894" s="1">
        <v>4930.84</v>
      </c>
      <c r="I894" s="1">
        <v>-3399.049</v>
      </c>
    </row>
    <row r="895" spans="1:9" hidden="1" x14ac:dyDescent="0.25">
      <c r="A895" s="1" t="s">
        <v>9</v>
      </c>
      <c r="B895" s="1" t="s">
        <v>204</v>
      </c>
      <c r="C895" s="1" t="s">
        <v>3</v>
      </c>
      <c r="D895" s="1">
        <v>841.77</v>
      </c>
      <c r="E895" s="1">
        <v>256.13</v>
      </c>
      <c r="F895" s="1">
        <v>0</v>
      </c>
      <c r="G895" s="1">
        <v>-1690.4690000000001</v>
      </c>
      <c r="H895" s="1">
        <v>5050.6419999999998</v>
      </c>
      <c r="I895" s="1">
        <v>-2734.136</v>
      </c>
    </row>
    <row r="896" spans="1:9" hidden="1" x14ac:dyDescent="0.25">
      <c r="A896" s="1" t="s">
        <v>9</v>
      </c>
      <c r="B896" s="1" t="s">
        <v>205</v>
      </c>
      <c r="C896" s="1" t="s">
        <v>143</v>
      </c>
      <c r="D896" s="1">
        <v>821.81</v>
      </c>
      <c r="E896" s="1">
        <v>256.13</v>
      </c>
      <c r="F896" s="1">
        <v>0</v>
      </c>
      <c r="G896" s="1">
        <v>-1383.1110000000001</v>
      </c>
      <c r="H896" s="1">
        <v>4930.84</v>
      </c>
      <c r="I896" s="1">
        <v>-3399.049</v>
      </c>
    </row>
    <row r="897" spans="1:9" hidden="1" x14ac:dyDescent="0.25">
      <c r="A897" s="1" t="s">
        <v>9</v>
      </c>
      <c r="B897" s="1" t="s">
        <v>205</v>
      </c>
      <c r="C897" s="1" t="s">
        <v>3</v>
      </c>
      <c r="D897" s="1">
        <v>841.77</v>
      </c>
      <c r="E897" s="1">
        <v>256.13</v>
      </c>
      <c r="F897" s="1">
        <v>0</v>
      </c>
      <c r="G897" s="1">
        <v>-1383.1110000000001</v>
      </c>
      <c r="H897" s="1">
        <v>5050.6419999999998</v>
      </c>
      <c r="I897" s="1">
        <v>-2734.136</v>
      </c>
    </row>
    <row r="898" spans="1:9" hidden="1" x14ac:dyDescent="0.25">
      <c r="A898" s="1" t="s">
        <v>9</v>
      </c>
      <c r="B898" s="1" t="s">
        <v>206</v>
      </c>
      <c r="C898" s="1" t="s">
        <v>143</v>
      </c>
      <c r="D898" s="1">
        <v>821.81</v>
      </c>
      <c r="E898" s="1">
        <v>0</v>
      </c>
      <c r="F898" s="1">
        <v>-256.13</v>
      </c>
      <c r="G898" s="1">
        <v>-1690.4690000000001</v>
      </c>
      <c r="H898" s="1">
        <v>6462.63</v>
      </c>
      <c r="I898" s="1">
        <v>-4930.84</v>
      </c>
    </row>
    <row r="899" spans="1:9" hidden="1" x14ac:dyDescent="0.25">
      <c r="A899" s="1" t="s">
        <v>9</v>
      </c>
      <c r="B899" s="1" t="s">
        <v>206</v>
      </c>
      <c r="C899" s="1" t="s">
        <v>3</v>
      </c>
      <c r="D899" s="1">
        <v>841.77</v>
      </c>
      <c r="E899" s="1">
        <v>0</v>
      </c>
      <c r="F899" s="1">
        <v>-256.13</v>
      </c>
      <c r="G899" s="1">
        <v>-1690.4690000000001</v>
      </c>
      <c r="H899" s="1">
        <v>7367.1480000000001</v>
      </c>
      <c r="I899" s="1">
        <v>-5050.6419999999998</v>
      </c>
    </row>
    <row r="900" spans="1:9" hidden="1" x14ac:dyDescent="0.25">
      <c r="A900" s="1" t="s">
        <v>9</v>
      </c>
      <c r="B900" s="1" t="s">
        <v>207</v>
      </c>
      <c r="C900" s="1" t="s">
        <v>143</v>
      </c>
      <c r="D900" s="1">
        <v>821.81</v>
      </c>
      <c r="E900" s="1">
        <v>0</v>
      </c>
      <c r="F900" s="1">
        <v>-256.13</v>
      </c>
      <c r="G900" s="1">
        <v>-1383.1110000000001</v>
      </c>
      <c r="H900" s="1">
        <v>6462.63</v>
      </c>
      <c r="I900" s="1">
        <v>-4930.84</v>
      </c>
    </row>
    <row r="901" spans="1:9" hidden="1" x14ac:dyDescent="0.25">
      <c r="A901" s="1" t="s">
        <v>9</v>
      </c>
      <c r="B901" s="1" t="s">
        <v>207</v>
      </c>
      <c r="C901" s="1" t="s">
        <v>3</v>
      </c>
      <c r="D901" s="1">
        <v>841.77</v>
      </c>
      <c r="E901" s="1">
        <v>0</v>
      </c>
      <c r="F901" s="1">
        <v>-256.13</v>
      </c>
      <c r="G901" s="1">
        <v>-1383.1110000000001</v>
      </c>
      <c r="H901" s="1">
        <v>7367.1480000000001</v>
      </c>
      <c r="I901" s="1">
        <v>-5050.6419999999998</v>
      </c>
    </row>
    <row r="902" spans="1:9" hidden="1" x14ac:dyDescent="0.25">
      <c r="A902" s="1" t="s">
        <v>9</v>
      </c>
      <c r="B902" s="1" t="s">
        <v>208</v>
      </c>
      <c r="C902" s="1" t="s">
        <v>143</v>
      </c>
      <c r="D902" s="1">
        <v>821.81</v>
      </c>
      <c r="E902" s="1">
        <v>0</v>
      </c>
      <c r="F902" s="1">
        <v>256.13</v>
      </c>
      <c r="G902" s="1">
        <v>1690.4690000000001</v>
      </c>
      <c r="H902" s="1">
        <v>3399.049</v>
      </c>
      <c r="I902" s="1">
        <v>-4930.84</v>
      </c>
    </row>
    <row r="903" spans="1:9" hidden="1" x14ac:dyDescent="0.25">
      <c r="A903" s="1" t="s">
        <v>9</v>
      </c>
      <c r="B903" s="1" t="s">
        <v>208</v>
      </c>
      <c r="C903" s="1" t="s">
        <v>3</v>
      </c>
      <c r="D903" s="1">
        <v>841.77</v>
      </c>
      <c r="E903" s="1">
        <v>0</v>
      </c>
      <c r="F903" s="1">
        <v>256.13</v>
      </c>
      <c r="G903" s="1">
        <v>1690.4690000000001</v>
      </c>
      <c r="H903" s="1">
        <v>2734.136</v>
      </c>
      <c r="I903" s="1">
        <v>-5050.6419999999998</v>
      </c>
    </row>
    <row r="904" spans="1:9" hidden="1" x14ac:dyDescent="0.25">
      <c r="A904" s="1" t="s">
        <v>9</v>
      </c>
      <c r="B904" s="1" t="s">
        <v>209</v>
      </c>
      <c r="C904" s="1" t="s">
        <v>143</v>
      </c>
      <c r="D904" s="1">
        <v>821.81</v>
      </c>
      <c r="E904" s="1">
        <v>0</v>
      </c>
      <c r="F904" s="1">
        <v>256.13</v>
      </c>
      <c r="G904" s="1">
        <v>1383.1110000000001</v>
      </c>
      <c r="H904" s="1">
        <v>3399.049</v>
      </c>
      <c r="I904" s="1">
        <v>-4930.84</v>
      </c>
    </row>
    <row r="905" spans="1:9" hidden="1" x14ac:dyDescent="0.25">
      <c r="A905" s="1" t="s">
        <v>9</v>
      </c>
      <c r="B905" s="1" t="s">
        <v>209</v>
      </c>
      <c r="C905" s="1" t="s">
        <v>3</v>
      </c>
      <c r="D905" s="1">
        <v>841.77</v>
      </c>
      <c r="E905" s="1">
        <v>0</v>
      </c>
      <c r="F905" s="1">
        <v>256.13</v>
      </c>
      <c r="G905" s="1">
        <v>1383.1110000000001</v>
      </c>
      <c r="H905" s="1">
        <v>2734.136</v>
      </c>
      <c r="I905" s="1">
        <v>-5050.6419999999998</v>
      </c>
    </row>
    <row r="906" spans="1:9" hidden="1" x14ac:dyDescent="0.25">
      <c r="A906" s="1" t="s">
        <v>9</v>
      </c>
      <c r="B906" s="1" t="s">
        <v>210</v>
      </c>
      <c r="C906" s="1" t="s">
        <v>143</v>
      </c>
      <c r="D906" s="1">
        <v>1009.24</v>
      </c>
      <c r="E906" s="1">
        <v>-76.84</v>
      </c>
      <c r="F906" s="1">
        <v>0</v>
      </c>
      <c r="G906" s="1">
        <v>507.14100000000002</v>
      </c>
      <c r="H906" s="1">
        <v>6055.4170000000004</v>
      </c>
      <c r="I906" s="1">
        <v>-6514.9539999999997</v>
      </c>
    </row>
    <row r="907" spans="1:9" hidden="1" x14ac:dyDescent="0.25">
      <c r="A907" s="1" t="s">
        <v>9</v>
      </c>
      <c r="B907" s="1" t="s">
        <v>210</v>
      </c>
      <c r="C907" s="1" t="s">
        <v>3</v>
      </c>
      <c r="D907" s="1">
        <v>1033.76</v>
      </c>
      <c r="E907" s="1">
        <v>-76.84</v>
      </c>
      <c r="F907" s="1">
        <v>0</v>
      </c>
      <c r="G907" s="1">
        <v>507.14100000000002</v>
      </c>
      <c r="H907" s="1">
        <v>6202.5429999999997</v>
      </c>
      <c r="I907" s="1">
        <v>-6897.4939999999997</v>
      </c>
    </row>
    <row r="908" spans="1:9" hidden="1" x14ac:dyDescent="0.25">
      <c r="A908" s="1" t="s">
        <v>9</v>
      </c>
      <c r="B908" s="1" t="s">
        <v>211</v>
      </c>
      <c r="C908" s="1" t="s">
        <v>143</v>
      </c>
      <c r="D908" s="1">
        <v>1009.24</v>
      </c>
      <c r="E908" s="1">
        <v>-76.84</v>
      </c>
      <c r="F908" s="1">
        <v>0</v>
      </c>
      <c r="G908" s="1">
        <v>414.93299999999999</v>
      </c>
      <c r="H908" s="1">
        <v>6055.4170000000004</v>
      </c>
      <c r="I908" s="1">
        <v>-6514.9539999999997</v>
      </c>
    </row>
    <row r="909" spans="1:9" hidden="1" x14ac:dyDescent="0.25">
      <c r="A909" s="1" t="s">
        <v>9</v>
      </c>
      <c r="B909" s="1" t="s">
        <v>211</v>
      </c>
      <c r="C909" s="1" t="s">
        <v>3</v>
      </c>
      <c r="D909" s="1">
        <v>1033.76</v>
      </c>
      <c r="E909" s="1">
        <v>-76.84</v>
      </c>
      <c r="F909" s="1">
        <v>0</v>
      </c>
      <c r="G909" s="1">
        <v>414.93299999999999</v>
      </c>
      <c r="H909" s="1">
        <v>6202.5429999999997</v>
      </c>
      <c r="I909" s="1">
        <v>-6897.4939999999997</v>
      </c>
    </row>
    <row r="910" spans="1:9" hidden="1" x14ac:dyDescent="0.25">
      <c r="A910" s="1" t="s">
        <v>9</v>
      </c>
      <c r="B910" s="1" t="s">
        <v>212</v>
      </c>
      <c r="C910" s="1" t="s">
        <v>143</v>
      </c>
      <c r="D910" s="1">
        <v>1009.24</v>
      </c>
      <c r="E910" s="1">
        <v>76.84</v>
      </c>
      <c r="F910" s="1">
        <v>0</v>
      </c>
      <c r="G910" s="1">
        <v>-507.14100000000002</v>
      </c>
      <c r="H910" s="1">
        <v>6055.4170000000004</v>
      </c>
      <c r="I910" s="1">
        <v>-5595.88</v>
      </c>
    </row>
    <row r="911" spans="1:9" hidden="1" x14ac:dyDescent="0.25">
      <c r="A911" s="1" t="s">
        <v>9</v>
      </c>
      <c r="B911" s="1" t="s">
        <v>212</v>
      </c>
      <c r="C911" s="1" t="s">
        <v>3</v>
      </c>
      <c r="D911" s="1">
        <v>1033.76</v>
      </c>
      <c r="E911" s="1">
        <v>76.84</v>
      </c>
      <c r="F911" s="1">
        <v>0</v>
      </c>
      <c r="G911" s="1">
        <v>-507.14100000000002</v>
      </c>
      <c r="H911" s="1">
        <v>6202.5429999999997</v>
      </c>
      <c r="I911" s="1">
        <v>-5507.5910000000003</v>
      </c>
    </row>
    <row r="912" spans="1:9" hidden="1" x14ac:dyDescent="0.25">
      <c r="A912" s="1" t="s">
        <v>9</v>
      </c>
      <c r="B912" s="1" t="s">
        <v>213</v>
      </c>
      <c r="C912" s="1" t="s">
        <v>143</v>
      </c>
      <c r="D912" s="1">
        <v>1009.24</v>
      </c>
      <c r="E912" s="1">
        <v>76.84</v>
      </c>
      <c r="F912" s="1">
        <v>0</v>
      </c>
      <c r="G912" s="1">
        <v>-414.93299999999999</v>
      </c>
      <c r="H912" s="1">
        <v>6055.4170000000004</v>
      </c>
      <c r="I912" s="1">
        <v>-5595.88</v>
      </c>
    </row>
    <row r="913" spans="1:9" hidden="1" x14ac:dyDescent="0.25">
      <c r="A913" s="1" t="s">
        <v>9</v>
      </c>
      <c r="B913" s="1" t="s">
        <v>213</v>
      </c>
      <c r="C913" s="1" t="s">
        <v>3</v>
      </c>
      <c r="D913" s="1">
        <v>1033.76</v>
      </c>
      <c r="E913" s="1">
        <v>76.84</v>
      </c>
      <c r="F913" s="1">
        <v>0</v>
      </c>
      <c r="G913" s="1">
        <v>-414.93299999999999</v>
      </c>
      <c r="H913" s="1">
        <v>6202.5429999999997</v>
      </c>
      <c r="I913" s="1">
        <v>-5507.5910000000003</v>
      </c>
    </row>
    <row r="914" spans="1:9" hidden="1" x14ac:dyDescent="0.25">
      <c r="A914" s="1" t="s">
        <v>9</v>
      </c>
      <c r="B914" s="1" t="s">
        <v>214</v>
      </c>
      <c r="C914" s="1" t="s">
        <v>143</v>
      </c>
      <c r="D914" s="1">
        <v>1009.24</v>
      </c>
      <c r="E914" s="1">
        <v>0</v>
      </c>
      <c r="F914" s="1">
        <v>-76.84</v>
      </c>
      <c r="G914" s="1">
        <v>-507.14100000000002</v>
      </c>
      <c r="H914" s="1">
        <v>6514.9539999999997</v>
      </c>
      <c r="I914" s="1">
        <v>-6055.4170000000004</v>
      </c>
    </row>
    <row r="915" spans="1:9" hidden="1" x14ac:dyDescent="0.25">
      <c r="A915" s="1" t="s">
        <v>9</v>
      </c>
      <c r="B915" s="1" t="s">
        <v>214</v>
      </c>
      <c r="C915" s="1" t="s">
        <v>3</v>
      </c>
      <c r="D915" s="1">
        <v>1033.76</v>
      </c>
      <c r="E915" s="1">
        <v>0</v>
      </c>
      <c r="F915" s="1">
        <v>-76.84</v>
      </c>
      <c r="G915" s="1">
        <v>-507.14100000000002</v>
      </c>
      <c r="H915" s="1">
        <v>6897.4939999999997</v>
      </c>
      <c r="I915" s="1">
        <v>-6202.5429999999997</v>
      </c>
    </row>
    <row r="916" spans="1:9" hidden="1" x14ac:dyDescent="0.25">
      <c r="A916" s="1" t="s">
        <v>9</v>
      </c>
      <c r="B916" s="1" t="s">
        <v>215</v>
      </c>
      <c r="C916" s="1" t="s">
        <v>143</v>
      </c>
      <c r="D916" s="1">
        <v>1009.24</v>
      </c>
      <c r="E916" s="1">
        <v>0</v>
      </c>
      <c r="F916" s="1">
        <v>-76.84</v>
      </c>
      <c r="G916" s="1">
        <v>-414.93299999999999</v>
      </c>
      <c r="H916" s="1">
        <v>6514.9539999999997</v>
      </c>
      <c r="I916" s="1">
        <v>-6055.4170000000004</v>
      </c>
    </row>
    <row r="917" spans="1:9" hidden="1" x14ac:dyDescent="0.25">
      <c r="A917" s="1" t="s">
        <v>9</v>
      </c>
      <c r="B917" s="1" t="s">
        <v>215</v>
      </c>
      <c r="C917" s="1" t="s">
        <v>3</v>
      </c>
      <c r="D917" s="1">
        <v>1033.76</v>
      </c>
      <c r="E917" s="1">
        <v>0</v>
      </c>
      <c r="F917" s="1">
        <v>-76.84</v>
      </c>
      <c r="G917" s="1">
        <v>-414.93299999999999</v>
      </c>
      <c r="H917" s="1">
        <v>6897.4939999999997</v>
      </c>
      <c r="I917" s="1">
        <v>-6202.5429999999997</v>
      </c>
    </row>
    <row r="918" spans="1:9" hidden="1" x14ac:dyDescent="0.25">
      <c r="A918" s="1" t="s">
        <v>9</v>
      </c>
      <c r="B918" s="1" t="s">
        <v>216</v>
      </c>
      <c r="C918" s="1" t="s">
        <v>143</v>
      </c>
      <c r="D918" s="1">
        <v>1009.24</v>
      </c>
      <c r="E918" s="1">
        <v>0</v>
      </c>
      <c r="F918" s="1">
        <v>76.84</v>
      </c>
      <c r="G918" s="1">
        <v>507.14100000000002</v>
      </c>
      <c r="H918" s="1">
        <v>5595.88</v>
      </c>
      <c r="I918" s="1">
        <v>-6055.4170000000004</v>
      </c>
    </row>
    <row r="919" spans="1:9" hidden="1" x14ac:dyDescent="0.25">
      <c r="A919" s="1" t="s">
        <v>9</v>
      </c>
      <c r="B919" s="1" t="s">
        <v>216</v>
      </c>
      <c r="C919" s="1" t="s">
        <v>3</v>
      </c>
      <c r="D919" s="1">
        <v>1033.76</v>
      </c>
      <c r="E919" s="1">
        <v>0</v>
      </c>
      <c r="F919" s="1">
        <v>76.84</v>
      </c>
      <c r="G919" s="1">
        <v>507.14100000000002</v>
      </c>
      <c r="H919" s="1">
        <v>5507.5910000000003</v>
      </c>
      <c r="I919" s="1">
        <v>-6202.5429999999997</v>
      </c>
    </row>
    <row r="920" spans="1:9" hidden="1" x14ac:dyDescent="0.25">
      <c r="A920" s="1" t="s">
        <v>9</v>
      </c>
      <c r="B920" s="1" t="s">
        <v>217</v>
      </c>
      <c r="C920" s="1" t="s">
        <v>143</v>
      </c>
      <c r="D920" s="1">
        <v>1009.24</v>
      </c>
      <c r="E920" s="1">
        <v>0</v>
      </c>
      <c r="F920" s="1">
        <v>76.84</v>
      </c>
      <c r="G920" s="1">
        <v>414.93299999999999</v>
      </c>
      <c r="H920" s="1">
        <v>5595.88</v>
      </c>
      <c r="I920" s="1">
        <v>-6055.4170000000004</v>
      </c>
    </row>
    <row r="921" spans="1:9" hidden="1" x14ac:dyDescent="0.25">
      <c r="A921" s="1" t="s">
        <v>9</v>
      </c>
      <c r="B921" s="1" t="s">
        <v>217</v>
      </c>
      <c r="C921" s="1" t="s">
        <v>3</v>
      </c>
      <c r="D921" s="1">
        <v>1033.76</v>
      </c>
      <c r="E921" s="1">
        <v>0</v>
      </c>
      <c r="F921" s="1">
        <v>76.84</v>
      </c>
      <c r="G921" s="1">
        <v>414.93299999999999</v>
      </c>
      <c r="H921" s="1">
        <v>5507.5910000000003</v>
      </c>
      <c r="I921" s="1">
        <v>-6202.5429999999997</v>
      </c>
    </row>
    <row r="922" spans="1:9" hidden="1" x14ac:dyDescent="0.25">
      <c r="A922" s="1" t="s">
        <v>9</v>
      </c>
      <c r="B922" s="1" t="s">
        <v>218</v>
      </c>
      <c r="C922" s="1" t="s">
        <v>143</v>
      </c>
      <c r="D922" s="1">
        <v>720.88</v>
      </c>
      <c r="E922" s="1">
        <v>-76.84</v>
      </c>
      <c r="F922" s="1">
        <v>0</v>
      </c>
      <c r="G922" s="1">
        <v>507.14100000000002</v>
      </c>
      <c r="H922" s="1">
        <v>4325.2979999999998</v>
      </c>
      <c r="I922" s="1">
        <v>-4784.835</v>
      </c>
    </row>
    <row r="923" spans="1:9" hidden="1" x14ac:dyDescent="0.25">
      <c r="A923" s="1" t="s">
        <v>9</v>
      </c>
      <c r="B923" s="1" t="s">
        <v>218</v>
      </c>
      <c r="C923" s="1" t="s">
        <v>3</v>
      </c>
      <c r="D923" s="1">
        <v>738.4</v>
      </c>
      <c r="E923" s="1">
        <v>-76.84</v>
      </c>
      <c r="F923" s="1">
        <v>0</v>
      </c>
      <c r="G923" s="1">
        <v>507.14100000000002</v>
      </c>
      <c r="H923" s="1">
        <v>4430.3879999999999</v>
      </c>
      <c r="I923" s="1">
        <v>-5125.3389999999999</v>
      </c>
    </row>
    <row r="924" spans="1:9" hidden="1" x14ac:dyDescent="0.25">
      <c r="A924" s="1" t="s">
        <v>9</v>
      </c>
      <c r="B924" s="1" t="s">
        <v>219</v>
      </c>
      <c r="C924" s="1" t="s">
        <v>143</v>
      </c>
      <c r="D924" s="1">
        <v>720.88</v>
      </c>
      <c r="E924" s="1">
        <v>-76.84</v>
      </c>
      <c r="F924" s="1">
        <v>0</v>
      </c>
      <c r="G924" s="1">
        <v>414.93299999999999</v>
      </c>
      <c r="H924" s="1">
        <v>4325.2979999999998</v>
      </c>
      <c r="I924" s="1">
        <v>-4784.835</v>
      </c>
    </row>
    <row r="925" spans="1:9" hidden="1" x14ac:dyDescent="0.25">
      <c r="A925" s="1" t="s">
        <v>9</v>
      </c>
      <c r="B925" s="1" t="s">
        <v>219</v>
      </c>
      <c r="C925" s="1" t="s">
        <v>3</v>
      </c>
      <c r="D925" s="1">
        <v>738.4</v>
      </c>
      <c r="E925" s="1">
        <v>-76.84</v>
      </c>
      <c r="F925" s="1">
        <v>0</v>
      </c>
      <c r="G925" s="1">
        <v>414.93299999999999</v>
      </c>
      <c r="H925" s="1">
        <v>4430.3879999999999</v>
      </c>
      <c r="I925" s="1">
        <v>-5125.3389999999999</v>
      </c>
    </row>
    <row r="926" spans="1:9" hidden="1" x14ac:dyDescent="0.25">
      <c r="A926" s="1" t="s">
        <v>9</v>
      </c>
      <c r="B926" s="1" t="s">
        <v>220</v>
      </c>
      <c r="C926" s="1" t="s">
        <v>143</v>
      </c>
      <c r="D926" s="1">
        <v>720.88</v>
      </c>
      <c r="E926" s="1">
        <v>76.84</v>
      </c>
      <c r="F926" s="1">
        <v>0</v>
      </c>
      <c r="G926" s="1">
        <v>-507.14100000000002</v>
      </c>
      <c r="H926" s="1">
        <v>4325.2979999999998</v>
      </c>
      <c r="I926" s="1">
        <v>-3865.761</v>
      </c>
    </row>
    <row r="927" spans="1:9" hidden="1" x14ac:dyDescent="0.25">
      <c r="A927" s="1" t="s">
        <v>9</v>
      </c>
      <c r="B927" s="1" t="s">
        <v>220</v>
      </c>
      <c r="C927" s="1" t="s">
        <v>3</v>
      </c>
      <c r="D927" s="1">
        <v>738.4</v>
      </c>
      <c r="E927" s="1">
        <v>76.84</v>
      </c>
      <c r="F927" s="1">
        <v>0</v>
      </c>
      <c r="G927" s="1">
        <v>-507.14100000000002</v>
      </c>
      <c r="H927" s="1">
        <v>4430.3879999999999</v>
      </c>
      <c r="I927" s="1">
        <v>-3735.4360000000001</v>
      </c>
    </row>
    <row r="928" spans="1:9" hidden="1" x14ac:dyDescent="0.25">
      <c r="A928" s="1" t="s">
        <v>9</v>
      </c>
      <c r="B928" s="1" t="s">
        <v>221</v>
      </c>
      <c r="C928" s="1" t="s">
        <v>143</v>
      </c>
      <c r="D928" s="1">
        <v>720.88</v>
      </c>
      <c r="E928" s="1">
        <v>76.84</v>
      </c>
      <c r="F928" s="1">
        <v>0</v>
      </c>
      <c r="G928" s="1">
        <v>-414.93299999999999</v>
      </c>
      <c r="H928" s="1">
        <v>4325.2979999999998</v>
      </c>
      <c r="I928" s="1">
        <v>-3865.761</v>
      </c>
    </row>
    <row r="929" spans="1:9" hidden="1" x14ac:dyDescent="0.25">
      <c r="A929" s="1" t="s">
        <v>9</v>
      </c>
      <c r="B929" s="1" t="s">
        <v>221</v>
      </c>
      <c r="C929" s="1" t="s">
        <v>3</v>
      </c>
      <c r="D929" s="1">
        <v>738.4</v>
      </c>
      <c r="E929" s="1">
        <v>76.84</v>
      </c>
      <c r="F929" s="1">
        <v>0</v>
      </c>
      <c r="G929" s="1">
        <v>-414.93299999999999</v>
      </c>
      <c r="H929" s="1">
        <v>4430.3879999999999</v>
      </c>
      <c r="I929" s="1">
        <v>-3735.4360000000001</v>
      </c>
    </row>
    <row r="930" spans="1:9" hidden="1" x14ac:dyDescent="0.25">
      <c r="A930" s="1" t="s">
        <v>9</v>
      </c>
      <c r="B930" s="1" t="s">
        <v>222</v>
      </c>
      <c r="C930" s="1" t="s">
        <v>143</v>
      </c>
      <c r="D930" s="1">
        <v>720.88</v>
      </c>
      <c r="E930" s="1">
        <v>0</v>
      </c>
      <c r="F930" s="1">
        <v>-76.84</v>
      </c>
      <c r="G930" s="1">
        <v>-507.14100000000002</v>
      </c>
      <c r="H930" s="1">
        <v>4784.835</v>
      </c>
      <c r="I930" s="1">
        <v>-4325.2979999999998</v>
      </c>
    </row>
    <row r="931" spans="1:9" hidden="1" x14ac:dyDescent="0.25">
      <c r="A931" s="1" t="s">
        <v>9</v>
      </c>
      <c r="B931" s="1" t="s">
        <v>222</v>
      </c>
      <c r="C931" s="1" t="s">
        <v>3</v>
      </c>
      <c r="D931" s="1">
        <v>738.4</v>
      </c>
      <c r="E931" s="1">
        <v>0</v>
      </c>
      <c r="F931" s="1">
        <v>-76.84</v>
      </c>
      <c r="G931" s="1">
        <v>-507.14100000000002</v>
      </c>
      <c r="H931" s="1">
        <v>5125.3389999999999</v>
      </c>
      <c r="I931" s="1">
        <v>-4430.3879999999999</v>
      </c>
    </row>
    <row r="932" spans="1:9" hidden="1" x14ac:dyDescent="0.25">
      <c r="A932" s="1" t="s">
        <v>9</v>
      </c>
      <c r="B932" s="1" t="s">
        <v>223</v>
      </c>
      <c r="C932" s="1" t="s">
        <v>143</v>
      </c>
      <c r="D932" s="1">
        <v>720.88</v>
      </c>
      <c r="E932" s="1">
        <v>0</v>
      </c>
      <c r="F932" s="1">
        <v>-76.84</v>
      </c>
      <c r="G932" s="1">
        <v>-414.93299999999999</v>
      </c>
      <c r="H932" s="1">
        <v>4784.835</v>
      </c>
      <c r="I932" s="1">
        <v>-4325.2979999999998</v>
      </c>
    </row>
    <row r="933" spans="1:9" hidden="1" x14ac:dyDescent="0.25">
      <c r="A933" s="1" t="s">
        <v>9</v>
      </c>
      <c r="B933" s="1" t="s">
        <v>223</v>
      </c>
      <c r="C933" s="1" t="s">
        <v>3</v>
      </c>
      <c r="D933" s="1">
        <v>738.4</v>
      </c>
      <c r="E933" s="1">
        <v>0</v>
      </c>
      <c r="F933" s="1">
        <v>-76.84</v>
      </c>
      <c r="G933" s="1">
        <v>-414.93299999999999</v>
      </c>
      <c r="H933" s="1">
        <v>5125.3389999999999</v>
      </c>
      <c r="I933" s="1">
        <v>-4430.3879999999999</v>
      </c>
    </row>
    <row r="934" spans="1:9" hidden="1" x14ac:dyDescent="0.25">
      <c r="A934" s="1" t="s">
        <v>9</v>
      </c>
      <c r="B934" s="1" t="s">
        <v>224</v>
      </c>
      <c r="C934" s="1" t="s">
        <v>143</v>
      </c>
      <c r="D934" s="1">
        <v>720.88</v>
      </c>
      <c r="E934" s="1">
        <v>0</v>
      </c>
      <c r="F934" s="1">
        <v>76.84</v>
      </c>
      <c r="G934" s="1">
        <v>507.14100000000002</v>
      </c>
      <c r="H934" s="1">
        <v>3865.761</v>
      </c>
      <c r="I934" s="1">
        <v>-4325.2979999999998</v>
      </c>
    </row>
    <row r="935" spans="1:9" hidden="1" x14ac:dyDescent="0.25">
      <c r="A935" s="1" t="s">
        <v>9</v>
      </c>
      <c r="B935" s="1" t="s">
        <v>224</v>
      </c>
      <c r="C935" s="1" t="s">
        <v>3</v>
      </c>
      <c r="D935" s="1">
        <v>738.4</v>
      </c>
      <c r="E935" s="1">
        <v>0</v>
      </c>
      <c r="F935" s="1">
        <v>76.84</v>
      </c>
      <c r="G935" s="1">
        <v>507.14100000000002</v>
      </c>
      <c r="H935" s="1">
        <v>3735.4360000000001</v>
      </c>
      <c r="I935" s="1">
        <v>-4430.3879999999999</v>
      </c>
    </row>
    <row r="936" spans="1:9" hidden="1" x14ac:dyDescent="0.25">
      <c r="A936" s="1" t="s">
        <v>9</v>
      </c>
      <c r="B936" s="1" t="s">
        <v>225</v>
      </c>
      <c r="C936" s="1" t="s">
        <v>143</v>
      </c>
      <c r="D936" s="1">
        <v>720.88</v>
      </c>
      <c r="E936" s="1">
        <v>0</v>
      </c>
      <c r="F936" s="1">
        <v>76.84</v>
      </c>
      <c r="G936" s="1">
        <v>414.93299999999999</v>
      </c>
      <c r="H936" s="1">
        <v>3865.761</v>
      </c>
      <c r="I936" s="1">
        <v>-4325.2979999999998</v>
      </c>
    </row>
    <row r="937" spans="1:9" hidden="1" x14ac:dyDescent="0.25">
      <c r="A937" s="1" t="s">
        <v>9</v>
      </c>
      <c r="B937" s="1" t="s">
        <v>225</v>
      </c>
      <c r="C937" s="1" t="s">
        <v>3</v>
      </c>
      <c r="D937" s="1">
        <v>738.4</v>
      </c>
      <c r="E937" s="1">
        <v>0</v>
      </c>
      <c r="F937" s="1">
        <v>76.84</v>
      </c>
      <c r="G937" s="1">
        <v>414.93299999999999</v>
      </c>
      <c r="H937" s="1">
        <v>3735.4360000000001</v>
      </c>
      <c r="I937" s="1">
        <v>-4430.3879999999999</v>
      </c>
    </row>
    <row r="938" spans="1:9" hidden="1" x14ac:dyDescent="0.25">
      <c r="A938" s="1" t="s">
        <v>9</v>
      </c>
      <c r="B938" s="1" t="s">
        <v>226</v>
      </c>
      <c r="C938" s="1" t="s">
        <v>143</v>
      </c>
      <c r="D938" s="1">
        <v>1283.07</v>
      </c>
      <c r="E938" s="1">
        <v>289.55</v>
      </c>
      <c r="F938" s="1">
        <v>0</v>
      </c>
      <c r="G938" s="1">
        <v>1916.9390000000001</v>
      </c>
      <c r="H938" s="1">
        <v>7698.3950000000004</v>
      </c>
      <c r="I938" s="1">
        <v>-6166.9030000000002</v>
      </c>
    </row>
    <row r="939" spans="1:9" hidden="1" x14ac:dyDescent="0.25">
      <c r="A939" s="1" t="s">
        <v>9</v>
      </c>
      <c r="B939" s="1" t="s">
        <v>226</v>
      </c>
      <c r="C939" s="1" t="s">
        <v>3</v>
      </c>
      <c r="D939" s="1">
        <v>1312.14</v>
      </c>
      <c r="E939" s="1">
        <v>289.55</v>
      </c>
      <c r="F939" s="1">
        <v>0</v>
      </c>
      <c r="G939" s="1">
        <v>1916.9390000000001</v>
      </c>
      <c r="H939" s="1">
        <v>7872.8440000000001</v>
      </c>
      <c r="I939" s="1">
        <v>-5460.5010000000002</v>
      </c>
    </row>
    <row r="940" spans="1:9" hidden="1" x14ac:dyDescent="0.25">
      <c r="A940" s="1" t="s">
        <v>9</v>
      </c>
      <c r="B940" s="1" t="s">
        <v>227</v>
      </c>
      <c r="C940" s="1" t="s">
        <v>143</v>
      </c>
      <c r="D940" s="1">
        <v>1283.07</v>
      </c>
      <c r="E940" s="1">
        <v>-289.55</v>
      </c>
      <c r="F940" s="1">
        <v>0</v>
      </c>
      <c r="G940" s="1">
        <v>-1916.9390000000001</v>
      </c>
      <c r="H940" s="1">
        <v>7698.3950000000004</v>
      </c>
      <c r="I940" s="1">
        <v>-9229.8860000000004</v>
      </c>
    </row>
    <row r="941" spans="1:9" hidden="1" x14ac:dyDescent="0.25">
      <c r="A941" s="1" t="s">
        <v>9</v>
      </c>
      <c r="B941" s="1" t="s">
        <v>227</v>
      </c>
      <c r="C941" s="1" t="s">
        <v>3</v>
      </c>
      <c r="D941" s="1">
        <v>1312.14</v>
      </c>
      <c r="E941" s="1">
        <v>-289.55</v>
      </c>
      <c r="F941" s="1">
        <v>0</v>
      </c>
      <c r="G941" s="1">
        <v>-1916.9390000000001</v>
      </c>
      <c r="H941" s="1">
        <v>7872.8440000000001</v>
      </c>
      <c r="I941" s="1">
        <v>-10285.186</v>
      </c>
    </row>
    <row r="942" spans="1:9" hidden="1" x14ac:dyDescent="0.25">
      <c r="A942" s="1" t="s">
        <v>9</v>
      </c>
      <c r="B942" s="1" t="s">
        <v>228</v>
      </c>
      <c r="C942" s="1" t="s">
        <v>143</v>
      </c>
      <c r="D942" s="1">
        <v>1196.56</v>
      </c>
      <c r="E942" s="1">
        <v>289.55</v>
      </c>
      <c r="F942" s="1">
        <v>0</v>
      </c>
      <c r="G942" s="1">
        <v>1916.9390000000001</v>
      </c>
      <c r="H942" s="1">
        <v>7179.3590000000004</v>
      </c>
      <c r="I942" s="1">
        <v>-5647.8670000000002</v>
      </c>
    </row>
    <row r="943" spans="1:9" hidden="1" x14ac:dyDescent="0.25">
      <c r="A943" s="1" t="s">
        <v>9</v>
      </c>
      <c r="B943" s="1" t="s">
        <v>228</v>
      </c>
      <c r="C943" s="1" t="s">
        <v>3</v>
      </c>
      <c r="D943" s="1">
        <v>1223.53</v>
      </c>
      <c r="E943" s="1">
        <v>289.55</v>
      </c>
      <c r="F943" s="1">
        <v>0</v>
      </c>
      <c r="G943" s="1">
        <v>1916.9390000000001</v>
      </c>
      <c r="H943" s="1">
        <v>7341.1970000000001</v>
      </c>
      <c r="I943" s="1">
        <v>-4928.8549999999996</v>
      </c>
    </row>
    <row r="944" spans="1:9" hidden="1" x14ac:dyDescent="0.25">
      <c r="A944" s="1" t="s">
        <v>9</v>
      </c>
      <c r="B944" s="1" t="s">
        <v>229</v>
      </c>
      <c r="C944" s="1" t="s">
        <v>143</v>
      </c>
      <c r="D944" s="1">
        <v>1196.56</v>
      </c>
      <c r="E944" s="1">
        <v>-289.55</v>
      </c>
      <c r="F944" s="1">
        <v>0</v>
      </c>
      <c r="G944" s="1">
        <v>-1916.9390000000001</v>
      </c>
      <c r="H944" s="1">
        <v>7179.3590000000004</v>
      </c>
      <c r="I944" s="1">
        <v>-8710.8510000000006</v>
      </c>
    </row>
    <row r="945" spans="1:9" hidden="1" x14ac:dyDescent="0.25">
      <c r="A945" s="1" t="s">
        <v>9</v>
      </c>
      <c r="B945" s="1" t="s">
        <v>229</v>
      </c>
      <c r="C945" s="1" t="s">
        <v>3</v>
      </c>
      <c r="D945" s="1">
        <v>1223.53</v>
      </c>
      <c r="E945" s="1">
        <v>-289.55</v>
      </c>
      <c r="F945" s="1">
        <v>0</v>
      </c>
      <c r="G945" s="1">
        <v>-1916.9390000000001</v>
      </c>
      <c r="H945" s="1">
        <v>7341.1970000000001</v>
      </c>
      <c r="I945" s="1">
        <v>-9753.5400000000009</v>
      </c>
    </row>
    <row r="946" spans="1:9" hidden="1" x14ac:dyDescent="0.25">
      <c r="A946" s="1" t="s">
        <v>9</v>
      </c>
      <c r="B946" s="1" t="s">
        <v>230</v>
      </c>
      <c r="C946" s="1" t="s">
        <v>143</v>
      </c>
      <c r="D946" s="1">
        <v>1283.07</v>
      </c>
      <c r="E946" s="1">
        <v>0</v>
      </c>
      <c r="F946" s="1">
        <v>265.42</v>
      </c>
      <c r="G946" s="1">
        <v>1757.194</v>
      </c>
      <c r="H946" s="1">
        <v>9102.2620000000006</v>
      </c>
      <c r="I946" s="1">
        <v>-7698.3950000000004</v>
      </c>
    </row>
    <row r="947" spans="1:9" hidden="1" x14ac:dyDescent="0.25">
      <c r="A947" s="1" t="s">
        <v>9</v>
      </c>
      <c r="B947" s="1" t="s">
        <v>230</v>
      </c>
      <c r="C947" s="1" t="s">
        <v>3</v>
      </c>
      <c r="D947" s="1">
        <v>1312.14</v>
      </c>
      <c r="E947" s="1">
        <v>0</v>
      </c>
      <c r="F947" s="1">
        <v>265.42</v>
      </c>
      <c r="G947" s="1">
        <v>1757.194</v>
      </c>
      <c r="H947" s="1">
        <v>10084.156999999999</v>
      </c>
      <c r="I947" s="1">
        <v>-7872.8440000000001</v>
      </c>
    </row>
    <row r="948" spans="1:9" hidden="1" x14ac:dyDescent="0.25">
      <c r="A948" s="1" t="s">
        <v>9</v>
      </c>
      <c r="B948" s="1" t="s">
        <v>231</v>
      </c>
      <c r="C948" s="1" t="s">
        <v>143</v>
      </c>
      <c r="D948" s="1">
        <v>1283.07</v>
      </c>
      <c r="E948" s="1">
        <v>0</v>
      </c>
      <c r="F948" s="1">
        <v>-265.42</v>
      </c>
      <c r="G948" s="1">
        <v>-1757.194</v>
      </c>
      <c r="H948" s="1">
        <v>6294.527</v>
      </c>
      <c r="I948" s="1">
        <v>-7698.3950000000004</v>
      </c>
    </row>
    <row r="949" spans="1:9" hidden="1" x14ac:dyDescent="0.25">
      <c r="A949" s="1" t="s">
        <v>9</v>
      </c>
      <c r="B949" s="1" t="s">
        <v>231</v>
      </c>
      <c r="C949" s="1" t="s">
        <v>3</v>
      </c>
      <c r="D949" s="1">
        <v>1312.14</v>
      </c>
      <c r="E949" s="1">
        <v>0</v>
      </c>
      <c r="F949" s="1">
        <v>-265.42</v>
      </c>
      <c r="G949" s="1">
        <v>-1757.194</v>
      </c>
      <c r="H949" s="1">
        <v>5661.53</v>
      </c>
      <c r="I949" s="1">
        <v>-7872.8440000000001</v>
      </c>
    </row>
    <row r="950" spans="1:9" hidden="1" x14ac:dyDescent="0.25">
      <c r="A950" s="1" t="s">
        <v>9</v>
      </c>
      <c r="B950" s="1" t="s">
        <v>232</v>
      </c>
      <c r="C950" s="1" t="s">
        <v>143</v>
      </c>
      <c r="D950" s="1">
        <v>1196.56</v>
      </c>
      <c r="E950" s="1">
        <v>0</v>
      </c>
      <c r="F950" s="1">
        <v>265.42</v>
      </c>
      <c r="G950" s="1">
        <v>1757.194</v>
      </c>
      <c r="H950" s="1">
        <v>8583.2260000000006</v>
      </c>
      <c r="I950" s="1">
        <v>-7179.3590000000004</v>
      </c>
    </row>
    <row r="951" spans="1:9" hidden="1" x14ac:dyDescent="0.25">
      <c r="A951" s="1" t="s">
        <v>9</v>
      </c>
      <c r="B951" s="1" t="s">
        <v>232</v>
      </c>
      <c r="C951" s="1" t="s">
        <v>3</v>
      </c>
      <c r="D951" s="1">
        <v>1223.53</v>
      </c>
      <c r="E951" s="1">
        <v>0</v>
      </c>
      <c r="F951" s="1">
        <v>265.42</v>
      </c>
      <c r="G951" s="1">
        <v>1757.194</v>
      </c>
      <c r="H951" s="1">
        <v>9552.5110000000004</v>
      </c>
      <c r="I951" s="1">
        <v>-7341.1970000000001</v>
      </c>
    </row>
    <row r="952" spans="1:9" hidden="1" x14ac:dyDescent="0.25">
      <c r="A952" s="1" t="s">
        <v>9</v>
      </c>
      <c r="B952" s="1" t="s">
        <v>233</v>
      </c>
      <c r="C952" s="1" t="s">
        <v>143</v>
      </c>
      <c r="D952" s="1">
        <v>1196.56</v>
      </c>
      <c r="E952" s="1">
        <v>0</v>
      </c>
      <c r="F952" s="1">
        <v>-265.42</v>
      </c>
      <c r="G952" s="1">
        <v>-1757.194</v>
      </c>
      <c r="H952" s="1">
        <v>5775.491</v>
      </c>
      <c r="I952" s="1">
        <v>-7179.3590000000004</v>
      </c>
    </row>
    <row r="953" spans="1:9" hidden="1" x14ac:dyDescent="0.25">
      <c r="A953" s="1" t="s">
        <v>9</v>
      </c>
      <c r="B953" s="1" t="s">
        <v>233</v>
      </c>
      <c r="C953" s="1" t="s">
        <v>3</v>
      </c>
      <c r="D953" s="1">
        <v>1223.53</v>
      </c>
      <c r="E953" s="1">
        <v>0</v>
      </c>
      <c r="F953" s="1">
        <v>-265.42</v>
      </c>
      <c r="G953" s="1">
        <v>-1757.194</v>
      </c>
      <c r="H953" s="1">
        <v>5129.8829999999998</v>
      </c>
      <c r="I953" s="1">
        <v>-7341.1970000000001</v>
      </c>
    </row>
    <row r="954" spans="1:9" hidden="1" x14ac:dyDescent="0.25">
      <c r="A954" s="1" t="s">
        <v>9</v>
      </c>
      <c r="B954" s="1" t="s">
        <v>234</v>
      </c>
      <c r="C954" s="1" t="s">
        <v>143</v>
      </c>
      <c r="D954" s="1">
        <v>1383.99</v>
      </c>
      <c r="E954" s="1">
        <v>86.86</v>
      </c>
      <c r="F954" s="1">
        <v>0</v>
      </c>
      <c r="G954" s="1">
        <v>575.08199999999999</v>
      </c>
      <c r="H954" s="1">
        <v>8303.9359999999997</v>
      </c>
      <c r="I954" s="1">
        <v>-7844.4889999999996</v>
      </c>
    </row>
    <row r="955" spans="1:9" hidden="1" x14ac:dyDescent="0.25">
      <c r="A955" s="1" t="s">
        <v>9</v>
      </c>
      <c r="B955" s="1" t="s">
        <v>234</v>
      </c>
      <c r="C955" s="1" t="s">
        <v>3</v>
      </c>
      <c r="D955" s="1">
        <v>1415.52</v>
      </c>
      <c r="E955" s="1">
        <v>86.86</v>
      </c>
      <c r="F955" s="1">
        <v>0</v>
      </c>
      <c r="G955" s="1">
        <v>575.08199999999999</v>
      </c>
      <c r="H955" s="1">
        <v>8493.098</v>
      </c>
      <c r="I955" s="1">
        <v>-7769.3950000000004</v>
      </c>
    </row>
    <row r="956" spans="1:9" hidden="1" x14ac:dyDescent="0.25">
      <c r="A956" s="1" t="s">
        <v>9</v>
      </c>
      <c r="B956" s="1" t="s">
        <v>235</v>
      </c>
      <c r="C956" s="1" t="s">
        <v>143</v>
      </c>
      <c r="D956" s="1">
        <v>1383.99</v>
      </c>
      <c r="E956" s="1">
        <v>-86.86</v>
      </c>
      <c r="F956" s="1">
        <v>0</v>
      </c>
      <c r="G956" s="1">
        <v>-575.08199999999999</v>
      </c>
      <c r="H956" s="1">
        <v>8303.9359999999997</v>
      </c>
      <c r="I956" s="1">
        <v>-8763.384</v>
      </c>
    </row>
    <row r="957" spans="1:9" hidden="1" x14ac:dyDescent="0.25">
      <c r="A957" s="1" t="s">
        <v>9</v>
      </c>
      <c r="B957" s="1" t="s">
        <v>235</v>
      </c>
      <c r="C957" s="1" t="s">
        <v>3</v>
      </c>
      <c r="D957" s="1">
        <v>1415.52</v>
      </c>
      <c r="E957" s="1">
        <v>-86.86</v>
      </c>
      <c r="F957" s="1">
        <v>0</v>
      </c>
      <c r="G957" s="1">
        <v>-575.08199999999999</v>
      </c>
      <c r="H957" s="1">
        <v>8493.098</v>
      </c>
      <c r="I957" s="1">
        <v>-9216.8009999999995</v>
      </c>
    </row>
    <row r="958" spans="1:9" hidden="1" x14ac:dyDescent="0.25">
      <c r="A958" s="1" t="s">
        <v>9</v>
      </c>
      <c r="B958" s="1" t="s">
        <v>236</v>
      </c>
      <c r="C958" s="1" t="s">
        <v>143</v>
      </c>
      <c r="D958" s="1">
        <v>1095.6400000000001</v>
      </c>
      <c r="E958" s="1">
        <v>86.86</v>
      </c>
      <c r="F958" s="1">
        <v>0</v>
      </c>
      <c r="G958" s="1">
        <v>575.08199999999999</v>
      </c>
      <c r="H958" s="1">
        <v>6573.817</v>
      </c>
      <c r="I958" s="1">
        <v>-6114.37</v>
      </c>
    </row>
    <row r="959" spans="1:9" hidden="1" x14ac:dyDescent="0.25">
      <c r="A959" s="1" t="s">
        <v>9</v>
      </c>
      <c r="B959" s="1" t="s">
        <v>236</v>
      </c>
      <c r="C959" s="1" t="s">
        <v>3</v>
      </c>
      <c r="D959" s="1">
        <v>1120.1600000000001</v>
      </c>
      <c r="E959" s="1">
        <v>86.86</v>
      </c>
      <c r="F959" s="1">
        <v>0</v>
      </c>
      <c r="G959" s="1">
        <v>575.08199999999999</v>
      </c>
      <c r="H959" s="1">
        <v>6720.9430000000002</v>
      </c>
      <c r="I959" s="1">
        <v>-5997.24</v>
      </c>
    </row>
    <row r="960" spans="1:9" hidden="1" x14ac:dyDescent="0.25">
      <c r="A960" s="1" t="s">
        <v>9</v>
      </c>
      <c r="B960" s="1" t="s">
        <v>237</v>
      </c>
      <c r="C960" s="1" t="s">
        <v>143</v>
      </c>
      <c r="D960" s="1">
        <v>1095.6400000000001</v>
      </c>
      <c r="E960" s="1">
        <v>-86.86</v>
      </c>
      <c r="F960" s="1">
        <v>0</v>
      </c>
      <c r="G960" s="1">
        <v>-575.08199999999999</v>
      </c>
      <c r="H960" s="1">
        <v>6573.817</v>
      </c>
      <c r="I960" s="1">
        <v>-7033.2650000000003</v>
      </c>
    </row>
    <row r="961" spans="1:9" hidden="1" x14ac:dyDescent="0.25">
      <c r="A961" s="1" t="s">
        <v>9</v>
      </c>
      <c r="B961" s="1" t="s">
        <v>237</v>
      </c>
      <c r="C961" s="1" t="s">
        <v>3</v>
      </c>
      <c r="D961" s="1">
        <v>1120.1600000000001</v>
      </c>
      <c r="E961" s="1">
        <v>-86.86</v>
      </c>
      <c r="F961" s="1">
        <v>0</v>
      </c>
      <c r="G961" s="1">
        <v>-575.08199999999999</v>
      </c>
      <c r="H961" s="1">
        <v>6720.9430000000002</v>
      </c>
      <c r="I961" s="1">
        <v>-7444.6450000000004</v>
      </c>
    </row>
    <row r="962" spans="1:9" hidden="1" x14ac:dyDescent="0.25">
      <c r="A962" s="1" t="s">
        <v>9</v>
      </c>
      <c r="B962" s="1" t="s">
        <v>238</v>
      </c>
      <c r="C962" s="1" t="s">
        <v>143</v>
      </c>
      <c r="D962" s="1">
        <v>1383.99</v>
      </c>
      <c r="E962" s="1">
        <v>0</v>
      </c>
      <c r="F962" s="1">
        <v>79.62</v>
      </c>
      <c r="G962" s="1">
        <v>527.15800000000002</v>
      </c>
      <c r="H962" s="1">
        <v>8725.0969999999998</v>
      </c>
      <c r="I962" s="1">
        <v>-8303.9359999999997</v>
      </c>
    </row>
    <row r="963" spans="1:9" hidden="1" x14ac:dyDescent="0.25">
      <c r="A963" s="1" t="s">
        <v>9</v>
      </c>
      <c r="B963" s="1" t="s">
        <v>238</v>
      </c>
      <c r="C963" s="1" t="s">
        <v>3</v>
      </c>
      <c r="D963" s="1">
        <v>1415.52</v>
      </c>
      <c r="E963" s="1">
        <v>0</v>
      </c>
      <c r="F963" s="1">
        <v>79.62</v>
      </c>
      <c r="G963" s="1">
        <v>527.15800000000002</v>
      </c>
      <c r="H963" s="1">
        <v>9156.4920000000002</v>
      </c>
      <c r="I963" s="1">
        <v>-8493.098</v>
      </c>
    </row>
    <row r="964" spans="1:9" hidden="1" x14ac:dyDescent="0.25">
      <c r="A964" s="1" t="s">
        <v>9</v>
      </c>
      <c r="B964" s="1" t="s">
        <v>239</v>
      </c>
      <c r="C964" s="1" t="s">
        <v>143</v>
      </c>
      <c r="D964" s="1">
        <v>1383.99</v>
      </c>
      <c r="E964" s="1">
        <v>0</v>
      </c>
      <c r="F964" s="1">
        <v>-79.62</v>
      </c>
      <c r="G964" s="1">
        <v>-527.15800000000002</v>
      </c>
      <c r="H964" s="1">
        <v>7882.7759999999998</v>
      </c>
      <c r="I964" s="1">
        <v>-8303.9359999999997</v>
      </c>
    </row>
    <row r="965" spans="1:9" hidden="1" x14ac:dyDescent="0.25">
      <c r="A965" s="1" t="s">
        <v>9</v>
      </c>
      <c r="B965" s="1" t="s">
        <v>239</v>
      </c>
      <c r="C965" s="1" t="s">
        <v>3</v>
      </c>
      <c r="D965" s="1">
        <v>1415.52</v>
      </c>
      <c r="E965" s="1">
        <v>0</v>
      </c>
      <c r="F965" s="1">
        <v>-79.62</v>
      </c>
      <c r="G965" s="1">
        <v>-527.15800000000002</v>
      </c>
      <c r="H965" s="1">
        <v>7829.7039999999997</v>
      </c>
      <c r="I965" s="1">
        <v>-8493.098</v>
      </c>
    </row>
    <row r="966" spans="1:9" hidden="1" x14ac:dyDescent="0.25">
      <c r="A966" s="1" t="s">
        <v>9</v>
      </c>
      <c r="B966" s="1" t="s">
        <v>240</v>
      </c>
      <c r="C966" s="1" t="s">
        <v>143</v>
      </c>
      <c r="D966" s="1">
        <v>1095.6400000000001</v>
      </c>
      <c r="E966" s="1">
        <v>0</v>
      </c>
      <c r="F966" s="1">
        <v>79.62</v>
      </c>
      <c r="G966" s="1">
        <v>527.15800000000002</v>
      </c>
      <c r="H966" s="1">
        <v>6994.9769999999999</v>
      </c>
      <c r="I966" s="1">
        <v>-6573.817</v>
      </c>
    </row>
    <row r="967" spans="1:9" hidden="1" x14ac:dyDescent="0.25">
      <c r="A967" s="1" t="s">
        <v>9</v>
      </c>
      <c r="B967" s="1" t="s">
        <v>240</v>
      </c>
      <c r="C967" s="1" t="s">
        <v>3</v>
      </c>
      <c r="D967" s="1">
        <v>1120.1600000000001</v>
      </c>
      <c r="E967" s="1">
        <v>0</v>
      </c>
      <c r="F967" s="1">
        <v>79.62</v>
      </c>
      <c r="G967" s="1">
        <v>527.15800000000002</v>
      </c>
      <c r="H967" s="1">
        <v>7384.3370000000004</v>
      </c>
      <c r="I967" s="1">
        <v>-6720.9430000000002</v>
      </c>
    </row>
    <row r="968" spans="1:9" hidden="1" x14ac:dyDescent="0.25">
      <c r="A968" s="1" t="s">
        <v>9</v>
      </c>
      <c r="B968" s="1" t="s">
        <v>241</v>
      </c>
      <c r="C968" s="1" t="s">
        <v>143</v>
      </c>
      <c r="D968" s="1">
        <v>1095.6400000000001</v>
      </c>
      <c r="E968" s="1">
        <v>0</v>
      </c>
      <c r="F968" s="1">
        <v>-79.62</v>
      </c>
      <c r="G968" s="1">
        <v>-527.15800000000002</v>
      </c>
      <c r="H968" s="1">
        <v>6152.6570000000002</v>
      </c>
      <c r="I968" s="1">
        <v>-6573.817</v>
      </c>
    </row>
    <row r="969" spans="1:9" hidden="1" x14ac:dyDescent="0.25">
      <c r="A969" s="1" t="s">
        <v>9</v>
      </c>
      <c r="B969" s="1" t="s">
        <v>241</v>
      </c>
      <c r="C969" s="1" t="s">
        <v>3</v>
      </c>
      <c r="D969" s="1">
        <v>1120.1600000000001</v>
      </c>
      <c r="E969" s="1">
        <v>0</v>
      </c>
      <c r="F969" s="1">
        <v>-79.62</v>
      </c>
      <c r="G969" s="1">
        <v>-527.15800000000002</v>
      </c>
      <c r="H969" s="1">
        <v>6057.549</v>
      </c>
      <c r="I969" s="1">
        <v>-6720.9430000000002</v>
      </c>
    </row>
    <row r="970" spans="1:9" hidden="1" x14ac:dyDescent="0.25">
      <c r="A970" s="1" t="s">
        <v>9</v>
      </c>
      <c r="B970" s="1" t="s">
        <v>242</v>
      </c>
      <c r="C970" s="1" t="s">
        <v>143</v>
      </c>
      <c r="D970" s="1">
        <v>908.31</v>
      </c>
      <c r="E970" s="1">
        <v>289.55</v>
      </c>
      <c r="F970" s="1">
        <v>0</v>
      </c>
      <c r="G970" s="1">
        <v>1916.9390000000001</v>
      </c>
      <c r="H970" s="1">
        <v>5449.875</v>
      </c>
      <c r="I970" s="1">
        <v>-3918.384</v>
      </c>
    </row>
    <row r="971" spans="1:9" hidden="1" x14ac:dyDescent="0.25">
      <c r="A971" s="1" t="s">
        <v>9</v>
      </c>
      <c r="B971" s="1" t="s">
        <v>242</v>
      </c>
      <c r="C971" s="1" t="s">
        <v>3</v>
      </c>
      <c r="D971" s="1">
        <v>930.38</v>
      </c>
      <c r="E971" s="1">
        <v>289.55</v>
      </c>
      <c r="F971" s="1">
        <v>0</v>
      </c>
      <c r="G971" s="1">
        <v>1916.9390000000001</v>
      </c>
      <c r="H971" s="1">
        <v>5582.2879999999996</v>
      </c>
      <c r="I971" s="1">
        <v>-3169.9459999999999</v>
      </c>
    </row>
    <row r="972" spans="1:9" hidden="1" x14ac:dyDescent="0.25">
      <c r="A972" s="1" t="s">
        <v>9</v>
      </c>
      <c r="B972" s="1" t="s">
        <v>243</v>
      </c>
      <c r="C972" s="1" t="s">
        <v>143</v>
      </c>
      <c r="D972" s="1">
        <v>908.31</v>
      </c>
      <c r="E972" s="1">
        <v>-289.55</v>
      </c>
      <c r="F972" s="1">
        <v>0</v>
      </c>
      <c r="G972" s="1">
        <v>-1916.9390000000001</v>
      </c>
      <c r="H972" s="1">
        <v>5449.875</v>
      </c>
      <c r="I972" s="1">
        <v>-6981.3670000000002</v>
      </c>
    </row>
    <row r="973" spans="1:9" hidden="1" x14ac:dyDescent="0.25">
      <c r="A973" s="1" t="s">
        <v>9</v>
      </c>
      <c r="B973" s="1" t="s">
        <v>243</v>
      </c>
      <c r="C973" s="1" t="s">
        <v>3</v>
      </c>
      <c r="D973" s="1">
        <v>930.38</v>
      </c>
      <c r="E973" s="1">
        <v>-289.55</v>
      </c>
      <c r="F973" s="1">
        <v>0</v>
      </c>
      <c r="G973" s="1">
        <v>-1916.9390000000001</v>
      </c>
      <c r="H973" s="1">
        <v>5582.2879999999996</v>
      </c>
      <c r="I973" s="1">
        <v>-7994.6310000000003</v>
      </c>
    </row>
    <row r="974" spans="1:9" hidden="1" x14ac:dyDescent="0.25">
      <c r="A974" s="1" t="s">
        <v>9</v>
      </c>
      <c r="B974" s="1" t="s">
        <v>244</v>
      </c>
      <c r="C974" s="1" t="s">
        <v>143</v>
      </c>
      <c r="D974" s="1">
        <v>821.81</v>
      </c>
      <c r="E974" s="1">
        <v>289.55</v>
      </c>
      <c r="F974" s="1">
        <v>0</v>
      </c>
      <c r="G974" s="1">
        <v>1916.9390000000001</v>
      </c>
      <c r="H974" s="1">
        <v>4930.84</v>
      </c>
      <c r="I974" s="1">
        <v>-3399.348</v>
      </c>
    </row>
    <row r="975" spans="1:9" hidden="1" x14ac:dyDescent="0.25">
      <c r="A975" s="1" t="s">
        <v>9</v>
      </c>
      <c r="B975" s="1" t="s">
        <v>244</v>
      </c>
      <c r="C975" s="1" t="s">
        <v>3</v>
      </c>
      <c r="D975" s="1">
        <v>841.77</v>
      </c>
      <c r="E975" s="1">
        <v>289.55</v>
      </c>
      <c r="F975" s="1">
        <v>0</v>
      </c>
      <c r="G975" s="1">
        <v>1916.9390000000001</v>
      </c>
      <c r="H975" s="1">
        <v>5050.6419999999998</v>
      </c>
      <c r="I975" s="1">
        <v>-2638.299</v>
      </c>
    </row>
    <row r="976" spans="1:9" hidden="1" x14ac:dyDescent="0.25">
      <c r="A976" s="1" t="s">
        <v>9</v>
      </c>
      <c r="B976" s="1" t="s">
        <v>245</v>
      </c>
      <c r="C976" s="1" t="s">
        <v>143</v>
      </c>
      <c r="D976" s="1">
        <v>821.81</v>
      </c>
      <c r="E976" s="1">
        <v>-289.55</v>
      </c>
      <c r="F976" s="1">
        <v>0</v>
      </c>
      <c r="G976" s="1">
        <v>-1916.9390000000001</v>
      </c>
      <c r="H976" s="1">
        <v>4930.84</v>
      </c>
      <c r="I976" s="1">
        <v>-6462.3310000000001</v>
      </c>
    </row>
    <row r="977" spans="1:9" hidden="1" x14ac:dyDescent="0.25">
      <c r="A977" s="1" t="s">
        <v>9</v>
      </c>
      <c r="B977" s="1" t="s">
        <v>245</v>
      </c>
      <c r="C977" s="1" t="s">
        <v>3</v>
      </c>
      <c r="D977" s="1">
        <v>841.77</v>
      </c>
      <c r="E977" s="1">
        <v>-289.55</v>
      </c>
      <c r="F977" s="1">
        <v>0</v>
      </c>
      <c r="G977" s="1">
        <v>-1916.9390000000001</v>
      </c>
      <c r="H977" s="1">
        <v>5050.6419999999998</v>
      </c>
      <c r="I977" s="1">
        <v>-7462.9840000000004</v>
      </c>
    </row>
    <row r="978" spans="1:9" hidden="1" x14ac:dyDescent="0.25">
      <c r="A978" s="1" t="s">
        <v>9</v>
      </c>
      <c r="B978" s="1" t="s">
        <v>246</v>
      </c>
      <c r="C978" s="1" t="s">
        <v>143</v>
      </c>
      <c r="D978" s="1">
        <v>908.31</v>
      </c>
      <c r="E978" s="1">
        <v>0</v>
      </c>
      <c r="F978" s="1">
        <v>265.42</v>
      </c>
      <c r="G978" s="1">
        <v>1757.194</v>
      </c>
      <c r="H978" s="1">
        <v>6853.7430000000004</v>
      </c>
      <c r="I978" s="1">
        <v>-5449.875</v>
      </c>
    </row>
    <row r="979" spans="1:9" hidden="1" x14ac:dyDescent="0.25">
      <c r="A979" s="1" t="s">
        <v>9</v>
      </c>
      <c r="B979" s="1" t="s">
        <v>246</v>
      </c>
      <c r="C979" s="1" t="s">
        <v>3</v>
      </c>
      <c r="D979" s="1">
        <v>930.38</v>
      </c>
      <c r="E979" s="1">
        <v>0</v>
      </c>
      <c r="F979" s="1">
        <v>265.42</v>
      </c>
      <c r="G979" s="1">
        <v>1757.194</v>
      </c>
      <c r="H979" s="1">
        <v>7793.6019999999999</v>
      </c>
      <c r="I979" s="1">
        <v>-5582.2879999999996</v>
      </c>
    </row>
    <row r="980" spans="1:9" hidden="1" x14ac:dyDescent="0.25">
      <c r="A980" s="1" t="s">
        <v>9</v>
      </c>
      <c r="B980" s="1" t="s">
        <v>247</v>
      </c>
      <c r="C980" s="1" t="s">
        <v>143</v>
      </c>
      <c r="D980" s="1">
        <v>908.31</v>
      </c>
      <c r="E980" s="1">
        <v>0</v>
      </c>
      <c r="F980" s="1">
        <v>-265.42</v>
      </c>
      <c r="G980" s="1">
        <v>-1757.194</v>
      </c>
      <c r="H980" s="1">
        <v>4046.0079999999998</v>
      </c>
      <c r="I980" s="1">
        <v>-5449.875</v>
      </c>
    </row>
    <row r="981" spans="1:9" hidden="1" x14ac:dyDescent="0.25">
      <c r="A981" s="1" t="s">
        <v>9</v>
      </c>
      <c r="B981" s="1" t="s">
        <v>247</v>
      </c>
      <c r="C981" s="1" t="s">
        <v>3</v>
      </c>
      <c r="D981" s="1">
        <v>930.38</v>
      </c>
      <c r="E981" s="1">
        <v>0</v>
      </c>
      <c r="F981" s="1">
        <v>-265.42</v>
      </c>
      <c r="G981" s="1">
        <v>-1757.194</v>
      </c>
      <c r="H981" s="1">
        <v>3370.9740000000002</v>
      </c>
      <c r="I981" s="1">
        <v>-5582.2879999999996</v>
      </c>
    </row>
    <row r="982" spans="1:9" hidden="1" x14ac:dyDescent="0.25">
      <c r="A982" s="1" t="s">
        <v>9</v>
      </c>
      <c r="B982" s="1" t="s">
        <v>248</v>
      </c>
      <c r="C982" s="1" t="s">
        <v>143</v>
      </c>
      <c r="D982" s="1">
        <v>821.81</v>
      </c>
      <c r="E982" s="1">
        <v>0</v>
      </c>
      <c r="F982" s="1">
        <v>265.42</v>
      </c>
      <c r="G982" s="1">
        <v>1757.194</v>
      </c>
      <c r="H982" s="1">
        <v>6334.7070000000003</v>
      </c>
      <c r="I982" s="1">
        <v>-4930.84</v>
      </c>
    </row>
    <row r="983" spans="1:9" hidden="1" x14ac:dyDescent="0.25">
      <c r="A983" s="1" t="s">
        <v>9</v>
      </c>
      <c r="B983" s="1" t="s">
        <v>248</v>
      </c>
      <c r="C983" s="1" t="s">
        <v>3</v>
      </c>
      <c r="D983" s="1">
        <v>841.77</v>
      </c>
      <c r="E983" s="1">
        <v>0</v>
      </c>
      <c r="F983" s="1">
        <v>265.42</v>
      </c>
      <c r="G983" s="1">
        <v>1757.194</v>
      </c>
      <c r="H983" s="1">
        <v>7261.9560000000001</v>
      </c>
      <c r="I983" s="1">
        <v>-5050.6419999999998</v>
      </c>
    </row>
    <row r="984" spans="1:9" hidden="1" x14ac:dyDescent="0.25">
      <c r="A984" s="1" t="s">
        <v>9</v>
      </c>
      <c r="B984" s="1" t="s">
        <v>249</v>
      </c>
      <c r="C984" s="1" t="s">
        <v>143</v>
      </c>
      <c r="D984" s="1">
        <v>821.81</v>
      </c>
      <c r="E984" s="1">
        <v>0</v>
      </c>
      <c r="F984" s="1">
        <v>-265.42</v>
      </c>
      <c r="G984" s="1">
        <v>-1757.194</v>
      </c>
      <c r="H984" s="1">
        <v>3526.9720000000002</v>
      </c>
      <c r="I984" s="1">
        <v>-4930.84</v>
      </c>
    </row>
    <row r="985" spans="1:9" hidden="1" x14ac:dyDescent="0.25">
      <c r="A985" s="1" t="s">
        <v>9</v>
      </c>
      <c r="B985" s="1" t="s">
        <v>249</v>
      </c>
      <c r="C985" s="1" t="s">
        <v>3</v>
      </c>
      <c r="D985" s="1">
        <v>841.77</v>
      </c>
      <c r="E985" s="1">
        <v>0</v>
      </c>
      <c r="F985" s="1">
        <v>-265.42</v>
      </c>
      <c r="G985" s="1">
        <v>-1757.194</v>
      </c>
      <c r="H985" s="1">
        <v>2839.328</v>
      </c>
      <c r="I985" s="1">
        <v>-5050.6419999999998</v>
      </c>
    </row>
    <row r="986" spans="1:9" hidden="1" x14ac:dyDescent="0.25">
      <c r="A986" s="1" t="s">
        <v>9</v>
      </c>
      <c r="B986" s="1" t="s">
        <v>250</v>
      </c>
      <c r="C986" s="1" t="s">
        <v>143</v>
      </c>
      <c r="D986" s="1">
        <v>1009.24</v>
      </c>
      <c r="E986" s="1">
        <v>86.86</v>
      </c>
      <c r="F986" s="1">
        <v>0</v>
      </c>
      <c r="G986" s="1">
        <v>575.08199999999999</v>
      </c>
      <c r="H986" s="1">
        <v>6055.4170000000004</v>
      </c>
      <c r="I986" s="1">
        <v>-5595.97</v>
      </c>
    </row>
    <row r="987" spans="1:9" hidden="1" x14ac:dyDescent="0.25">
      <c r="A987" s="1" t="s">
        <v>9</v>
      </c>
      <c r="B987" s="1" t="s">
        <v>250</v>
      </c>
      <c r="C987" s="1" t="s">
        <v>3</v>
      </c>
      <c r="D987" s="1">
        <v>1033.76</v>
      </c>
      <c r="E987" s="1">
        <v>86.86</v>
      </c>
      <c r="F987" s="1">
        <v>0</v>
      </c>
      <c r="G987" s="1">
        <v>575.08199999999999</v>
      </c>
      <c r="H987" s="1">
        <v>6202.5429999999997</v>
      </c>
      <c r="I987" s="1">
        <v>-5478.84</v>
      </c>
    </row>
    <row r="988" spans="1:9" hidden="1" x14ac:dyDescent="0.25">
      <c r="A988" s="1" t="s">
        <v>9</v>
      </c>
      <c r="B988" s="1" t="s">
        <v>251</v>
      </c>
      <c r="C988" s="1" t="s">
        <v>143</v>
      </c>
      <c r="D988" s="1">
        <v>1009.24</v>
      </c>
      <c r="E988" s="1">
        <v>-86.86</v>
      </c>
      <c r="F988" s="1">
        <v>0</v>
      </c>
      <c r="G988" s="1">
        <v>-575.08199999999999</v>
      </c>
      <c r="H988" s="1">
        <v>6055.4170000000004</v>
      </c>
      <c r="I988" s="1">
        <v>-6514.8649999999998</v>
      </c>
    </row>
    <row r="989" spans="1:9" hidden="1" x14ac:dyDescent="0.25">
      <c r="A989" s="1" t="s">
        <v>9</v>
      </c>
      <c r="B989" s="1" t="s">
        <v>251</v>
      </c>
      <c r="C989" s="1" t="s">
        <v>3</v>
      </c>
      <c r="D989" s="1">
        <v>1033.76</v>
      </c>
      <c r="E989" s="1">
        <v>-86.86</v>
      </c>
      <c r="F989" s="1">
        <v>0</v>
      </c>
      <c r="G989" s="1">
        <v>-575.08199999999999</v>
      </c>
      <c r="H989" s="1">
        <v>6202.5429999999997</v>
      </c>
      <c r="I989" s="1">
        <v>-6926.2449999999999</v>
      </c>
    </row>
    <row r="990" spans="1:9" hidden="1" x14ac:dyDescent="0.25">
      <c r="A990" s="1" t="s">
        <v>9</v>
      </c>
      <c r="B990" s="1" t="s">
        <v>252</v>
      </c>
      <c r="C990" s="1" t="s">
        <v>143</v>
      </c>
      <c r="D990" s="1">
        <v>720.88</v>
      </c>
      <c r="E990" s="1">
        <v>86.86</v>
      </c>
      <c r="F990" s="1">
        <v>0</v>
      </c>
      <c r="G990" s="1">
        <v>575.08199999999999</v>
      </c>
      <c r="H990" s="1">
        <v>4325.2979999999998</v>
      </c>
      <c r="I990" s="1">
        <v>-3865.85</v>
      </c>
    </row>
    <row r="991" spans="1:9" hidden="1" x14ac:dyDescent="0.25">
      <c r="A991" s="1" t="s">
        <v>9</v>
      </c>
      <c r="B991" s="1" t="s">
        <v>252</v>
      </c>
      <c r="C991" s="1" t="s">
        <v>3</v>
      </c>
      <c r="D991" s="1">
        <v>738.4</v>
      </c>
      <c r="E991" s="1">
        <v>86.86</v>
      </c>
      <c r="F991" s="1">
        <v>0</v>
      </c>
      <c r="G991" s="1">
        <v>575.08199999999999</v>
      </c>
      <c r="H991" s="1">
        <v>4430.3879999999999</v>
      </c>
      <c r="I991" s="1">
        <v>-3706.6849999999999</v>
      </c>
    </row>
    <row r="992" spans="1:9" hidden="1" x14ac:dyDescent="0.25">
      <c r="A992" s="1" t="s">
        <v>9</v>
      </c>
      <c r="B992" s="1" t="s">
        <v>253</v>
      </c>
      <c r="C992" s="1" t="s">
        <v>143</v>
      </c>
      <c r="D992" s="1">
        <v>720.88</v>
      </c>
      <c r="E992" s="1">
        <v>-86.86</v>
      </c>
      <c r="F992" s="1">
        <v>0</v>
      </c>
      <c r="G992" s="1">
        <v>-575.08199999999999</v>
      </c>
      <c r="H992" s="1">
        <v>4325.2979999999998</v>
      </c>
      <c r="I992" s="1">
        <v>-4784.7449999999999</v>
      </c>
    </row>
    <row r="993" spans="1:9" hidden="1" x14ac:dyDescent="0.25">
      <c r="A993" s="1" t="s">
        <v>9</v>
      </c>
      <c r="B993" s="1" t="s">
        <v>253</v>
      </c>
      <c r="C993" s="1" t="s">
        <v>3</v>
      </c>
      <c r="D993" s="1">
        <v>738.4</v>
      </c>
      <c r="E993" s="1">
        <v>-86.86</v>
      </c>
      <c r="F993" s="1">
        <v>0</v>
      </c>
      <c r="G993" s="1">
        <v>-575.08199999999999</v>
      </c>
      <c r="H993" s="1">
        <v>4430.3879999999999</v>
      </c>
      <c r="I993" s="1">
        <v>-5154.09</v>
      </c>
    </row>
    <row r="994" spans="1:9" hidden="1" x14ac:dyDescent="0.25">
      <c r="A994" s="1" t="s">
        <v>9</v>
      </c>
      <c r="B994" s="1" t="s">
        <v>254</v>
      </c>
      <c r="C994" s="1" t="s">
        <v>143</v>
      </c>
      <c r="D994" s="1">
        <v>1009.24</v>
      </c>
      <c r="E994" s="1">
        <v>0</v>
      </c>
      <c r="F994" s="1">
        <v>79.62</v>
      </c>
      <c r="G994" s="1">
        <v>527.15800000000002</v>
      </c>
      <c r="H994" s="1">
        <v>6476.5770000000002</v>
      </c>
      <c r="I994" s="1">
        <v>-6055.4170000000004</v>
      </c>
    </row>
    <row r="995" spans="1:9" hidden="1" x14ac:dyDescent="0.25">
      <c r="A995" s="1" t="s">
        <v>9</v>
      </c>
      <c r="B995" s="1" t="s">
        <v>254</v>
      </c>
      <c r="C995" s="1" t="s">
        <v>3</v>
      </c>
      <c r="D995" s="1">
        <v>1033.76</v>
      </c>
      <c r="E995" s="1">
        <v>0</v>
      </c>
      <c r="F995" s="1">
        <v>79.62</v>
      </c>
      <c r="G995" s="1">
        <v>527.15800000000002</v>
      </c>
      <c r="H995" s="1">
        <v>6865.9369999999999</v>
      </c>
      <c r="I995" s="1">
        <v>-6202.5429999999997</v>
      </c>
    </row>
    <row r="996" spans="1:9" hidden="1" x14ac:dyDescent="0.25">
      <c r="A996" s="1" t="s">
        <v>9</v>
      </c>
      <c r="B996" s="1" t="s">
        <v>255</v>
      </c>
      <c r="C996" s="1" t="s">
        <v>143</v>
      </c>
      <c r="D996" s="1">
        <v>1009.24</v>
      </c>
      <c r="E996" s="1">
        <v>0</v>
      </c>
      <c r="F996" s="1">
        <v>-79.62</v>
      </c>
      <c r="G996" s="1">
        <v>-527.15800000000002</v>
      </c>
      <c r="H996" s="1">
        <v>5634.2569999999996</v>
      </c>
      <c r="I996" s="1">
        <v>-6055.4170000000004</v>
      </c>
    </row>
    <row r="997" spans="1:9" hidden="1" x14ac:dyDescent="0.25">
      <c r="A997" s="1" t="s">
        <v>9</v>
      </c>
      <c r="B997" s="1" t="s">
        <v>255</v>
      </c>
      <c r="C997" s="1" t="s">
        <v>3</v>
      </c>
      <c r="D997" s="1">
        <v>1033.76</v>
      </c>
      <c r="E997" s="1">
        <v>0</v>
      </c>
      <c r="F997" s="1">
        <v>-79.62</v>
      </c>
      <c r="G997" s="1">
        <v>-527.15800000000002</v>
      </c>
      <c r="H997" s="1">
        <v>5539.1490000000003</v>
      </c>
      <c r="I997" s="1">
        <v>-6202.5429999999997</v>
      </c>
    </row>
    <row r="998" spans="1:9" hidden="1" x14ac:dyDescent="0.25">
      <c r="A998" s="1" t="s">
        <v>9</v>
      </c>
      <c r="B998" s="1" t="s">
        <v>256</v>
      </c>
      <c r="C998" s="1" t="s">
        <v>143</v>
      </c>
      <c r="D998" s="1">
        <v>720.88</v>
      </c>
      <c r="E998" s="1">
        <v>0</v>
      </c>
      <c r="F998" s="1">
        <v>79.62</v>
      </c>
      <c r="G998" s="1">
        <v>527.15800000000002</v>
      </c>
      <c r="H998" s="1">
        <v>4746.4579999999996</v>
      </c>
      <c r="I998" s="1">
        <v>-4325.2979999999998</v>
      </c>
    </row>
    <row r="999" spans="1:9" hidden="1" x14ac:dyDescent="0.25">
      <c r="A999" s="1" t="s">
        <v>9</v>
      </c>
      <c r="B999" s="1" t="s">
        <v>256</v>
      </c>
      <c r="C999" s="1" t="s">
        <v>3</v>
      </c>
      <c r="D999" s="1">
        <v>738.4</v>
      </c>
      <c r="E999" s="1">
        <v>0</v>
      </c>
      <c r="F999" s="1">
        <v>79.62</v>
      </c>
      <c r="G999" s="1">
        <v>527.15800000000002</v>
      </c>
      <c r="H999" s="1">
        <v>5093.7820000000002</v>
      </c>
      <c r="I999" s="1">
        <v>-4430.3879999999999</v>
      </c>
    </row>
    <row r="1000" spans="1:9" hidden="1" x14ac:dyDescent="0.25">
      <c r="A1000" s="1" t="s">
        <v>9</v>
      </c>
      <c r="B1000" s="1" t="s">
        <v>257</v>
      </c>
      <c r="C1000" s="1" t="s">
        <v>143</v>
      </c>
      <c r="D1000" s="1">
        <v>720.88</v>
      </c>
      <c r="E1000" s="1">
        <v>0</v>
      </c>
      <c r="F1000" s="1">
        <v>-79.62</v>
      </c>
      <c r="G1000" s="1">
        <v>-527.15800000000002</v>
      </c>
      <c r="H1000" s="1">
        <v>3904.1379999999999</v>
      </c>
      <c r="I1000" s="1">
        <v>-4325.2979999999998</v>
      </c>
    </row>
    <row r="1001" spans="1:9" hidden="1" x14ac:dyDescent="0.25">
      <c r="A1001" s="1" t="s">
        <v>9</v>
      </c>
      <c r="B1001" s="1" t="s">
        <v>257</v>
      </c>
      <c r="C1001" s="1" t="s">
        <v>3</v>
      </c>
      <c r="D1001" s="1">
        <v>738.4</v>
      </c>
      <c r="E1001" s="1">
        <v>0</v>
      </c>
      <c r="F1001" s="1">
        <v>-79.62</v>
      </c>
      <c r="G1001" s="1">
        <v>-527.15800000000002</v>
      </c>
      <c r="H1001" s="1">
        <v>3766.9929999999999</v>
      </c>
      <c r="I1001" s="1">
        <v>-4430.3879999999999</v>
      </c>
    </row>
    <row r="1002" spans="1:9" hidden="1" x14ac:dyDescent="0.25">
      <c r="A1002" s="1" t="s">
        <v>10</v>
      </c>
      <c r="B1002" s="1" t="s">
        <v>2</v>
      </c>
      <c r="C1002" s="1" t="s">
        <v>143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x14ac:dyDescent="0.25">
      <c r="A1003" s="1" t="s">
        <v>10</v>
      </c>
      <c r="B1003" s="1" t="s">
        <v>2</v>
      </c>
      <c r="C1003" s="1" t="s">
        <v>3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10</v>
      </c>
      <c r="B1004" s="1" t="s">
        <v>144</v>
      </c>
      <c r="C1004" s="1" t="s">
        <v>143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hidden="1" x14ac:dyDescent="0.25">
      <c r="A1005" s="1" t="s">
        <v>10</v>
      </c>
      <c r="B1005" s="1" t="s">
        <v>144</v>
      </c>
      <c r="C1005" s="1" t="s">
        <v>3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10</v>
      </c>
      <c r="B1006" s="1" t="s">
        <v>12</v>
      </c>
      <c r="C1006" s="1" t="s">
        <v>143</v>
      </c>
      <c r="D1006" s="1">
        <v>0</v>
      </c>
      <c r="E1006" s="1">
        <v>0</v>
      </c>
      <c r="F1006" s="1">
        <v>0</v>
      </c>
      <c r="G1006" s="1">
        <v>0</v>
      </c>
      <c r="H1006" s="1">
        <v>0</v>
      </c>
      <c r="I1006" s="1">
        <v>0</v>
      </c>
    </row>
    <row r="1007" spans="1:9" hidden="1" x14ac:dyDescent="0.25">
      <c r="A1007" s="1" t="s">
        <v>10</v>
      </c>
      <c r="B1007" s="1" t="s">
        <v>12</v>
      </c>
      <c r="C1007" s="1" t="s">
        <v>3</v>
      </c>
      <c r="D1007" s="1">
        <v>0</v>
      </c>
      <c r="E1007" s="1">
        <v>0</v>
      </c>
      <c r="F1007" s="1">
        <v>0</v>
      </c>
      <c r="G1007" s="1">
        <v>0</v>
      </c>
      <c r="H1007" s="1">
        <v>0</v>
      </c>
      <c r="I1007" s="1">
        <v>0</v>
      </c>
    </row>
    <row r="1008" spans="1:9" hidden="1" x14ac:dyDescent="0.25">
      <c r="A1008" s="1" t="s">
        <v>10</v>
      </c>
      <c r="B1008" s="1" t="s">
        <v>13</v>
      </c>
      <c r="C1008" s="1" t="s">
        <v>143</v>
      </c>
      <c r="D1008" s="1">
        <v>0</v>
      </c>
      <c r="E1008" s="1">
        <v>0</v>
      </c>
      <c r="F1008" s="1">
        <v>0</v>
      </c>
      <c r="G1008" s="1">
        <v>0</v>
      </c>
      <c r="H1008" s="1">
        <v>0</v>
      </c>
      <c r="I1008" s="1">
        <v>0</v>
      </c>
    </row>
    <row r="1009" spans="1:9" hidden="1" x14ac:dyDescent="0.25">
      <c r="A1009" s="1" t="s">
        <v>10</v>
      </c>
      <c r="B1009" s="1" t="s">
        <v>13</v>
      </c>
      <c r="C1009" s="1" t="s">
        <v>3</v>
      </c>
      <c r="D1009" s="1">
        <v>0</v>
      </c>
      <c r="E1009" s="1">
        <v>0</v>
      </c>
      <c r="F1009" s="1">
        <v>0</v>
      </c>
      <c r="G1009" s="1">
        <v>0</v>
      </c>
      <c r="H1009" s="1">
        <v>0</v>
      </c>
      <c r="I1009" s="1">
        <v>0</v>
      </c>
    </row>
    <row r="1010" spans="1:9" hidden="1" x14ac:dyDescent="0.25">
      <c r="A1010" s="1" t="s">
        <v>10</v>
      </c>
      <c r="B1010" s="1" t="s">
        <v>14</v>
      </c>
      <c r="C1010" s="1" t="s">
        <v>143</v>
      </c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</row>
    <row r="1011" spans="1:9" hidden="1" x14ac:dyDescent="0.25">
      <c r="A1011" s="1" t="s">
        <v>10</v>
      </c>
      <c r="B1011" s="1" t="s">
        <v>14</v>
      </c>
      <c r="C1011" s="1" t="s">
        <v>3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</row>
    <row r="1012" spans="1:9" hidden="1" x14ac:dyDescent="0.25">
      <c r="A1012" s="1" t="s">
        <v>10</v>
      </c>
      <c r="B1012" s="1" t="s">
        <v>15</v>
      </c>
      <c r="C1012" s="1" t="s">
        <v>143</v>
      </c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</v>
      </c>
    </row>
    <row r="1013" spans="1:9" hidden="1" x14ac:dyDescent="0.25">
      <c r="A1013" s="1" t="s">
        <v>10</v>
      </c>
      <c r="B1013" s="1" t="s">
        <v>15</v>
      </c>
      <c r="C1013" s="1" t="s">
        <v>3</v>
      </c>
      <c r="D1013" s="1">
        <v>0</v>
      </c>
      <c r="E1013" s="1">
        <v>0</v>
      </c>
      <c r="F1013" s="1">
        <v>0</v>
      </c>
      <c r="G1013" s="1">
        <v>0</v>
      </c>
      <c r="H1013" s="1">
        <v>0</v>
      </c>
      <c r="I1013" s="1">
        <v>0</v>
      </c>
    </row>
    <row r="1014" spans="1:9" hidden="1" x14ac:dyDescent="0.25">
      <c r="A1014" s="1" t="s">
        <v>10</v>
      </c>
      <c r="B1014" s="1" t="s">
        <v>145</v>
      </c>
      <c r="C1014" s="1" t="s">
        <v>143</v>
      </c>
      <c r="D1014" s="1">
        <v>0</v>
      </c>
      <c r="E1014" s="1">
        <v>0</v>
      </c>
      <c r="F1014" s="1">
        <v>0</v>
      </c>
      <c r="G1014" s="1">
        <v>0</v>
      </c>
      <c r="H1014" s="1">
        <v>0</v>
      </c>
      <c r="I1014" s="1">
        <v>0</v>
      </c>
    </row>
    <row r="1015" spans="1:9" hidden="1" x14ac:dyDescent="0.25">
      <c r="A1015" s="1" t="s">
        <v>10</v>
      </c>
      <c r="B1015" s="1" t="s">
        <v>145</v>
      </c>
      <c r="C1015" s="1" t="s">
        <v>3</v>
      </c>
      <c r="D1015" s="1">
        <v>0</v>
      </c>
      <c r="E1015" s="1">
        <v>0</v>
      </c>
      <c r="F1015" s="1">
        <v>0</v>
      </c>
      <c r="G1015" s="1">
        <v>0</v>
      </c>
      <c r="H1015" s="1">
        <v>0</v>
      </c>
      <c r="I1015" s="1">
        <v>0</v>
      </c>
    </row>
    <row r="1016" spans="1:9" hidden="1" x14ac:dyDescent="0.25">
      <c r="A1016" s="1" t="s">
        <v>10</v>
      </c>
      <c r="B1016" s="1" t="s">
        <v>146</v>
      </c>
      <c r="C1016" s="1" t="s">
        <v>143</v>
      </c>
      <c r="D1016" s="1">
        <v>0</v>
      </c>
      <c r="E1016" s="1">
        <v>0</v>
      </c>
      <c r="F1016" s="1">
        <v>0</v>
      </c>
      <c r="G1016" s="1">
        <v>0</v>
      </c>
      <c r="H1016" s="1">
        <v>0</v>
      </c>
      <c r="I1016" s="1">
        <v>0</v>
      </c>
    </row>
    <row r="1017" spans="1:9" hidden="1" x14ac:dyDescent="0.25">
      <c r="A1017" s="1" t="s">
        <v>10</v>
      </c>
      <c r="B1017" s="1" t="s">
        <v>146</v>
      </c>
      <c r="C1017" s="1" t="s">
        <v>3</v>
      </c>
      <c r="D1017" s="1">
        <v>0</v>
      </c>
      <c r="E1017" s="1">
        <v>0</v>
      </c>
      <c r="F1017" s="1">
        <v>0</v>
      </c>
      <c r="G1017" s="1">
        <v>0</v>
      </c>
      <c r="H1017" s="1">
        <v>0</v>
      </c>
      <c r="I1017" s="1">
        <v>0</v>
      </c>
    </row>
    <row r="1018" spans="1:9" hidden="1" x14ac:dyDescent="0.25">
      <c r="A1018" s="1" t="s">
        <v>10</v>
      </c>
      <c r="B1018" s="1" t="s">
        <v>147</v>
      </c>
      <c r="C1018" s="1" t="s">
        <v>143</v>
      </c>
      <c r="D1018" s="1">
        <v>0</v>
      </c>
      <c r="E1018" s="1">
        <v>0</v>
      </c>
      <c r="F1018" s="1">
        <v>0</v>
      </c>
      <c r="G1018" s="1">
        <v>0</v>
      </c>
      <c r="H1018" s="1">
        <v>0</v>
      </c>
      <c r="I1018" s="1">
        <v>0</v>
      </c>
    </row>
    <row r="1019" spans="1:9" hidden="1" x14ac:dyDescent="0.25">
      <c r="A1019" s="1" t="s">
        <v>10</v>
      </c>
      <c r="B1019" s="1" t="s">
        <v>147</v>
      </c>
      <c r="C1019" s="1" t="s">
        <v>3</v>
      </c>
      <c r="D1019" s="1">
        <v>0</v>
      </c>
      <c r="E1019" s="1">
        <v>0</v>
      </c>
      <c r="F1019" s="1">
        <v>0</v>
      </c>
      <c r="G1019" s="1">
        <v>0</v>
      </c>
      <c r="H1019" s="1">
        <v>0</v>
      </c>
      <c r="I1019" s="1">
        <v>0</v>
      </c>
    </row>
    <row r="1020" spans="1:9" hidden="1" x14ac:dyDescent="0.25">
      <c r="A1020" s="1" t="s">
        <v>10</v>
      </c>
      <c r="B1020" s="1" t="s">
        <v>148</v>
      </c>
      <c r="C1020" s="1" t="s">
        <v>143</v>
      </c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</row>
    <row r="1021" spans="1:9" hidden="1" x14ac:dyDescent="0.25">
      <c r="A1021" s="1" t="s">
        <v>10</v>
      </c>
      <c r="B1021" s="1" t="s">
        <v>148</v>
      </c>
      <c r="C1021" s="1" t="s">
        <v>3</v>
      </c>
      <c r="D1021" s="1">
        <v>0</v>
      </c>
      <c r="E1021" s="1">
        <v>0</v>
      </c>
      <c r="F1021" s="1">
        <v>0</v>
      </c>
      <c r="G1021" s="1">
        <v>0</v>
      </c>
      <c r="H1021" s="1">
        <v>0</v>
      </c>
      <c r="I1021" s="1">
        <v>0</v>
      </c>
    </row>
    <row r="1022" spans="1:9" hidden="1" x14ac:dyDescent="0.25">
      <c r="A1022" s="1" t="s">
        <v>10</v>
      </c>
      <c r="B1022" s="1" t="s">
        <v>149</v>
      </c>
      <c r="C1022" s="1" t="s">
        <v>143</v>
      </c>
      <c r="D1022" s="1">
        <v>0</v>
      </c>
      <c r="E1022" s="1">
        <v>0</v>
      </c>
      <c r="F1022" s="1">
        <v>0</v>
      </c>
      <c r="G1022" s="1">
        <v>0</v>
      </c>
      <c r="H1022" s="1">
        <v>0</v>
      </c>
      <c r="I1022" s="1">
        <v>0</v>
      </c>
    </row>
    <row r="1023" spans="1:9" hidden="1" x14ac:dyDescent="0.25">
      <c r="A1023" s="1" t="s">
        <v>10</v>
      </c>
      <c r="B1023" s="1" t="s">
        <v>149</v>
      </c>
      <c r="C1023" s="1" t="s">
        <v>3</v>
      </c>
      <c r="D1023" s="1">
        <v>0</v>
      </c>
      <c r="E1023" s="1">
        <v>0</v>
      </c>
      <c r="F1023" s="1">
        <v>0</v>
      </c>
      <c r="G1023" s="1">
        <v>0</v>
      </c>
      <c r="H1023" s="1">
        <v>0</v>
      </c>
      <c r="I1023" s="1">
        <v>0</v>
      </c>
    </row>
    <row r="1024" spans="1:9" hidden="1" x14ac:dyDescent="0.25">
      <c r="A1024" s="1" t="s">
        <v>10</v>
      </c>
      <c r="B1024" s="1" t="s">
        <v>150</v>
      </c>
      <c r="C1024" s="1" t="s">
        <v>143</v>
      </c>
      <c r="D1024" s="1">
        <v>0</v>
      </c>
      <c r="E1024" s="1">
        <v>0</v>
      </c>
      <c r="F1024" s="1">
        <v>0</v>
      </c>
      <c r="G1024" s="1">
        <v>0</v>
      </c>
      <c r="H1024" s="1">
        <v>0</v>
      </c>
      <c r="I1024" s="1">
        <v>0</v>
      </c>
    </row>
    <row r="1025" spans="1:9" hidden="1" x14ac:dyDescent="0.25">
      <c r="A1025" s="1" t="s">
        <v>10</v>
      </c>
      <c r="B1025" s="1" t="s">
        <v>150</v>
      </c>
      <c r="C1025" s="1" t="s">
        <v>3</v>
      </c>
      <c r="D1025" s="1">
        <v>0</v>
      </c>
      <c r="E1025" s="1">
        <v>0</v>
      </c>
      <c r="F1025" s="1">
        <v>0</v>
      </c>
      <c r="G1025" s="1">
        <v>0</v>
      </c>
      <c r="H1025" s="1">
        <v>0</v>
      </c>
      <c r="I1025" s="1">
        <v>0</v>
      </c>
    </row>
    <row r="1026" spans="1:9" hidden="1" x14ac:dyDescent="0.25">
      <c r="A1026" s="1" t="s">
        <v>10</v>
      </c>
      <c r="B1026" s="1" t="s">
        <v>16</v>
      </c>
      <c r="C1026" s="1" t="s">
        <v>143</v>
      </c>
      <c r="D1026" s="1">
        <v>0</v>
      </c>
      <c r="E1026" s="1">
        <v>0</v>
      </c>
      <c r="F1026" s="1">
        <v>0</v>
      </c>
      <c r="G1026" s="1">
        <v>0</v>
      </c>
      <c r="H1026" s="1">
        <v>0</v>
      </c>
      <c r="I1026" s="1">
        <v>0</v>
      </c>
    </row>
    <row r="1027" spans="1:9" hidden="1" x14ac:dyDescent="0.25">
      <c r="A1027" s="1" t="s">
        <v>10</v>
      </c>
      <c r="B1027" s="1" t="s">
        <v>16</v>
      </c>
      <c r="C1027" s="1" t="s">
        <v>3</v>
      </c>
      <c r="D1027" s="1">
        <v>0</v>
      </c>
      <c r="E1027" s="1">
        <v>0</v>
      </c>
      <c r="F1027" s="1">
        <v>0</v>
      </c>
      <c r="G1027" s="1">
        <v>0</v>
      </c>
      <c r="H1027" s="1">
        <v>0</v>
      </c>
      <c r="I1027" s="1">
        <v>0</v>
      </c>
    </row>
    <row r="1028" spans="1:9" hidden="1" x14ac:dyDescent="0.25">
      <c r="A1028" s="1" t="s">
        <v>10</v>
      </c>
      <c r="B1028" s="1" t="s">
        <v>151</v>
      </c>
      <c r="C1028" s="1" t="s">
        <v>143</v>
      </c>
      <c r="D1028" s="1">
        <v>0</v>
      </c>
      <c r="E1028" s="1">
        <v>0</v>
      </c>
      <c r="F1028" s="1">
        <v>0</v>
      </c>
      <c r="G1028" s="1">
        <v>0</v>
      </c>
      <c r="H1028" s="1">
        <v>0</v>
      </c>
      <c r="I1028" s="1">
        <v>0</v>
      </c>
    </row>
    <row r="1029" spans="1:9" hidden="1" x14ac:dyDescent="0.25">
      <c r="A1029" s="1" t="s">
        <v>10</v>
      </c>
      <c r="B1029" s="1" t="s">
        <v>151</v>
      </c>
      <c r="C1029" s="1" t="s">
        <v>3</v>
      </c>
      <c r="D1029" s="1">
        <v>0</v>
      </c>
      <c r="E1029" s="1">
        <v>0</v>
      </c>
      <c r="F1029" s="1">
        <v>0</v>
      </c>
      <c r="G1029" s="1">
        <v>0</v>
      </c>
      <c r="H1029" s="1">
        <v>0</v>
      </c>
      <c r="I1029" s="1">
        <v>0</v>
      </c>
    </row>
    <row r="1030" spans="1:9" hidden="1" x14ac:dyDescent="0.25">
      <c r="A1030" s="1" t="s">
        <v>10</v>
      </c>
      <c r="B1030" s="1" t="s">
        <v>152</v>
      </c>
      <c r="C1030" s="1" t="s">
        <v>143</v>
      </c>
      <c r="D1030" s="1">
        <v>0</v>
      </c>
      <c r="E1030" s="1">
        <v>0</v>
      </c>
      <c r="F1030" s="1">
        <v>0</v>
      </c>
      <c r="G1030" s="1">
        <v>0</v>
      </c>
      <c r="H1030" s="1">
        <v>0</v>
      </c>
      <c r="I1030" s="1">
        <v>0</v>
      </c>
    </row>
    <row r="1031" spans="1:9" hidden="1" x14ac:dyDescent="0.25">
      <c r="A1031" s="1" t="s">
        <v>10</v>
      </c>
      <c r="B1031" s="1" t="s">
        <v>152</v>
      </c>
      <c r="C1031" s="1" t="s">
        <v>3</v>
      </c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</row>
    <row r="1032" spans="1:9" hidden="1" x14ac:dyDescent="0.25">
      <c r="A1032" s="1" t="s">
        <v>10</v>
      </c>
      <c r="B1032" s="1" t="s">
        <v>153</v>
      </c>
      <c r="C1032" s="1" t="s">
        <v>143</v>
      </c>
      <c r="D1032" s="1">
        <v>0</v>
      </c>
      <c r="E1032" s="1">
        <v>0</v>
      </c>
      <c r="F1032" s="1">
        <v>0</v>
      </c>
      <c r="G1032" s="1">
        <v>0</v>
      </c>
      <c r="H1032" s="1">
        <v>0</v>
      </c>
      <c r="I1032" s="1">
        <v>0</v>
      </c>
    </row>
    <row r="1033" spans="1:9" hidden="1" x14ac:dyDescent="0.25">
      <c r="A1033" s="1" t="s">
        <v>10</v>
      </c>
      <c r="B1033" s="1" t="s">
        <v>153</v>
      </c>
      <c r="C1033" s="1" t="s">
        <v>3</v>
      </c>
      <c r="D1033" s="1">
        <v>0</v>
      </c>
      <c r="E1033" s="1">
        <v>0</v>
      </c>
      <c r="F1033" s="1">
        <v>0</v>
      </c>
      <c r="G1033" s="1">
        <v>0</v>
      </c>
      <c r="H1033" s="1">
        <v>0</v>
      </c>
      <c r="I1033" s="1">
        <v>0</v>
      </c>
    </row>
    <row r="1034" spans="1:9" hidden="1" x14ac:dyDescent="0.25">
      <c r="A1034" s="1" t="s">
        <v>10</v>
      </c>
      <c r="B1034" s="1" t="s">
        <v>154</v>
      </c>
      <c r="C1034" s="1" t="s">
        <v>143</v>
      </c>
      <c r="D1034" s="1">
        <v>0</v>
      </c>
      <c r="E1034" s="1">
        <v>0</v>
      </c>
      <c r="F1034" s="1">
        <v>0</v>
      </c>
      <c r="G1034" s="1">
        <v>0</v>
      </c>
      <c r="H1034" s="1">
        <v>0</v>
      </c>
      <c r="I1034" s="1">
        <v>0</v>
      </c>
    </row>
    <row r="1035" spans="1:9" hidden="1" x14ac:dyDescent="0.25">
      <c r="A1035" s="1" t="s">
        <v>10</v>
      </c>
      <c r="B1035" s="1" t="s">
        <v>154</v>
      </c>
      <c r="C1035" s="1" t="s">
        <v>3</v>
      </c>
      <c r="D1035" s="1">
        <v>0</v>
      </c>
      <c r="E1035" s="1">
        <v>0</v>
      </c>
      <c r="F1035" s="1">
        <v>0</v>
      </c>
      <c r="G1035" s="1">
        <v>0</v>
      </c>
      <c r="H1035" s="1">
        <v>0</v>
      </c>
      <c r="I1035" s="1">
        <v>0</v>
      </c>
    </row>
    <row r="1036" spans="1:9" hidden="1" x14ac:dyDescent="0.25">
      <c r="A1036" s="1" t="s">
        <v>10</v>
      </c>
      <c r="B1036" s="1" t="s">
        <v>155</v>
      </c>
      <c r="C1036" s="1" t="s">
        <v>143</v>
      </c>
      <c r="D1036" s="1">
        <v>0</v>
      </c>
      <c r="E1036" s="1">
        <v>0</v>
      </c>
      <c r="F1036" s="1">
        <v>0</v>
      </c>
      <c r="G1036" s="1">
        <v>0</v>
      </c>
      <c r="H1036" s="1">
        <v>0</v>
      </c>
      <c r="I1036" s="1">
        <v>0</v>
      </c>
    </row>
    <row r="1037" spans="1:9" hidden="1" x14ac:dyDescent="0.25">
      <c r="A1037" s="1" t="s">
        <v>10</v>
      </c>
      <c r="B1037" s="1" t="s">
        <v>155</v>
      </c>
      <c r="C1037" s="1" t="s">
        <v>3</v>
      </c>
      <c r="D1037" s="1">
        <v>0</v>
      </c>
      <c r="E1037" s="1">
        <v>0</v>
      </c>
      <c r="F1037" s="1">
        <v>0</v>
      </c>
      <c r="G1037" s="1">
        <v>0</v>
      </c>
      <c r="H1037" s="1">
        <v>0</v>
      </c>
      <c r="I1037" s="1">
        <v>0</v>
      </c>
    </row>
    <row r="1038" spans="1:9" hidden="1" x14ac:dyDescent="0.25">
      <c r="A1038" s="1" t="s">
        <v>10</v>
      </c>
      <c r="B1038" s="1" t="s">
        <v>156</v>
      </c>
      <c r="C1038" s="1" t="s">
        <v>143</v>
      </c>
      <c r="D1038" s="1">
        <v>0</v>
      </c>
      <c r="E1038" s="1">
        <v>0</v>
      </c>
      <c r="F1038" s="1">
        <v>0</v>
      </c>
      <c r="G1038" s="1">
        <v>0</v>
      </c>
      <c r="H1038" s="1">
        <v>0</v>
      </c>
      <c r="I1038" s="1">
        <v>0</v>
      </c>
    </row>
    <row r="1039" spans="1:9" hidden="1" x14ac:dyDescent="0.25">
      <c r="A1039" s="1" t="s">
        <v>10</v>
      </c>
      <c r="B1039" s="1" t="s">
        <v>156</v>
      </c>
      <c r="C1039" s="1" t="s">
        <v>3</v>
      </c>
      <c r="D1039" s="1">
        <v>0</v>
      </c>
      <c r="E1039" s="1">
        <v>0</v>
      </c>
      <c r="F1039" s="1">
        <v>0</v>
      </c>
      <c r="G1039" s="1">
        <v>0</v>
      </c>
      <c r="H1039" s="1">
        <v>0</v>
      </c>
      <c r="I1039" s="1">
        <v>0</v>
      </c>
    </row>
    <row r="1040" spans="1:9" hidden="1" x14ac:dyDescent="0.25">
      <c r="A1040" s="1" t="s">
        <v>10</v>
      </c>
      <c r="B1040" s="1" t="s">
        <v>4</v>
      </c>
      <c r="C1040" s="1" t="s">
        <v>143</v>
      </c>
      <c r="D1040" s="1">
        <v>0</v>
      </c>
      <c r="E1040" s="1">
        <v>0</v>
      </c>
      <c r="F1040" s="1">
        <v>0</v>
      </c>
      <c r="G1040" s="1">
        <v>0</v>
      </c>
      <c r="H1040" s="1">
        <v>0</v>
      </c>
      <c r="I1040" s="1">
        <v>0</v>
      </c>
    </row>
    <row r="1041" spans="1:9" hidden="1" x14ac:dyDescent="0.25">
      <c r="A1041" s="1" t="s">
        <v>10</v>
      </c>
      <c r="B1041" s="1" t="s">
        <v>4</v>
      </c>
      <c r="C1041" s="1" t="s">
        <v>3</v>
      </c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</row>
    <row r="1042" spans="1:9" hidden="1" x14ac:dyDescent="0.25">
      <c r="A1042" s="1" t="s">
        <v>10</v>
      </c>
      <c r="B1042" s="1" t="s">
        <v>5</v>
      </c>
      <c r="C1042" s="1" t="s">
        <v>143</v>
      </c>
      <c r="D1042" s="1">
        <v>0</v>
      </c>
      <c r="E1042" s="1">
        <v>0</v>
      </c>
      <c r="F1042" s="1">
        <v>0</v>
      </c>
      <c r="G1042" s="1">
        <v>0</v>
      </c>
      <c r="H1042" s="1">
        <v>0</v>
      </c>
      <c r="I1042" s="1">
        <v>0</v>
      </c>
    </row>
    <row r="1043" spans="1:9" hidden="1" x14ac:dyDescent="0.25">
      <c r="A1043" s="1" t="s">
        <v>10</v>
      </c>
      <c r="B1043" s="1" t="s">
        <v>5</v>
      </c>
      <c r="C1043" s="1" t="s">
        <v>3</v>
      </c>
      <c r="D1043" s="1">
        <v>0</v>
      </c>
      <c r="E1043" s="1">
        <v>0</v>
      </c>
      <c r="F1043" s="1">
        <v>0</v>
      </c>
      <c r="G1043" s="1">
        <v>0</v>
      </c>
      <c r="H1043" s="1">
        <v>0</v>
      </c>
      <c r="I1043" s="1">
        <v>0</v>
      </c>
    </row>
    <row r="1044" spans="1:9" hidden="1" x14ac:dyDescent="0.25">
      <c r="A1044" s="1" t="s">
        <v>10</v>
      </c>
      <c r="B1044" s="1" t="s">
        <v>6</v>
      </c>
      <c r="C1044" s="1" t="s">
        <v>143</v>
      </c>
      <c r="D1044" s="1">
        <v>0</v>
      </c>
      <c r="E1044" s="1">
        <v>0</v>
      </c>
      <c r="F1044" s="1">
        <v>0</v>
      </c>
      <c r="G1044" s="1">
        <v>0</v>
      </c>
      <c r="H1044" s="1">
        <v>0</v>
      </c>
      <c r="I1044" s="1">
        <v>0</v>
      </c>
    </row>
    <row r="1045" spans="1:9" hidden="1" x14ac:dyDescent="0.25">
      <c r="A1045" s="1" t="s">
        <v>10</v>
      </c>
      <c r="B1045" s="1" t="s">
        <v>6</v>
      </c>
      <c r="C1045" s="1" t="s">
        <v>3</v>
      </c>
      <c r="D1045" s="1">
        <v>0</v>
      </c>
      <c r="E1045" s="1">
        <v>0</v>
      </c>
      <c r="F1045" s="1">
        <v>0</v>
      </c>
      <c r="G1045" s="1">
        <v>0</v>
      </c>
      <c r="H1045" s="1">
        <v>0</v>
      </c>
      <c r="I1045" s="1">
        <v>0</v>
      </c>
    </row>
    <row r="1046" spans="1:9" hidden="1" x14ac:dyDescent="0.25">
      <c r="A1046" s="1" t="s">
        <v>10</v>
      </c>
      <c r="B1046" s="1" t="s">
        <v>7</v>
      </c>
      <c r="C1046" s="1" t="s">
        <v>143</v>
      </c>
      <c r="D1046" s="1">
        <v>0</v>
      </c>
      <c r="E1046" s="1">
        <v>0</v>
      </c>
      <c r="F1046" s="1">
        <v>0</v>
      </c>
      <c r="G1046" s="1">
        <v>0</v>
      </c>
      <c r="H1046" s="1">
        <v>0</v>
      </c>
      <c r="I1046" s="1">
        <v>0</v>
      </c>
    </row>
    <row r="1047" spans="1:9" hidden="1" x14ac:dyDescent="0.25">
      <c r="A1047" s="1" t="s">
        <v>10</v>
      </c>
      <c r="B1047" s="1" t="s">
        <v>7</v>
      </c>
      <c r="C1047" s="1" t="s">
        <v>3</v>
      </c>
      <c r="D1047" s="1">
        <v>0</v>
      </c>
      <c r="E1047" s="1">
        <v>0</v>
      </c>
      <c r="F1047" s="1">
        <v>0</v>
      </c>
      <c r="G1047" s="1">
        <v>0</v>
      </c>
      <c r="H1047" s="1">
        <v>0</v>
      </c>
      <c r="I1047" s="1">
        <v>0</v>
      </c>
    </row>
    <row r="1048" spans="1:9" hidden="1" x14ac:dyDescent="0.25">
      <c r="A1048" s="1" t="s">
        <v>10</v>
      </c>
      <c r="B1048" s="1" t="s">
        <v>157</v>
      </c>
      <c r="C1048" s="1" t="s">
        <v>143</v>
      </c>
      <c r="D1048" s="1">
        <v>0</v>
      </c>
      <c r="E1048" s="1">
        <v>0</v>
      </c>
      <c r="F1048" s="1">
        <v>0</v>
      </c>
      <c r="G1048" s="1">
        <v>0</v>
      </c>
      <c r="H1048" s="1">
        <v>0</v>
      </c>
      <c r="I1048" s="1">
        <v>0</v>
      </c>
    </row>
    <row r="1049" spans="1:9" hidden="1" x14ac:dyDescent="0.25">
      <c r="A1049" s="1" t="s">
        <v>10</v>
      </c>
      <c r="B1049" s="1" t="s">
        <v>157</v>
      </c>
      <c r="C1049" s="1" t="s">
        <v>3</v>
      </c>
      <c r="D1049" s="1">
        <v>0</v>
      </c>
      <c r="E1049" s="1">
        <v>0</v>
      </c>
      <c r="F1049" s="1">
        <v>0</v>
      </c>
      <c r="G1049" s="1">
        <v>0</v>
      </c>
      <c r="H1049" s="1">
        <v>0</v>
      </c>
      <c r="I1049" s="1">
        <v>0</v>
      </c>
    </row>
    <row r="1050" spans="1:9" hidden="1" x14ac:dyDescent="0.25">
      <c r="A1050" s="1" t="s">
        <v>10</v>
      </c>
      <c r="B1050" s="1" t="s">
        <v>8</v>
      </c>
      <c r="C1050" s="1" t="s">
        <v>143</v>
      </c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</row>
    <row r="1051" spans="1:9" hidden="1" x14ac:dyDescent="0.25">
      <c r="A1051" s="1" t="s">
        <v>10</v>
      </c>
      <c r="B1051" s="1" t="s">
        <v>8</v>
      </c>
      <c r="C1051" s="1" t="s">
        <v>3</v>
      </c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</row>
    <row r="1052" spans="1:9" hidden="1" x14ac:dyDescent="0.25">
      <c r="A1052" s="1" t="s">
        <v>10</v>
      </c>
      <c r="B1052" s="1" t="s">
        <v>158</v>
      </c>
      <c r="C1052" s="1" t="s">
        <v>143</v>
      </c>
      <c r="D1052" s="1">
        <v>0</v>
      </c>
      <c r="E1052" s="1">
        <v>0</v>
      </c>
      <c r="F1052" s="1">
        <v>0</v>
      </c>
      <c r="G1052" s="1">
        <v>0</v>
      </c>
      <c r="H1052" s="1">
        <v>0</v>
      </c>
      <c r="I1052" s="1">
        <v>0</v>
      </c>
    </row>
    <row r="1053" spans="1:9" hidden="1" x14ac:dyDescent="0.25">
      <c r="A1053" s="1" t="s">
        <v>10</v>
      </c>
      <c r="B1053" s="1" t="s">
        <v>158</v>
      </c>
      <c r="C1053" s="1" t="s">
        <v>3</v>
      </c>
      <c r="D1053" s="1">
        <v>0</v>
      </c>
      <c r="E1053" s="1">
        <v>0</v>
      </c>
      <c r="F1053" s="1">
        <v>0</v>
      </c>
      <c r="G1053" s="1">
        <v>0</v>
      </c>
      <c r="H1053" s="1">
        <v>0</v>
      </c>
      <c r="I1053" s="1">
        <v>0</v>
      </c>
    </row>
    <row r="1054" spans="1:9" hidden="1" x14ac:dyDescent="0.25">
      <c r="A1054" s="1" t="s">
        <v>10</v>
      </c>
      <c r="B1054" s="1" t="s">
        <v>159</v>
      </c>
      <c r="C1054" s="1" t="s">
        <v>143</v>
      </c>
      <c r="D1054" s="1">
        <v>0</v>
      </c>
      <c r="E1054" s="1">
        <v>0</v>
      </c>
      <c r="F1054" s="1">
        <v>0</v>
      </c>
      <c r="G1054" s="1">
        <v>0</v>
      </c>
      <c r="H1054" s="1">
        <v>0</v>
      </c>
      <c r="I1054" s="1">
        <v>0</v>
      </c>
    </row>
    <row r="1055" spans="1:9" hidden="1" x14ac:dyDescent="0.25">
      <c r="A1055" s="1" t="s">
        <v>10</v>
      </c>
      <c r="B1055" s="1" t="s">
        <v>159</v>
      </c>
      <c r="C1055" s="1" t="s">
        <v>3</v>
      </c>
      <c r="D1055" s="1">
        <v>0</v>
      </c>
      <c r="E1055" s="1">
        <v>0</v>
      </c>
      <c r="F1055" s="1">
        <v>0</v>
      </c>
      <c r="G1055" s="1">
        <v>0</v>
      </c>
      <c r="H1055" s="1">
        <v>0</v>
      </c>
      <c r="I1055" s="1">
        <v>0</v>
      </c>
    </row>
    <row r="1056" spans="1:9" hidden="1" x14ac:dyDescent="0.25">
      <c r="A1056" s="1" t="s">
        <v>10</v>
      </c>
      <c r="B1056" s="1" t="s">
        <v>160</v>
      </c>
      <c r="C1056" s="1" t="s">
        <v>143</v>
      </c>
      <c r="D1056" s="1">
        <v>0</v>
      </c>
      <c r="E1056" s="1">
        <v>0</v>
      </c>
      <c r="F1056" s="1">
        <v>0</v>
      </c>
      <c r="G1056" s="1">
        <v>0</v>
      </c>
      <c r="H1056" s="1">
        <v>0</v>
      </c>
      <c r="I1056" s="1">
        <v>0</v>
      </c>
    </row>
    <row r="1057" spans="1:9" hidden="1" x14ac:dyDescent="0.25">
      <c r="A1057" s="1" t="s">
        <v>10</v>
      </c>
      <c r="B1057" s="1" t="s">
        <v>160</v>
      </c>
      <c r="C1057" s="1" t="s">
        <v>3</v>
      </c>
      <c r="D1057" s="1">
        <v>0</v>
      </c>
      <c r="E1057" s="1">
        <v>0</v>
      </c>
      <c r="F1057" s="1">
        <v>0</v>
      </c>
      <c r="G1057" s="1">
        <v>0</v>
      </c>
      <c r="H1057" s="1">
        <v>0</v>
      </c>
      <c r="I1057" s="1">
        <v>0</v>
      </c>
    </row>
    <row r="1058" spans="1:9" hidden="1" x14ac:dyDescent="0.25">
      <c r="A1058" s="1" t="s">
        <v>10</v>
      </c>
      <c r="B1058" s="1" t="s">
        <v>161</v>
      </c>
      <c r="C1058" s="1" t="s">
        <v>143</v>
      </c>
      <c r="D1058" s="1">
        <v>0</v>
      </c>
      <c r="E1058" s="1">
        <v>0</v>
      </c>
      <c r="F1058" s="1">
        <v>0</v>
      </c>
      <c r="G1058" s="1">
        <v>0</v>
      </c>
      <c r="H1058" s="1">
        <v>0</v>
      </c>
      <c r="I1058" s="1">
        <v>0</v>
      </c>
    </row>
    <row r="1059" spans="1:9" hidden="1" x14ac:dyDescent="0.25">
      <c r="A1059" s="1" t="s">
        <v>10</v>
      </c>
      <c r="B1059" s="1" t="s">
        <v>161</v>
      </c>
      <c r="C1059" s="1" t="s">
        <v>3</v>
      </c>
      <c r="D1059" s="1">
        <v>0</v>
      </c>
      <c r="E1059" s="1">
        <v>0</v>
      </c>
      <c r="F1059" s="1">
        <v>0</v>
      </c>
      <c r="G1059" s="1">
        <v>0</v>
      </c>
      <c r="H1059" s="1">
        <v>0</v>
      </c>
      <c r="I1059" s="1">
        <v>0</v>
      </c>
    </row>
    <row r="1060" spans="1:9" hidden="1" x14ac:dyDescent="0.25">
      <c r="A1060" s="1" t="s">
        <v>10</v>
      </c>
      <c r="B1060" s="1" t="s">
        <v>162</v>
      </c>
      <c r="C1060" s="1" t="s">
        <v>143</v>
      </c>
      <c r="D1060" s="1">
        <v>0</v>
      </c>
      <c r="E1060" s="1">
        <v>0</v>
      </c>
      <c r="F1060" s="1">
        <v>0</v>
      </c>
      <c r="G1060" s="1">
        <v>0</v>
      </c>
      <c r="H1060" s="1">
        <v>0</v>
      </c>
      <c r="I1060" s="1">
        <v>0</v>
      </c>
    </row>
    <row r="1061" spans="1:9" hidden="1" x14ac:dyDescent="0.25">
      <c r="A1061" s="1" t="s">
        <v>10</v>
      </c>
      <c r="B1061" s="1" t="s">
        <v>162</v>
      </c>
      <c r="C1061" s="1" t="s">
        <v>3</v>
      </c>
      <c r="D1061" s="1">
        <v>0</v>
      </c>
      <c r="E1061" s="1">
        <v>0</v>
      </c>
      <c r="F1061" s="1">
        <v>0</v>
      </c>
      <c r="G1061" s="1">
        <v>0</v>
      </c>
      <c r="H1061" s="1">
        <v>0</v>
      </c>
      <c r="I1061" s="1">
        <v>0</v>
      </c>
    </row>
    <row r="1062" spans="1:9" hidden="1" x14ac:dyDescent="0.25">
      <c r="A1062" s="1" t="s">
        <v>10</v>
      </c>
      <c r="B1062" s="1" t="s">
        <v>163</v>
      </c>
      <c r="C1062" s="1" t="s">
        <v>143</v>
      </c>
      <c r="D1062" s="1">
        <v>0</v>
      </c>
      <c r="E1062" s="1">
        <v>0</v>
      </c>
      <c r="F1062" s="1">
        <v>0</v>
      </c>
      <c r="G1062" s="1">
        <v>0</v>
      </c>
      <c r="H1062" s="1">
        <v>0</v>
      </c>
      <c r="I1062" s="1">
        <v>0</v>
      </c>
    </row>
    <row r="1063" spans="1:9" hidden="1" x14ac:dyDescent="0.25">
      <c r="A1063" s="1" t="s">
        <v>10</v>
      </c>
      <c r="B1063" s="1" t="s">
        <v>163</v>
      </c>
      <c r="C1063" s="1" t="s">
        <v>3</v>
      </c>
      <c r="D1063" s="1">
        <v>0</v>
      </c>
      <c r="E1063" s="1">
        <v>0</v>
      </c>
      <c r="F1063" s="1">
        <v>0</v>
      </c>
      <c r="G1063" s="1">
        <v>0</v>
      </c>
      <c r="H1063" s="1">
        <v>0</v>
      </c>
      <c r="I1063" s="1">
        <v>0</v>
      </c>
    </row>
    <row r="1064" spans="1:9" hidden="1" x14ac:dyDescent="0.25">
      <c r="A1064" s="1" t="s">
        <v>10</v>
      </c>
      <c r="B1064" s="1" t="s">
        <v>164</v>
      </c>
      <c r="C1064" s="1" t="s">
        <v>143</v>
      </c>
      <c r="D1064" s="1">
        <v>0</v>
      </c>
      <c r="E1064" s="1">
        <v>0</v>
      </c>
      <c r="F1064" s="1">
        <v>0</v>
      </c>
      <c r="G1064" s="1">
        <v>0</v>
      </c>
      <c r="H1064" s="1">
        <v>0</v>
      </c>
      <c r="I1064" s="1">
        <v>0</v>
      </c>
    </row>
    <row r="1065" spans="1:9" hidden="1" x14ac:dyDescent="0.25">
      <c r="A1065" s="1" t="s">
        <v>10</v>
      </c>
      <c r="B1065" s="1" t="s">
        <v>164</v>
      </c>
      <c r="C1065" s="1" t="s">
        <v>3</v>
      </c>
      <c r="D1065" s="1">
        <v>0</v>
      </c>
      <c r="E1065" s="1">
        <v>0</v>
      </c>
      <c r="F1065" s="1">
        <v>0</v>
      </c>
      <c r="G1065" s="1">
        <v>0</v>
      </c>
      <c r="H1065" s="1">
        <v>0</v>
      </c>
      <c r="I1065" s="1">
        <v>0</v>
      </c>
    </row>
    <row r="1066" spans="1:9" hidden="1" x14ac:dyDescent="0.25">
      <c r="A1066" s="1" t="s">
        <v>10</v>
      </c>
      <c r="B1066" s="1" t="s">
        <v>165</v>
      </c>
      <c r="C1066" s="1" t="s">
        <v>143</v>
      </c>
      <c r="D1066" s="1">
        <v>0</v>
      </c>
      <c r="E1066" s="1">
        <v>0</v>
      </c>
      <c r="F1066" s="1">
        <v>0</v>
      </c>
      <c r="G1066" s="1">
        <v>0</v>
      </c>
      <c r="H1066" s="1">
        <v>0</v>
      </c>
      <c r="I1066" s="1">
        <v>0</v>
      </c>
    </row>
    <row r="1067" spans="1:9" hidden="1" x14ac:dyDescent="0.25">
      <c r="A1067" s="1" t="s">
        <v>10</v>
      </c>
      <c r="B1067" s="1" t="s">
        <v>165</v>
      </c>
      <c r="C1067" s="1" t="s">
        <v>3</v>
      </c>
      <c r="D1067" s="1">
        <v>0</v>
      </c>
      <c r="E1067" s="1">
        <v>0</v>
      </c>
      <c r="F1067" s="1">
        <v>0</v>
      </c>
      <c r="G1067" s="1">
        <v>0</v>
      </c>
      <c r="H1067" s="1">
        <v>0</v>
      </c>
      <c r="I1067" s="1">
        <v>0</v>
      </c>
    </row>
    <row r="1068" spans="1:9" hidden="1" x14ac:dyDescent="0.25">
      <c r="A1068" s="1" t="s">
        <v>10</v>
      </c>
      <c r="B1068" s="1" t="s">
        <v>166</v>
      </c>
      <c r="C1068" s="1" t="s">
        <v>143</v>
      </c>
      <c r="D1068" s="1">
        <v>0</v>
      </c>
      <c r="E1068" s="1">
        <v>0</v>
      </c>
      <c r="F1068" s="1">
        <v>0</v>
      </c>
      <c r="G1068" s="1">
        <v>0</v>
      </c>
      <c r="H1068" s="1">
        <v>0</v>
      </c>
      <c r="I1068" s="1">
        <v>0</v>
      </c>
    </row>
    <row r="1069" spans="1:9" hidden="1" x14ac:dyDescent="0.25">
      <c r="A1069" s="1" t="s">
        <v>10</v>
      </c>
      <c r="B1069" s="1" t="s">
        <v>166</v>
      </c>
      <c r="C1069" s="1" t="s">
        <v>3</v>
      </c>
      <c r="D1069" s="1">
        <v>0</v>
      </c>
      <c r="E1069" s="1">
        <v>0</v>
      </c>
      <c r="F1069" s="1">
        <v>0</v>
      </c>
      <c r="G1069" s="1">
        <v>0</v>
      </c>
      <c r="H1069" s="1">
        <v>0</v>
      </c>
      <c r="I1069" s="1">
        <v>0</v>
      </c>
    </row>
    <row r="1070" spans="1:9" hidden="1" x14ac:dyDescent="0.25">
      <c r="A1070" s="1" t="s">
        <v>10</v>
      </c>
      <c r="B1070" s="1" t="s">
        <v>167</v>
      </c>
      <c r="C1070" s="1" t="s">
        <v>143</v>
      </c>
      <c r="D1070" s="1">
        <v>0</v>
      </c>
      <c r="E1070" s="1">
        <v>0</v>
      </c>
      <c r="F1070" s="1">
        <v>0</v>
      </c>
      <c r="G1070" s="1">
        <v>0</v>
      </c>
      <c r="H1070" s="1">
        <v>0</v>
      </c>
      <c r="I1070" s="1">
        <v>0</v>
      </c>
    </row>
    <row r="1071" spans="1:9" hidden="1" x14ac:dyDescent="0.25">
      <c r="A1071" s="1" t="s">
        <v>10</v>
      </c>
      <c r="B1071" s="1" t="s">
        <v>167</v>
      </c>
      <c r="C1071" s="1" t="s">
        <v>3</v>
      </c>
      <c r="D1071" s="1">
        <v>0</v>
      </c>
      <c r="E1071" s="1">
        <v>0</v>
      </c>
      <c r="F1071" s="1">
        <v>0</v>
      </c>
      <c r="G1071" s="1">
        <v>0</v>
      </c>
      <c r="H1071" s="1">
        <v>0</v>
      </c>
      <c r="I1071" s="1">
        <v>0</v>
      </c>
    </row>
    <row r="1072" spans="1:9" hidden="1" x14ac:dyDescent="0.25">
      <c r="A1072" s="1" t="s">
        <v>10</v>
      </c>
      <c r="B1072" s="1" t="s">
        <v>168</v>
      </c>
      <c r="C1072" s="1" t="s">
        <v>143</v>
      </c>
      <c r="D1072" s="1">
        <v>0</v>
      </c>
      <c r="E1072" s="1">
        <v>0</v>
      </c>
      <c r="F1072" s="1">
        <v>0</v>
      </c>
      <c r="G1072" s="1">
        <v>0</v>
      </c>
      <c r="H1072" s="1">
        <v>0</v>
      </c>
      <c r="I1072" s="1">
        <v>0</v>
      </c>
    </row>
    <row r="1073" spans="1:9" hidden="1" x14ac:dyDescent="0.25">
      <c r="A1073" s="1" t="s">
        <v>10</v>
      </c>
      <c r="B1073" s="1" t="s">
        <v>168</v>
      </c>
      <c r="C1073" s="1" t="s">
        <v>3</v>
      </c>
      <c r="D1073" s="1">
        <v>0</v>
      </c>
      <c r="E1073" s="1">
        <v>0</v>
      </c>
      <c r="F1073" s="1">
        <v>0</v>
      </c>
      <c r="G1073" s="1">
        <v>0</v>
      </c>
      <c r="H1073" s="1">
        <v>0</v>
      </c>
      <c r="I1073" s="1">
        <v>0</v>
      </c>
    </row>
    <row r="1074" spans="1:9" hidden="1" x14ac:dyDescent="0.25">
      <c r="A1074" s="1" t="s">
        <v>10</v>
      </c>
      <c r="B1074" s="1" t="s">
        <v>169</v>
      </c>
      <c r="C1074" s="1" t="s">
        <v>143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10</v>
      </c>
      <c r="B1075" s="1" t="s">
        <v>169</v>
      </c>
      <c r="C1075" s="1" t="s">
        <v>3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10</v>
      </c>
      <c r="B1076" s="1" t="s">
        <v>170</v>
      </c>
      <c r="C1076" s="1" t="s">
        <v>143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10</v>
      </c>
      <c r="B1077" s="1" t="s">
        <v>170</v>
      </c>
      <c r="C1077" s="1" t="s">
        <v>3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10</v>
      </c>
      <c r="B1078" s="1" t="s">
        <v>171</v>
      </c>
      <c r="C1078" s="1" t="s">
        <v>143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10</v>
      </c>
      <c r="B1079" s="1" t="s">
        <v>171</v>
      </c>
      <c r="C1079" s="1" t="s">
        <v>3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10</v>
      </c>
      <c r="B1080" s="1" t="s">
        <v>172</v>
      </c>
      <c r="C1080" s="1" t="s">
        <v>143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10</v>
      </c>
      <c r="B1081" s="1" t="s">
        <v>172</v>
      </c>
      <c r="C1081" s="1" t="s">
        <v>3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10</v>
      </c>
      <c r="B1082" s="1" t="s">
        <v>173</v>
      </c>
      <c r="C1082" s="1" t="s">
        <v>143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10</v>
      </c>
      <c r="B1083" s="1" t="s">
        <v>173</v>
      </c>
      <c r="C1083" s="1" t="s">
        <v>3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10</v>
      </c>
      <c r="B1084" s="1" t="s">
        <v>174</v>
      </c>
      <c r="C1084" s="1" t="s">
        <v>143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10</v>
      </c>
      <c r="B1085" s="1" t="s">
        <v>174</v>
      </c>
      <c r="C1085" s="1" t="s">
        <v>3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10</v>
      </c>
      <c r="B1086" s="1" t="s">
        <v>175</v>
      </c>
      <c r="C1086" s="1" t="s">
        <v>143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10</v>
      </c>
      <c r="B1087" s="1" t="s">
        <v>175</v>
      </c>
      <c r="C1087" s="1" t="s">
        <v>3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10</v>
      </c>
      <c r="B1088" s="1" t="s">
        <v>176</v>
      </c>
      <c r="C1088" s="1" t="s">
        <v>143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10</v>
      </c>
      <c r="B1089" s="1" t="s">
        <v>176</v>
      </c>
      <c r="C1089" s="1" t="s">
        <v>3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10</v>
      </c>
      <c r="B1090" s="1" t="s">
        <v>177</v>
      </c>
      <c r="C1090" s="1" t="s">
        <v>143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10</v>
      </c>
      <c r="B1091" s="1" t="s">
        <v>177</v>
      </c>
      <c r="C1091" s="1" t="s">
        <v>3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10</v>
      </c>
      <c r="B1092" s="1" t="s">
        <v>178</v>
      </c>
      <c r="C1092" s="1" t="s">
        <v>143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10</v>
      </c>
      <c r="B1093" s="1" t="s">
        <v>178</v>
      </c>
      <c r="C1093" s="1" t="s">
        <v>3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10</v>
      </c>
      <c r="B1094" s="1" t="s">
        <v>179</v>
      </c>
      <c r="C1094" s="1" t="s">
        <v>143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10</v>
      </c>
      <c r="B1095" s="1" t="s">
        <v>179</v>
      </c>
      <c r="C1095" s="1" t="s">
        <v>3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10</v>
      </c>
      <c r="B1096" s="1" t="s">
        <v>180</v>
      </c>
      <c r="C1096" s="1" t="s">
        <v>143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10</v>
      </c>
      <c r="B1097" s="1" t="s">
        <v>180</v>
      </c>
      <c r="C1097" s="1" t="s">
        <v>3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10</v>
      </c>
      <c r="B1098" s="1" t="s">
        <v>181</v>
      </c>
      <c r="C1098" s="1" t="s">
        <v>143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10</v>
      </c>
      <c r="B1099" s="1" t="s">
        <v>181</v>
      </c>
      <c r="C1099" s="1" t="s">
        <v>3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10</v>
      </c>
      <c r="B1100" s="1" t="s">
        <v>182</v>
      </c>
      <c r="C1100" s="1" t="s">
        <v>143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10</v>
      </c>
      <c r="B1101" s="1" t="s">
        <v>182</v>
      </c>
      <c r="C1101" s="1" t="s">
        <v>3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10</v>
      </c>
      <c r="B1102" s="1" t="s">
        <v>183</v>
      </c>
      <c r="C1102" s="1" t="s">
        <v>143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10</v>
      </c>
      <c r="B1103" s="1" t="s">
        <v>183</v>
      </c>
      <c r="C1103" s="1" t="s">
        <v>3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10</v>
      </c>
      <c r="B1104" s="1" t="s">
        <v>184</v>
      </c>
      <c r="C1104" s="1" t="s">
        <v>143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10</v>
      </c>
      <c r="B1105" s="1" t="s">
        <v>184</v>
      </c>
      <c r="C1105" s="1" t="s">
        <v>3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10</v>
      </c>
      <c r="B1106" s="1" t="s">
        <v>185</v>
      </c>
      <c r="C1106" s="1" t="s">
        <v>143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10</v>
      </c>
      <c r="B1107" s="1" t="s">
        <v>185</v>
      </c>
      <c r="C1107" s="1" t="s">
        <v>3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10</v>
      </c>
      <c r="B1108" s="1" t="s">
        <v>186</v>
      </c>
      <c r="C1108" s="1" t="s">
        <v>143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10</v>
      </c>
      <c r="B1109" s="1" t="s">
        <v>186</v>
      </c>
      <c r="C1109" s="1" t="s">
        <v>3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10</v>
      </c>
      <c r="B1110" s="1" t="s">
        <v>187</v>
      </c>
      <c r="C1110" s="1" t="s">
        <v>143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10</v>
      </c>
      <c r="B1111" s="1" t="s">
        <v>187</v>
      </c>
      <c r="C1111" s="1" t="s">
        <v>3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10</v>
      </c>
      <c r="B1112" s="1" t="s">
        <v>188</v>
      </c>
      <c r="C1112" s="1" t="s">
        <v>143</v>
      </c>
      <c r="D1112" s="1">
        <v>0</v>
      </c>
      <c r="E1112" s="1">
        <v>0</v>
      </c>
      <c r="F1112" s="1">
        <v>0</v>
      </c>
      <c r="G1112" s="1">
        <v>0</v>
      </c>
      <c r="H1112" s="1">
        <v>0</v>
      </c>
      <c r="I1112" s="1">
        <v>0</v>
      </c>
    </row>
    <row r="1113" spans="1:9" hidden="1" x14ac:dyDescent="0.25">
      <c r="A1113" s="1" t="s">
        <v>10</v>
      </c>
      <c r="B1113" s="1" t="s">
        <v>188</v>
      </c>
      <c r="C1113" s="1" t="s">
        <v>3</v>
      </c>
      <c r="D1113" s="1">
        <v>0</v>
      </c>
      <c r="E1113" s="1">
        <v>0</v>
      </c>
      <c r="F1113" s="1">
        <v>0</v>
      </c>
      <c r="G1113" s="1">
        <v>0</v>
      </c>
      <c r="H1113" s="1">
        <v>0</v>
      </c>
      <c r="I1113" s="1">
        <v>0</v>
      </c>
    </row>
    <row r="1114" spans="1:9" hidden="1" x14ac:dyDescent="0.25">
      <c r="A1114" s="1" t="s">
        <v>10</v>
      </c>
      <c r="B1114" s="1" t="s">
        <v>189</v>
      </c>
      <c r="C1114" s="1" t="s">
        <v>143</v>
      </c>
      <c r="D1114" s="1">
        <v>0</v>
      </c>
      <c r="E1114" s="1">
        <v>0</v>
      </c>
      <c r="F1114" s="1">
        <v>0</v>
      </c>
      <c r="G1114" s="1">
        <v>0</v>
      </c>
      <c r="H1114" s="1">
        <v>0</v>
      </c>
      <c r="I1114" s="1">
        <v>0</v>
      </c>
    </row>
    <row r="1115" spans="1:9" hidden="1" x14ac:dyDescent="0.25">
      <c r="A1115" s="1" t="s">
        <v>10</v>
      </c>
      <c r="B1115" s="1" t="s">
        <v>189</v>
      </c>
      <c r="C1115" s="1" t="s">
        <v>3</v>
      </c>
      <c r="D1115" s="1">
        <v>0</v>
      </c>
      <c r="E1115" s="1">
        <v>0</v>
      </c>
      <c r="F1115" s="1">
        <v>0</v>
      </c>
      <c r="G1115" s="1">
        <v>0</v>
      </c>
      <c r="H1115" s="1">
        <v>0</v>
      </c>
      <c r="I1115" s="1">
        <v>0</v>
      </c>
    </row>
    <row r="1116" spans="1:9" hidden="1" x14ac:dyDescent="0.25">
      <c r="A1116" s="1" t="s">
        <v>10</v>
      </c>
      <c r="B1116" s="1" t="s">
        <v>190</v>
      </c>
      <c r="C1116" s="1" t="s">
        <v>143</v>
      </c>
      <c r="D1116" s="1">
        <v>0</v>
      </c>
      <c r="E1116" s="1">
        <v>0</v>
      </c>
      <c r="F1116" s="1">
        <v>0</v>
      </c>
      <c r="G1116" s="1">
        <v>0</v>
      </c>
      <c r="H1116" s="1">
        <v>0</v>
      </c>
      <c r="I1116" s="1">
        <v>0</v>
      </c>
    </row>
    <row r="1117" spans="1:9" hidden="1" x14ac:dyDescent="0.25">
      <c r="A1117" s="1" t="s">
        <v>10</v>
      </c>
      <c r="B1117" s="1" t="s">
        <v>190</v>
      </c>
      <c r="C1117" s="1" t="s">
        <v>3</v>
      </c>
      <c r="D1117" s="1">
        <v>0</v>
      </c>
      <c r="E1117" s="1">
        <v>0</v>
      </c>
      <c r="F1117" s="1">
        <v>0</v>
      </c>
      <c r="G1117" s="1">
        <v>0</v>
      </c>
      <c r="H1117" s="1">
        <v>0</v>
      </c>
      <c r="I1117" s="1">
        <v>0</v>
      </c>
    </row>
    <row r="1118" spans="1:9" hidden="1" x14ac:dyDescent="0.25">
      <c r="A1118" s="1" t="s">
        <v>10</v>
      </c>
      <c r="B1118" s="1" t="s">
        <v>191</v>
      </c>
      <c r="C1118" s="1" t="s">
        <v>143</v>
      </c>
      <c r="D1118" s="1">
        <v>0</v>
      </c>
      <c r="E1118" s="1">
        <v>0</v>
      </c>
      <c r="F1118" s="1">
        <v>0</v>
      </c>
      <c r="G1118" s="1">
        <v>0</v>
      </c>
      <c r="H1118" s="1">
        <v>0</v>
      </c>
      <c r="I1118" s="1">
        <v>0</v>
      </c>
    </row>
    <row r="1119" spans="1:9" hidden="1" x14ac:dyDescent="0.25">
      <c r="A1119" s="1" t="s">
        <v>10</v>
      </c>
      <c r="B1119" s="1" t="s">
        <v>191</v>
      </c>
      <c r="C1119" s="1" t="s">
        <v>3</v>
      </c>
      <c r="D1119" s="1">
        <v>0</v>
      </c>
      <c r="E1119" s="1">
        <v>0</v>
      </c>
      <c r="F1119" s="1">
        <v>0</v>
      </c>
      <c r="G1119" s="1">
        <v>0</v>
      </c>
      <c r="H1119" s="1">
        <v>0</v>
      </c>
      <c r="I1119" s="1">
        <v>0</v>
      </c>
    </row>
    <row r="1120" spans="1:9" hidden="1" x14ac:dyDescent="0.25">
      <c r="A1120" s="1" t="s">
        <v>10</v>
      </c>
      <c r="B1120" s="1" t="s">
        <v>192</v>
      </c>
      <c r="C1120" s="1" t="s">
        <v>143</v>
      </c>
      <c r="D1120" s="1">
        <v>0</v>
      </c>
      <c r="E1120" s="1">
        <v>0</v>
      </c>
      <c r="F1120" s="1">
        <v>0</v>
      </c>
      <c r="G1120" s="1">
        <v>0</v>
      </c>
      <c r="H1120" s="1">
        <v>0</v>
      </c>
      <c r="I1120" s="1">
        <v>0</v>
      </c>
    </row>
    <row r="1121" spans="1:9" hidden="1" x14ac:dyDescent="0.25">
      <c r="A1121" s="1" t="s">
        <v>10</v>
      </c>
      <c r="B1121" s="1" t="s">
        <v>192</v>
      </c>
      <c r="C1121" s="1" t="s">
        <v>3</v>
      </c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</row>
    <row r="1122" spans="1:9" hidden="1" x14ac:dyDescent="0.25">
      <c r="A1122" s="1" t="s">
        <v>10</v>
      </c>
      <c r="B1122" s="1" t="s">
        <v>193</v>
      </c>
      <c r="C1122" s="1" t="s">
        <v>143</v>
      </c>
      <c r="D1122" s="1">
        <v>0</v>
      </c>
      <c r="E1122" s="1">
        <v>0</v>
      </c>
      <c r="F1122" s="1">
        <v>0</v>
      </c>
      <c r="G1122" s="1">
        <v>0</v>
      </c>
      <c r="H1122" s="1">
        <v>0</v>
      </c>
      <c r="I1122" s="1">
        <v>0</v>
      </c>
    </row>
    <row r="1123" spans="1:9" hidden="1" x14ac:dyDescent="0.25">
      <c r="A1123" s="1" t="s">
        <v>10</v>
      </c>
      <c r="B1123" s="1" t="s">
        <v>193</v>
      </c>
      <c r="C1123" s="1" t="s">
        <v>3</v>
      </c>
      <c r="D1123" s="1">
        <v>0</v>
      </c>
      <c r="E1123" s="1">
        <v>0</v>
      </c>
      <c r="F1123" s="1">
        <v>0</v>
      </c>
      <c r="G1123" s="1">
        <v>0</v>
      </c>
      <c r="H1123" s="1">
        <v>0</v>
      </c>
      <c r="I1123" s="1">
        <v>0</v>
      </c>
    </row>
    <row r="1124" spans="1:9" hidden="1" x14ac:dyDescent="0.25">
      <c r="A1124" s="1" t="s">
        <v>10</v>
      </c>
      <c r="B1124" s="1" t="s">
        <v>194</v>
      </c>
      <c r="C1124" s="1" t="s">
        <v>143</v>
      </c>
      <c r="D1124" s="1">
        <v>0</v>
      </c>
      <c r="E1124" s="1">
        <v>0</v>
      </c>
      <c r="F1124" s="1">
        <v>0</v>
      </c>
      <c r="G1124" s="1">
        <v>0</v>
      </c>
      <c r="H1124" s="1">
        <v>0</v>
      </c>
      <c r="I1124" s="1">
        <v>0</v>
      </c>
    </row>
    <row r="1125" spans="1:9" hidden="1" x14ac:dyDescent="0.25">
      <c r="A1125" s="1" t="s">
        <v>10</v>
      </c>
      <c r="B1125" s="1" t="s">
        <v>194</v>
      </c>
      <c r="C1125" s="1" t="s">
        <v>3</v>
      </c>
      <c r="D1125" s="1">
        <v>0</v>
      </c>
      <c r="E1125" s="1">
        <v>0</v>
      </c>
      <c r="F1125" s="1">
        <v>0</v>
      </c>
      <c r="G1125" s="1">
        <v>0</v>
      </c>
      <c r="H1125" s="1">
        <v>0</v>
      </c>
      <c r="I1125" s="1">
        <v>0</v>
      </c>
    </row>
    <row r="1126" spans="1:9" hidden="1" x14ac:dyDescent="0.25">
      <c r="A1126" s="1" t="s">
        <v>10</v>
      </c>
      <c r="B1126" s="1" t="s">
        <v>195</v>
      </c>
      <c r="C1126" s="1" t="s">
        <v>143</v>
      </c>
      <c r="D1126" s="1">
        <v>0</v>
      </c>
      <c r="E1126" s="1">
        <v>0</v>
      </c>
      <c r="F1126" s="1">
        <v>0</v>
      </c>
      <c r="G1126" s="1">
        <v>0</v>
      </c>
      <c r="H1126" s="1">
        <v>0</v>
      </c>
      <c r="I1126" s="1">
        <v>0</v>
      </c>
    </row>
    <row r="1127" spans="1:9" hidden="1" x14ac:dyDescent="0.25">
      <c r="A1127" s="1" t="s">
        <v>10</v>
      </c>
      <c r="B1127" s="1" t="s">
        <v>195</v>
      </c>
      <c r="C1127" s="1" t="s">
        <v>3</v>
      </c>
      <c r="D1127" s="1">
        <v>0</v>
      </c>
      <c r="E1127" s="1">
        <v>0</v>
      </c>
      <c r="F1127" s="1">
        <v>0</v>
      </c>
      <c r="G1127" s="1">
        <v>0</v>
      </c>
      <c r="H1127" s="1">
        <v>0</v>
      </c>
      <c r="I1127" s="1">
        <v>0</v>
      </c>
    </row>
    <row r="1128" spans="1:9" hidden="1" x14ac:dyDescent="0.25">
      <c r="A1128" s="1" t="s">
        <v>10</v>
      </c>
      <c r="B1128" s="1" t="s">
        <v>196</v>
      </c>
      <c r="C1128" s="1" t="s">
        <v>143</v>
      </c>
      <c r="D1128" s="1">
        <v>0</v>
      </c>
      <c r="E1128" s="1">
        <v>0</v>
      </c>
      <c r="F1128" s="1">
        <v>0</v>
      </c>
      <c r="G1128" s="1">
        <v>0</v>
      </c>
      <c r="H1128" s="1">
        <v>0</v>
      </c>
      <c r="I1128" s="1">
        <v>0</v>
      </c>
    </row>
    <row r="1129" spans="1:9" hidden="1" x14ac:dyDescent="0.25">
      <c r="A1129" s="1" t="s">
        <v>10</v>
      </c>
      <c r="B1129" s="1" t="s">
        <v>196</v>
      </c>
      <c r="C1129" s="1" t="s">
        <v>3</v>
      </c>
      <c r="D1129" s="1">
        <v>0</v>
      </c>
      <c r="E1129" s="1">
        <v>0</v>
      </c>
      <c r="F1129" s="1">
        <v>0</v>
      </c>
      <c r="G1129" s="1">
        <v>0</v>
      </c>
      <c r="H1129" s="1">
        <v>0</v>
      </c>
      <c r="I1129" s="1">
        <v>0</v>
      </c>
    </row>
    <row r="1130" spans="1:9" hidden="1" x14ac:dyDescent="0.25">
      <c r="A1130" s="1" t="s">
        <v>10</v>
      </c>
      <c r="B1130" s="1" t="s">
        <v>197</v>
      </c>
      <c r="C1130" s="1" t="s">
        <v>143</v>
      </c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</row>
    <row r="1131" spans="1:9" hidden="1" x14ac:dyDescent="0.25">
      <c r="A1131" s="1" t="s">
        <v>10</v>
      </c>
      <c r="B1131" s="1" t="s">
        <v>197</v>
      </c>
      <c r="C1131" s="1" t="s">
        <v>3</v>
      </c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</row>
    <row r="1132" spans="1:9" hidden="1" x14ac:dyDescent="0.25">
      <c r="A1132" s="1" t="s">
        <v>10</v>
      </c>
      <c r="B1132" s="1" t="s">
        <v>198</v>
      </c>
      <c r="C1132" s="1" t="s">
        <v>143</v>
      </c>
      <c r="D1132" s="1">
        <v>0</v>
      </c>
      <c r="E1132" s="1">
        <v>0</v>
      </c>
      <c r="F1132" s="1">
        <v>0</v>
      </c>
      <c r="G1132" s="1">
        <v>0</v>
      </c>
      <c r="H1132" s="1">
        <v>0</v>
      </c>
      <c r="I1132" s="1">
        <v>0</v>
      </c>
    </row>
    <row r="1133" spans="1:9" hidden="1" x14ac:dyDescent="0.25">
      <c r="A1133" s="1" t="s">
        <v>10</v>
      </c>
      <c r="B1133" s="1" t="s">
        <v>198</v>
      </c>
      <c r="C1133" s="1" t="s">
        <v>3</v>
      </c>
      <c r="D1133" s="1">
        <v>0</v>
      </c>
      <c r="E1133" s="1">
        <v>0</v>
      </c>
      <c r="F1133" s="1">
        <v>0</v>
      </c>
      <c r="G1133" s="1">
        <v>0</v>
      </c>
      <c r="H1133" s="1">
        <v>0</v>
      </c>
      <c r="I1133" s="1">
        <v>0</v>
      </c>
    </row>
    <row r="1134" spans="1:9" hidden="1" x14ac:dyDescent="0.25">
      <c r="A1134" s="1" t="s">
        <v>10</v>
      </c>
      <c r="B1134" s="1" t="s">
        <v>199</v>
      </c>
      <c r="C1134" s="1" t="s">
        <v>143</v>
      </c>
      <c r="D1134" s="1">
        <v>0</v>
      </c>
      <c r="E1134" s="1">
        <v>0</v>
      </c>
      <c r="F1134" s="1">
        <v>0</v>
      </c>
      <c r="G1134" s="1">
        <v>0</v>
      </c>
      <c r="H1134" s="1">
        <v>0</v>
      </c>
      <c r="I1134" s="1">
        <v>0</v>
      </c>
    </row>
    <row r="1135" spans="1:9" hidden="1" x14ac:dyDescent="0.25">
      <c r="A1135" s="1" t="s">
        <v>10</v>
      </c>
      <c r="B1135" s="1" t="s">
        <v>199</v>
      </c>
      <c r="C1135" s="1" t="s">
        <v>3</v>
      </c>
      <c r="D1135" s="1">
        <v>0</v>
      </c>
      <c r="E1135" s="1">
        <v>0</v>
      </c>
      <c r="F1135" s="1">
        <v>0</v>
      </c>
      <c r="G1135" s="1">
        <v>0</v>
      </c>
      <c r="H1135" s="1">
        <v>0</v>
      </c>
      <c r="I1135" s="1">
        <v>0</v>
      </c>
    </row>
    <row r="1136" spans="1:9" hidden="1" x14ac:dyDescent="0.25">
      <c r="A1136" s="1" t="s">
        <v>10</v>
      </c>
      <c r="B1136" s="1" t="s">
        <v>200</v>
      </c>
      <c r="C1136" s="1" t="s">
        <v>143</v>
      </c>
      <c r="D1136" s="1">
        <v>0</v>
      </c>
      <c r="E1136" s="1">
        <v>0</v>
      </c>
      <c r="F1136" s="1">
        <v>0</v>
      </c>
      <c r="G1136" s="1">
        <v>0</v>
      </c>
      <c r="H1136" s="1">
        <v>0</v>
      </c>
      <c r="I1136" s="1">
        <v>0</v>
      </c>
    </row>
    <row r="1137" spans="1:9" hidden="1" x14ac:dyDescent="0.25">
      <c r="A1137" s="1" t="s">
        <v>10</v>
      </c>
      <c r="B1137" s="1" t="s">
        <v>200</v>
      </c>
      <c r="C1137" s="1" t="s">
        <v>3</v>
      </c>
      <c r="D1137" s="1">
        <v>0</v>
      </c>
      <c r="E1137" s="1">
        <v>0</v>
      </c>
      <c r="F1137" s="1">
        <v>0</v>
      </c>
      <c r="G1137" s="1">
        <v>0</v>
      </c>
      <c r="H1137" s="1">
        <v>0</v>
      </c>
      <c r="I1137" s="1">
        <v>0</v>
      </c>
    </row>
    <row r="1138" spans="1:9" hidden="1" x14ac:dyDescent="0.25">
      <c r="A1138" s="1" t="s">
        <v>10</v>
      </c>
      <c r="B1138" s="1" t="s">
        <v>201</v>
      </c>
      <c r="C1138" s="1" t="s">
        <v>143</v>
      </c>
      <c r="D1138" s="1">
        <v>0</v>
      </c>
      <c r="E1138" s="1">
        <v>0</v>
      </c>
      <c r="F1138" s="1">
        <v>0</v>
      </c>
      <c r="G1138" s="1">
        <v>0</v>
      </c>
      <c r="H1138" s="1">
        <v>0</v>
      </c>
      <c r="I1138" s="1">
        <v>0</v>
      </c>
    </row>
    <row r="1139" spans="1:9" hidden="1" x14ac:dyDescent="0.25">
      <c r="A1139" s="1" t="s">
        <v>10</v>
      </c>
      <c r="B1139" s="1" t="s">
        <v>201</v>
      </c>
      <c r="C1139" s="1" t="s">
        <v>3</v>
      </c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</v>
      </c>
    </row>
    <row r="1140" spans="1:9" hidden="1" x14ac:dyDescent="0.25">
      <c r="A1140" s="1" t="s">
        <v>10</v>
      </c>
      <c r="B1140" s="1" t="s">
        <v>202</v>
      </c>
      <c r="C1140" s="1" t="s">
        <v>143</v>
      </c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</row>
    <row r="1141" spans="1:9" hidden="1" x14ac:dyDescent="0.25">
      <c r="A1141" s="1" t="s">
        <v>10</v>
      </c>
      <c r="B1141" s="1" t="s">
        <v>202</v>
      </c>
      <c r="C1141" s="1" t="s">
        <v>3</v>
      </c>
      <c r="D1141" s="1">
        <v>0</v>
      </c>
      <c r="E1141" s="1">
        <v>0</v>
      </c>
      <c r="F1141" s="1">
        <v>0</v>
      </c>
      <c r="G1141" s="1">
        <v>0</v>
      </c>
      <c r="H1141" s="1">
        <v>0</v>
      </c>
      <c r="I1141" s="1">
        <v>0</v>
      </c>
    </row>
    <row r="1142" spans="1:9" hidden="1" x14ac:dyDescent="0.25">
      <c r="A1142" s="1" t="s">
        <v>10</v>
      </c>
      <c r="B1142" s="1" t="s">
        <v>203</v>
      </c>
      <c r="C1142" s="1" t="s">
        <v>143</v>
      </c>
      <c r="D1142" s="1">
        <v>0</v>
      </c>
      <c r="E1142" s="1">
        <v>0</v>
      </c>
      <c r="F1142" s="1">
        <v>0</v>
      </c>
      <c r="G1142" s="1">
        <v>0</v>
      </c>
      <c r="H1142" s="1">
        <v>0</v>
      </c>
      <c r="I1142" s="1">
        <v>0</v>
      </c>
    </row>
    <row r="1143" spans="1:9" hidden="1" x14ac:dyDescent="0.25">
      <c r="A1143" s="1" t="s">
        <v>10</v>
      </c>
      <c r="B1143" s="1" t="s">
        <v>203</v>
      </c>
      <c r="C1143" s="1" t="s">
        <v>3</v>
      </c>
      <c r="D1143" s="1">
        <v>0</v>
      </c>
      <c r="E1143" s="1">
        <v>0</v>
      </c>
      <c r="F1143" s="1">
        <v>0</v>
      </c>
      <c r="G1143" s="1">
        <v>0</v>
      </c>
      <c r="H1143" s="1">
        <v>0</v>
      </c>
      <c r="I1143" s="1">
        <v>0</v>
      </c>
    </row>
    <row r="1144" spans="1:9" hidden="1" x14ac:dyDescent="0.25">
      <c r="A1144" s="1" t="s">
        <v>10</v>
      </c>
      <c r="B1144" s="1" t="s">
        <v>204</v>
      </c>
      <c r="C1144" s="1" t="s">
        <v>143</v>
      </c>
      <c r="D1144" s="1">
        <v>0</v>
      </c>
      <c r="E1144" s="1">
        <v>0</v>
      </c>
      <c r="F1144" s="1">
        <v>0</v>
      </c>
      <c r="G1144" s="1">
        <v>0</v>
      </c>
      <c r="H1144" s="1">
        <v>0</v>
      </c>
      <c r="I1144" s="1">
        <v>0</v>
      </c>
    </row>
    <row r="1145" spans="1:9" hidden="1" x14ac:dyDescent="0.25">
      <c r="A1145" s="1" t="s">
        <v>10</v>
      </c>
      <c r="B1145" s="1" t="s">
        <v>204</v>
      </c>
      <c r="C1145" s="1" t="s">
        <v>3</v>
      </c>
      <c r="D1145" s="1">
        <v>0</v>
      </c>
      <c r="E1145" s="1">
        <v>0</v>
      </c>
      <c r="F1145" s="1">
        <v>0</v>
      </c>
      <c r="G1145" s="1">
        <v>0</v>
      </c>
      <c r="H1145" s="1">
        <v>0</v>
      </c>
      <c r="I1145" s="1">
        <v>0</v>
      </c>
    </row>
    <row r="1146" spans="1:9" hidden="1" x14ac:dyDescent="0.25">
      <c r="A1146" s="1" t="s">
        <v>10</v>
      </c>
      <c r="B1146" s="1" t="s">
        <v>205</v>
      </c>
      <c r="C1146" s="1" t="s">
        <v>143</v>
      </c>
      <c r="D1146" s="1">
        <v>0</v>
      </c>
      <c r="E1146" s="1">
        <v>0</v>
      </c>
      <c r="F1146" s="1">
        <v>0</v>
      </c>
      <c r="G1146" s="1">
        <v>0</v>
      </c>
      <c r="H1146" s="1">
        <v>0</v>
      </c>
      <c r="I1146" s="1">
        <v>0</v>
      </c>
    </row>
    <row r="1147" spans="1:9" hidden="1" x14ac:dyDescent="0.25">
      <c r="A1147" s="1" t="s">
        <v>10</v>
      </c>
      <c r="B1147" s="1" t="s">
        <v>205</v>
      </c>
      <c r="C1147" s="1" t="s">
        <v>3</v>
      </c>
      <c r="D1147" s="1">
        <v>0</v>
      </c>
      <c r="E1147" s="1">
        <v>0</v>
      </c>
      <c r="F1147" s="1">
        <v>0</v>
      </c>
      <c r="G1147" s="1">
        <v>0</v>
      </c>
      <c r="H1147" s="1">
        <v>0</v>
      </c>
      <c r="I1147" s="1">
        <v>0</v>
      </c>
    </row>
    <row r="1148" spans="1:9" hidden="1" x14ac:dyDescent="0.25">
      <c r="A1148" s="1" t="s">
        <v>10</v>
      </c>
      <c r="B1148" s="1" t="s">
        <v>206</v>
      </c>
      <c r="C1148" s="1" t="s">
        <v>143</v>
      </c>
      <c r="D1148" s="1">
        <v>0</v>
      </c>
      <c r="E1148" s="1">
        <v>0</v>
      </c>
      <c r="F1148" s="1">
        <v>0</v>
      </c>
      <c r="G1148" s="1">
        <v>0</v>
      </c>
      <c r="H1148" s="1">
        <v>0</v>
      </c>
      <c r="I1148" s="1">
        <v>0</v>
      </c>
    </row>
    <row r="1149" spans="1:9" hidden="1" x14ac:dyDescent="0.25">
      <c r="A1149" s="1" t="s">
        <v>10</v>
      </c>
      <c r="B1149" s="1" t="s">
        <v>206</v>
      </c>
      <c r="C1149" s="1" t="s">
        <v>3</v>
      </c>
      <c r="D1149" s="1">
        <v>0</v>
      </c>
      <c r="E1149" s="1">
        <v>0</v>
      </c>
      <c r="F1149" s="1">
        <v>0</v>
      </c>
      <c r="G1149" s="1">
        <v>0</v>
      </c>
      <c r="H1149" s="1">
        <v>0</v>
      </c>
      <c r="I1149" s="1">
        <v>0</v>
      </c>
    </row>
    <row r="1150" spans="1:9" hidden="1" x14ac:dyDescent="0.25">
      <c r="A1150" s="1" t="s">
        <v>10</v>
      </c>
      <c r="B1150" s="1" t="s">
        <v>207</v>
      </c>
      <c r="C1150" s="1" t="s">
        <v>143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</v>
      </c>
    </row>
    <row r="1151" spans="1:9" hidden="1" x14ac:dyDescent="0.25">
      <c r="A1151" s="1" t="s">
        <v>10</v>
      </c>
      <c r="B1151" s="1" t="s">
        <v>207</v>
      </c>
      <c r="C1151" s="1" t="s">
        <v>3</v>
      </c>
      <c r="D1151" s="1">
        <v>0</v>
      </c>
      <c r="E1151" s="1">
        <v>0</v>
      </c>
      <c r="F1151" s="1">
        <v>0</v>
      </c>
      <c r="G1151" s="1">
        <v>0</v>
      </c>
      <c r="H1151" s="1">
        <v>0</v>
      </c>
      <c r="I1151" s="1">
        <v>0</v>
      </c>
    </row>
    <row r="1152" spans="1:9" hidden="1" x14ac:dyDescent="0.25">
      <c r="A1152" s="1" t="s">
        <v>10</v>
      </c>
      <c r="B1152" s="1" t="s">
        <v>208</v>
      </c>
      <c r="C1152" s="1" t="s">
        <v>143</v>
      </c>
      <c r="D1152" s="1">
        <v>0</v>
      </c>
      <c r="E1152" s="1">
        <v>0</v>
      </c>
      <c r="F1152" s="1">
        <v>0</v>
      </c>
      <c r="G1152" s="1">
        <v>0</v>
      </c>
      <c r="H1152" s="1">
        <v>0</v>
      </c>
      <c r="I1152" s="1">
        <v>0</v>
      </c>
    </row>
    <row r="1153" spans="1:9" hidden="1" x14ac:dyDescent="0.25">
      <c r="A1153" s="1" t="s">
        <v>10</v>
      </c>
      <c r="B1153" s="1" t="s">
        <v>208</v>
      </c>
      <c r="C1153" s="1" t="s">
        <v>3</v>
      </c>
      <c r="D1153" s="1">
        <v>0</v>
      </c>
      <c r="E1153" s="1">
        <v>0</v>
      </c>
      <c r="F1153" s="1">
        <v>0</v>
      </c>
      <c r="G1153" s="1">
        <v>0</v>
      </c>
      <c r="H1153" s="1">
        <v>0</v>
      </c>
      <c r="I1153" s="1">
        <v>0</v>
      </c>
    </row>
    <row r="1154" spans="1:9" hidden="1" x14ac:dyDescent="0.25">
      <c r="A1154" s="1" t="s">
        <v>10</v>
      </c>
      <c r="B1154" s="1" t="s">
        <v>209</v>
      </c>
      <c r="C1154" s="1" t="s">
        <v>143</v>
      </c>
      <c r="D1154" s="1">
        <v>0</v>
      </c>
      <c r="E1154" s="1">
        <v>0</v>
      </c>
      <c r="F1154" s="1">
        <v>0</v>
      </c>
      <c r="G1154" s="1">
        <v>0</v>
      </c>
      <c r="H1154" s="1">
        <v>0</v>
      </c>
      <c r="I1154" s="1">
        <v>0</v>
      </c>
    </row>
    <row r="1155" spans="1:9" hidden="1" x14ac:dyDescent="0.25">
      <c r="A1155" s="1" t="s">
        <v>10</v>
      </c>
      <c r="B1155" s="1" t="s">
        <v>209</v>
      </c>
      <c r="C1155" s="1" t="s">
        <v>3</v>
      </c>
      <c r="D1155" s="1">
        <v>0</v>
      </c>
      <c r="E1155" s="1">
        <v>0</v>
      </c>
      <c r="F1155" s="1">
        <v>0</v>
      </c>
      <c r="G1155" s="1">
        <v>0</v>
      </c>
      <c r="H1155" s="1">
        <v>0</v>
      </c>
      <c r="I1155" s="1">
        <v>0</v>
      </c>
    </row>
    <row r="1156" spans="1:9" hidden="1" x14ac:dyDescent="0.25">
      <c r="A1156" s="1" t="s">
        <v>10</v>
      </c>
      <c r="B1156" s="1" t="s">
        <v>210</v>
      </c>
      <c r="C1156" s="1" t="s">
        <v>143</v>
      </c>
      <c r="D1156" s="1">
        <v>0</v>
      </c>
      <c r="E1156" s="1">
        <v>0</v>
      </c>
      <c r="F1156" s="1">
        <v>0</v>
      </c>
      <c r="G1156" s="1">
        <v>0</v>
      </c>
      <c r="H1156" s="1">
        <v>0</v>
      </c>
      <c r="I1156" s="1">
        <v>0</v>
      </c>
    </row>
    <row r="1157" spans="1:9" hidden="1" x14ac:dyDescent="0.25">
      <c r="A1157" s="1" t="s">
        <v>10</v>
      </c>
      <c r="B1157" s="1" t="s">
        <v>210</v>
      </c>
      <c r="C1157" s="1" t="s">
        <v>3</v>
      </c>
      <c r="D1157" s="1">
        <v>0</v>
      </c>
      <c r="E1157" s="1">
        <v>0</v>
      </c>
      <c r="F1157" s="1">
        <v>0</v>
      </c>
      <c r="G1157" s="1">
        <v>0</v>
      </c>
      <c r="H1157" s="1">
        <v>0</v>
      </c>
      <c r="I1157" s="1">
        <v>0</v>
      </c>
    </row>
    <row r="1158" spans="1:9" hidden="1" x14ac:dyDescent="0.25">
      <c r="A1158" s="1" t="s">
        <v>10</v>
      </c>
      <c r="B1158" s="1" t="s">
        <v>211</v>
      </c>
      <c r="C1158" s="1" t="s">
        <v>143</v>
      </c>
      <c r="D1158" s="1">
        <v>0</v>
      </c>
      <c r="E1158" s="1">
        <v>0</v>
      </c>
      <c r="F1158" s="1">
        <v>0</v>
      </c>
      <c r="G1158" s="1">
        <v>0</v>
      </c>
      <c r="H1158" s="1">
        <v>0</v>
      </c>
      <c r="I1158" s="1">
        <v>0</v>
      </c>
    </row>
    <row r="1159" spans="1:9" hidden="1" x14ac:dyDescent="0.25">
      <c r="A1159" s="1" t="s">
        <v>10</v>
      </c>
      <c r="B1159" s="1" t="s">
        <v>211</v>
      </c>
      <c r="C1159" s="1" t="s">
        <v>3</v>
      </c>
      <c r="D1159" s="1">
        <v>0</v>
      </c>
      <c r="E1159" s="1">
        <v>0</v>
      </c>
      <c r="F1159" s="1">
        <v>0</v>
      </c>
      <c r="G1159" s="1">
        <v>0</v>
      </c>
      <c r="H1159" s="1">
        <v>0</v>
      </c>
      <c r="I1159" s="1">
        <v>0</v>
      </c>
    </row>
    <row r="1160" spans="1:9" hidden="1" x14ac:dyDescent="0.25">
      <c r="A1160" s="1" t="s">
        <v>10</v>
      </c>
      <c r="B1160" s="1" t="s">
        <v>212</v>
      </c>
      <c r="C1160" s="1" t="s">
        <v>143</v>
      </c>
      <c r="D1160" s="1">
        <v>0</v>
      </c>
      <c r="E1160" s="1">
        <v>0</v>
      </c>
      <c r="F1160" s="1">
        <v>0</v>
      </c>
      <c r="G1160" s="1">
        <v>0</v>
      </c>
      <c r="H1160" s="1">
        <v>0</v>
      </c>
      <c r="I1160" s="1">
        <v>0</v>
      </c>
    </row>
    <row r="1161" spans="1:9" hidden="1" x14ac:dyDescent="0.25">
      <c r="A1161" s="1" t="s">
        <v>10</v>
      </c>
      <c r="B1161" s="1" t="s">
        <v>212</v>
      </c>
      <c r="C1161" s="1" t="s">
        <v>3</v>
      </c>
      <c r="D1161" s="1">
        <v>0</v>
      </c>
      <c r="E1161" s="1">
        <v>0</v>
      </c>
      <c r="F1161" s="1">
        <v>0</v>
      </c>
      <c r="G1161" s="1">
        <v>0</v>
      </c>
      <c r="H1161" s="1">
        <v>0</v>
      </c>
      <c r="I1161" s="1">
        <v>0</v>
      </c>
    </row>
    <row r="1162" spans="1:9" hidden="1" x14ac:dyDescent="0.25">
      <c r="A1162" s="1" t="s">
        <v>10</v>
      </c>
      <c r="B1162" s="1" t="s">
        <v>213</v>
      </c>
      <c r="C1162" s="1" t="s">
        <v>143</v>
      </c>
      <c r="D1162" s="1">
        <v>0</v>
      </c>
      <c r="E1162" s="1">
        <v>0</v>
      </c>
      <c r="F1162" s="1">
        <v>0</v>
      </c>
      <c r="G1162" s="1">
        <v>0</v>
      </c>
      <c r="H1162" s="1">
        <v>0</v>
      </c>
      <c r="I1162" s="1">
        <v>0</v>
      </c>
    </row>
    <row r="1163" spans="1:9" hidden="1" x14ac:dyDescent="0.25">
      <c r="A1163" s="1" t="s">
        <v>10</v>
      </c>
      <c r="B1163" s="1" t="s">
        <v>213</v>
      </c>
      <c r="C1163" s="1" t="s">
        <v>3</v>
      </c>
      <c r="D1163" s="1">
        <v>0</v>
      </c>
      <c r="E1163" s="1">
        <v>0</v>
      </c>
      <c r="F1163" s="1">
        <v>0</v>
      </c>
      <c r="G1163" s="1">
        <v>0</v>
      </c>
      <c r="H1163" s="1">
        <v>0</v>
      </c>
      <c r="I1163" s="1">
        <v>0</v>
      </c>
    </row>
    <row r="1164" spans="1:9" hidden="1" x14ac:dyDescent="0.25">
      <c r="A1164" s="1" t="s">
        <v>10</v>
      </c>
      <c r="B1164" s="1" t="s">
        <v>214</v>
      </c>
      <c r="C1164" s="1" t="s">
        <v>143</v>
      </c>
      <c r="D1164" s="1">
        <v>0</v>
      </c>
      <c r="E1164" s="1">
        <v>0</v>
      </c>
      <c r="F1164" s="1">
        <v>0</v>
      </c>
      <c r="G1164" s="1">
        <v>0</v>
      </c>
      <c r="H1164" s="1">
        <v>0</v>
      </c>
      <c r="I1164" s="1">
        <v>0</v>
      </c>
    </row>
    <row r="1165" spans="1:9" hidden="1" x14ac:dyDescent="0.25">
      <c r="A1165" s="1" t="s">
        <v>10</v>
      </c>
      <c r="B1165" s="1" t="s">
        <v>214</v>
      </c>
      <c r="C1165" s="1" t="s">
        <v>3</v>
      </c>
      <c r="D1165" s="1">
        <v>0</v>
      </c>
      <c r="E1165" s="1">
        <v>0</v>
      </c>
      <c r="F1165" s="1">
        <v>0</v>
      </c>
      <c r="G1165" s="1">
        <v>0</v>
      </c>
      <c r="H1165" s="1">
        <v>0</v>
      </c>
      <c r="I1165" s="1">
        <v>0</v>
      </c>
    </row>
    <row r="1166" spans="1:9" hidden="1" x14ac:dyDescent="0.25">
      <c r="A1166" s="1" t="s">
        <v>10</v>
      </c>
      <c r="B1166" s="1" t="s">
        <v>215</v>
      </c>
      <c r="C1166" s="1" t="s">
        <v>143</v>
      </c>
      <c r="D1166" s="1">
        <v>0</v>
      </c>
      <c r="E1166" s="1">
        <v>0</v>
      </c>
      <c r="F1166" s="1">
        <v>0</v>
      </c>
      <c r="G1166" s="1">
        <v>0</v>
      </c>
      <c r="H1166" s="1">
        <v>0</v>
      </c>
      <c r="I1166" s="1">
        <v>0</v>
      </c>
    </row>
    <row r="1167" spans="1:9" hidden="1" x14ac:dyDescent="0.25">
      <c r="A1167" s="1" t="s">
        <v>10</v>
      </c>
      <c r="B1167" s="1" t="s">
        <v>215</v>
      </c>
      <c r="C1167" s="1" t="s">
        <v>3</v>
      </c>
      <c r="D1167" s="1">
        <v>0</v>
      </c>
      <c r="E1167" s="1">
        <v>0</v>
      </c>
      <c r="F1167" s="1">
        <v>0</v>
      </c>
      <c r="G1167" s="1">
        <v>0</v>
      </c>
      <c r="H1167" s="1">
        <v>0</v>
      </c>
      <c r="I1167" s="1">
        <v>0</v>
      </c>
    </row>
    <row r="1168" spans="1:9" hidden="1" x14ac:dyDescent="0.25">
      <c r="A1168" s="1" t="s">
        <v>10</v>
      </c>
      <c r="B1168" s="1" t="s">
        <v>216</v>
      </c>
      <c r="C1168" s="1" t="s">
        <v>143</v>
      </c>
      <c r="D1168" s="1">
        <v>0</v>
      </c>
      <c r="E1168" s="1">
        <v>0</v>
      </c>
      <c r="F1168" s="1">
        <v>0</v>
      </c>
      <c r="G1168" s="1">
        <v>0</v>
      </c>
      <c r="H1168" s="1">
        <v>0</v>
      </c>
      <c r="I1168" s="1">
        <v>0</v>
      </c>
    </row>
    <row r="1169" spans="1:9" hidden="1" x14ac:dyDescent="0.25">
      <c r="A1169" s="1" t="s">
        <v>10</v>
      </c>
      <c r="B1169" s="1" t="s">
        <v>216</v>
      </c>
      <c r="C1169" s="1" t="s">
        <v>3</v>
      </c>
      <c r="D1169" s="1">
        <v>0</v>
      </c>
      <c r="E1169" s="1">
        <v>0</v>
      </c>
      <c r="F1169" s="1">
        <v>0</v>
      </c>
      <c r="G1169" s="1">
        <v>0</v>
      </c>
      <c r="H1169" s="1">
        <v>0</v>
      </c>
      <c r="I1169" s="1">
        <v>0</v>
      </c>
    </row>
    <row r="1170" spans="1:9" hidden="1" x14ac:dyDescent="0.25">
      <c r="A1170" s="1" t="s">
        <v>10</v>
      </c>
      <c r="B1170" s="1" t="s">
        <v>217</v>
      </c>
      <c r="C1170" s="1" t="s">
        <v>143</v>
      </c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</row>
    <row r="1171" spans="1:9" hidden="1" x14ac:dyDescent="0.25">
      <c r="A1171" s="1" t="s">
        <v>10</v>
      </c>
      <c r="B1171" s="1" t="s">
        <v>217</v>
      </c>
      <c r="C1171" s="1" t="s">
        <v>3</v>
      </c>
      <c r="D1171" s="1">
        <v>0</v>
      </c>
      <c r="E1171" s="1">
        <v>0</v>
      </c>
      <c r="F1171" s="1">
        <v>0</v>
      </c>
      <c r="G1171" s="1">
        <v>0</v>
      </c>
      <c r="H1171" s="1">
        <v>0</v>
      </c>
      <c r="I1171" s="1">
        <v>0</v>
      </c>
    </row>
    <row r="1172" spans="1:9" hidden="1" x14ac:dyDescent="0.25">
      <c r="A1172" s="1" t="s">
        <v>10</v>
      </c>
      <c r="B1172" s="1" t="s">
        <v>218</v>
      </c>
      <c r="C1172" s="1" t="s">
        <v>143</v>
      </c>
      <c r="D1172" s="1">
        <v>0</v>
      </c>
      <c r="E1172" s="1">
        <v>0</v>
      </c>
      <c r="F1172" s="1">
        <v>0</v>
      </c>
      <c r="G1172" s="1">
        <v>0</v>
      </c>
      <c r="H1172" s="1">
        <v>0</v>
      </c>
      <c r="I1172" s="1">
        <v>0</v>
      </c>
    </row>
    <row r="1173" spans="1:9" hidden="1" x14ac:dyDescent="0.25">
      <c r="A1173" s="1" t="s">
        <v>10</v>
      </c>
      <c r="B1173" s="1" t="s">
        <v>218</v>
      </c>
      <c r="C1173" s="1" t="s">
        <v>3</v>
      </c>
      <c r="D1173" s="1">
        <v>0</v>
      </c>
      <c r="E1173" s="1">
        <v>0</v>
      </c>
      <c r="F1173" s="1">
        <v>0</v>
      </c>
      <c r="G1173" s="1">
        <v>0</v>
      </c>
      <c r="H1173" s="1">
        <v>0</v>
      </c>
      <c r="I1173" s="1">
        <v>0</v>
      </c>
    </row>
    <row r="1174" spans="1:9" hidden="1" x14ac:dyDescent="0.25">
      <c r="A1174" s="1" t="s">
        <v>10</v>
      </c>
      <c r="B1174" s="1" t="s">
        <v>219</v>
      </c>
      <c r="C1174" s="1" t="s">
        <v>143</v>
      </c>
      <c r="D1174" s="1">
        <v>0</v>
      </c>
      <c r="E1174" s="1">
        <v>0</v>
      </c>
      <c r="F1174" s="1">
        <v>0</v>
      </c>
      <c r="G1174" s="1">
        <v>0</v>
      </c>
      <c r="H1174" s="1">
        <v>0</v>
      </c>
      <c r="I1174" s="1">
        <v>0</v>
      </c>
    </row>
    <row r="1175" spans="1:9" hidden="1" x14ac:dyDescent="0.25">
      <c r="A1175" s="1" t="s">
        <v>10</v>
      </c>
      <c r="B1175" s="1" t="s">
        <v>219</v>
      </c>
      <c r="C1175" s="1" t="s">
        <v>3</v>
      </c>
      <c r="D1175" s="1">
        <v>0</v>
      </c>
      <c r="E1175" s="1">
        <v>0</v>
      </c>
      <c r="F1175" s="1">
        <v>0</v>
      </c>
      <c r="G1175" s="1">
        <v>0</v>
      </c>
      <c r="H1175" s="1">
        <v>0</v>
      </c>
      <c r="I1175" s="1">
        <v>0</v>
      </c>
    </row>
    <row r="1176" spans="1:9" hidden="1" x14ac:dyDescent="0.25">
      <c r="A1176" s="1" t="s">
        <v>10</v>
      </c>
      <c r="B1176" s="1" t="s">
        <v>220</v>
      </c>
      <c r="C1176" s="1" t="s">
        <v>143</v>
      </c>
      <c r="D1176" s="1">
        <v>0</v>
      </c>
      <c r="E1176" s="1">
        <v>0</v>
      </c>
      <c r="F1176" s="1">
        <v>0</v>
      </c>
      <c r="G1176" s="1">
        <v>0</v>
      </c>
      <c r="H1176" s="1">
        <v>0</v>
      </c>
      <c r="I1176" s="1">
        <v>0</v>
      </c>
    </row>
    <row r="1177" spans="1:9" hidden="1" x14ac:dyDescent="0.25">
      <c r="A1177" s="1" t="s">
        <v>10</v>
      </c>
      <c r="B1177" s="1" t="s">
        <v>220</v>
      </c>
      <c r="C1177" s="1" t="s">
        <v>3</v>
      </c>
      <c r="D1177" s="1">
        <v>0</v>
      </c>
      <c r="E1177" s="1">
        <v>0</v>
      </c>
      <c r="F1177" s="1">
        <v>0</v>
      </c>
      <c r="G1177" s="1">
        <v>0</v>
      </c>
      <c r="H1177" s="1">
        <v>0</v>
      </c>
      <c r="I1177" s="1">
        <v>0</v>
      </c>
    </row>
    <row r="1178" spans="1:9" hidden="1" x14ac:dyDescent="0.25">
      <c r="A1178" s="1" t="s">
        <v>10</v>
      </c>
      <c r="B1178" s="1" t="s">
        <v>221</v>
      </c>
      <c r="C1178" s="1" t="s">
        <v>143</v>
      </c>
      <c r="D1178" s="1">
        <v>0</v>
      </c>
      <c r="E1178" s="1">
        <v>0</v>
      </c>
      <c r="F1178" s="1">
        <v>0</v>
      </c>
      <c r="G1178" s="1">
        <v>0</v>
      </c>
      <c r="H1178" s="1">
        <v>0</v>
      </c>
      <c r="I1178" s="1">
        <v>0</v>
      </c>
    </row>
    <row r="1179" spans="1:9" hidden="1" x14ac:dyDescent="0.25">
      <c r="A1179" s="1" t="s">
        <v>10</v>
      </c>
      <c r="B1179" s="1" t="s">
        <v>221</v>
      </c>
      <c r="C1179" s="1" t="s">
        <v>3</v>
      </c>
      <c r="D1179" s="1">
        <v>0</v>
      </c>
      <c r="E1179" s="1">
        <v>0</v>
      </c>
      <c r="F1179" s="1">
        <v>0</v>
      </c>
      <c r="G1179" s="1">
        <v>0</v>
      </c>
      <c r="H1179" s="1">
        <v>0</v>
      </c>
      <c r="I1179" s="1">
        <v>0</v>
      </c>
    </row>
    <row r="1180" spans="1:9" hidden="1" x14ac:dyDescent="0.25">
      <c r="A1180" s="1" t="s">
        <v>10</v>
      </c>
      <c r="B1180" s="1" t="s">
        <v>222</v>
      </c>
      <c r="C1180" s="1" t="s">
        <v>143</v>
      </c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</row>
    <row r="1181" spans="1:9" hidden="1" x14ac:dyDescent="0.25">
      <c r="A1181" s="1" t="s">
        <v>10</v>
      </c>
      <c r="B1181" s="1" t="s">
        <v>222</v>
      </c>
      <c r="C1181" s="1" t="s">
        <v>3</v>
      </c>
      <c r="D1181" s="1">
        <v>0</v>
      </c>
      <c r="E1181" s="1">
        <v>0</v>
      </c>
      <c r="F1181" s="1">
        <v>0</v>
      </c>
      <c r="G1181" s="1">
        <v>0</v>
      </c>
      <c r="H1181" s="1">
        <v>0</v>
      </c>
      <c r="I1181" s="1">
        <v>0</v>
      </c>
    </row>
    <row r="1182" spans="1:9" hidden="1" x14ac:dyDescent="0.25">
      <c r="A1182" s="1" t="s">
        <v>10</v>
      </c>
      <c r="B1182" s="1" t="s">
        <v>223</v>
      </c>
      <c r="C1182" s="1" t="s">
        <v>143</v>
      </c>
      <c r="D1182" s="1">
        <v>0</v>
      </c>
      <c r="E1182" s="1">
        <v>0</v>
      </c>
      <c r="F1182" s="1">
        <v>0</v>
      </c>
      <c r="G1182" s="1">
        <v>0</v>
      </c>
      <c r="H1182" s="1">
        <v>0</v>
      </c>
      <c r="I1182" s="1">
        <v>0</v>
      </c>
    </row>
    <row r="1183" spans="1:9" hidden="1" x14ac:dyDescent="0.25">
      <c r="A1183" s="1" t="s">
        <v>10</v>
      </c>
      <c r="B1183" s="1" t="s">
        <v>223</v>
      </c>
      <c r="C1183" s="1" t="s">
        <v>3</v>
      </c>
      <c r="D1183" s="1">
        <v>0</v>
      </c>
      <c r="E1183" s="1">
        <v>0</v>
      </c>
      <c r="F1183" s="1">
        <v>0</v>
      </c>
      <c r="G1183" s="1">
        <v>0</v>
      </c>
      <c r="H1183" s="1">
        <v>0</v>
      </c>
      <c r="I1183" s="1">
        <v>0</v>
      </c>
    </row>
    <row r="1184" spans="1:9" hidden="1" x14ac:dyDescent="0.25">
      <c r="A1184" s="1" t="s">
        <v>10</v>
      </c>
      <c r="B1184" s="1" t="s">
        <v>224</v>
      </c>
      <c r="C1184" s="1" t="s">
        <v>143</v>
      </c>
      <c r="D1184" s="1">
        <v>0</v>
      </c>
      <c r="E1184" s="1">
        <v>0</v>
      </c>
      <c r="F1184" s="1">
        <v>0</v>
      </c>
      <c r="G1184" s="1">
        <v>0</v>
      </c>
      <c r="H1184" s="1">
        <v>0</v>
      </c>
      <c r="I1184" s="1">
        <v>0</v>
      </c>
    </row>
    <row r="1185" spans="1:9" hidden="1" x14ac:dyDescent="0.25">
      <c r="A1185" s="1" t="s">
        <v>10</v>
      </c>
      <c r="B1185" s="1" t="s">
        <v>224</v>
      </c>
      <c r="C1185" s="1" t="s">
        <v>3</v>
      </c>
      <c r="D1185" s="1">
        <v>0</v>
      </c>
      <c r="E1185" s="1">
        <v>0</v>
      </c>
      <c r="F1185" s="1">
        <v>0</v>
      </c>
      <c r="G1185" s="1">
        <v>0</v>
      </c>
      <c r="H1185" s="1">
        <v>0</v>
      </c>
      <c r="I1185" s="1">
        <v>0</v>
      </c>
    </row>
    <row r="1186" spans="1:9" hidden="1" x14ac:dyDescent="0.25">
      <c r="A1186" s="1" t="s">
        <v>10</v>
      </c>
      <c r="B1186" s="1" t="s">
        <v>225</v>
      </c>
      <c r="C1186" s="1" t="s">
        <v>143</v>
      </c>
      <c r="D1186" s="1">
        <v>0</v>
      </c>
      <c r="E1186" s="1">
        <v>0</v>
      </c>
      <c r="F1186" s="1">
        <v>0</v>
      </c>
      <c r="G1186" s="1">
        <v>0</v>
      </c>
      <c r="H1186" s="1">
        <v>0</v>
      </c>
      <c r="I1186" s="1">
        <v>0</v>
      </c>
    </row>
    <row r="1187" spans="1:9" hidden="1" x14ac:dyDescent="0.25">
      <c r="A1187" s="1" t="s">
        <v>10</v>
      </c>
      <c r="B1187" s="1" t="s">
        <v>225</v>
      </c>
      <c r="C1187" s="1" t="s">
        <v>3</v>
      </c>
      <c r="D1187" s="1">
        <v>0</v>
      </c>
      <c r="E1187" s="1">
        <v>0</v>
      </c>
      <c r="F1187" s="1">
        <v>0</v>
      </c>
      <c r="G1187" s="1">
        <v>0</v>
      </c>
      <c r="H1187" s="1">
        <v>0</v>
      </c>
      <c r="I1187" s="1">
        <v>0</v>
      </c>
    </row>
    <row r="1188" spans="1:9" hidden="1" x14ac:dyDescent="0.25">
      <c r="A1188" s="1" t="s">
        <v>10</v>
      </c>
      <c r="B1188" s="1" t="s">
        <v>226</v>
      </c>
      <c r="C1188" s="1" t="s">
        <v>143</v>
      </c>
      <c r="D1188" s="1">
        <v>0</v>
      </c>
      <c r="E1188" s="1">
        <v>0</v>
      </c>
      <c r="F1188" s="1">
        <v>0</v>
      </c>
      <c r="G1188" s="1">
        <v>0</v>
      </c>
      <c r="H1188" s="1">
        <v>0</v>
      </c>
      <c r="I1188" s="1">
        <v>0</v>
      </c>
    </row>
    <row r="1189" spans="1:9" hidden="1" x14ac:dyDescent="0.25">
      <c r="A1189" s="1" t="s">
        <v>10</v>
      </c>
      <c r="B1189" s="1" t="s">
        <v>226</v>
      </c>
      <c r="C1189" s="1" t="s">
        <v>3</v>
      </c>
      <c r="D1189" s="1">
        <v>0</v>
      </c>
      <c r="E1189" s="1">
        <v>0</v>
      </c>
      <c r="F1189" s="1">
        <v>0</v>
      </c>
      <c r="G1189" s="1">
        <v>0</v>
      </c>
      <c r="H1189" s="1">
        <v>0</v>
      </c>
      <c r="I1189" s="1">
        <v>0</v>
      </c>
    </row>
    <row r="1190" spans="1:9" hidden="1" x14ac:dyDescent="0.25">
      <c r="A1190" s="1" t="s">
        <v>10</v>
      </c>
      <c r="B1190" s="1" t="s">
        <v>227</v>
      </c>
      <c r="C1190" s="1" t="s">
        <v>143</v>
      </c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0</v>
      </c>
    </row>
    <row r="1191" spans="1:9" hidden="1" x14ac:dyDescent="0.25">
      <c r="A1191" s="1" t="s">
        <v>10</v>
      </c>
      <c r="B1191" s="1" t="s">
        <v>227</v>
      </c>
      <c r="C1191" s="1" t="s">
        <v>3</v>
      </c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0</v>
      </c>
    </row>
    <row r="1192" spans="1:9" hidden="1" x14ac:dyDescent="0.25">
      <c r="A1192" s="1" t="s">
        <v>10</v>
      </c>
      <c r="B1192" s="1" t="s">
        <v>228</v>
      </c>
      <c r="C1192" s="1" t="s">
        <v>143</v>
      </c>
      <c r="D1192" s="1">
        <v>0</v>
      </c>
      <c r="E1192" s="1">
        <v>0</v>
      </c>
      <c r="F1192" s="1">
        <v>0</v>
      </c>
      <c r="G1192" s="1">
        <v>0</v>
      </c>
      <c r="H1192" s="1">
        <v>0</v>
      </c>
      <c r="I1192" s="1">
        <v>0</v>
      </c>
    </row>
    <row r="1193" spans="1:9" hidden="1" x14ac:dyDescent="0.25">
      <c r="A1193" s="1" t="s">
        <v>10</v>
      </c>
      <c r="B1193" s="1" t="s">
        <v>228</v>
      </c>
      <c r="C1193" s="1" t="s">
        <v>3</v>
      </c>
      <c r="D1193" s="1">
        <v>0</v>
      </c>
      <c r="E1193" s="1">
        <v>0</v>
      </c>
      <c r="F1193" s="1">
        <v>0</v>
      </c>
      <c r="G1193" s="1">
        <v>0</v>
      </c>
      <c r="H1193" s="1">
        <v>0</v>
      </c>
      <c r="I1193" s="1">
        <v>0</v>
      </c>
    </row>
    <row r="1194" spans="1:9" hidden="1" x14ac:dyDescent="0.25">
      <c r="A1194" s="1" t="s">
        <v>10</v>
      </c>
      <c r="B1194" s="1" t="s">
        <v>229</v>
      </c>
      <c r="C1194" s="1" t="s">
        <v>143</v>
      </c>
      <c r="D1194" s="1">
        <v>0</v>
      </c>
      <c r="E1194" s="1">
        <v>0</v>
      </c>
      <c r="F1194" s="1">
        <v>0</v>
      </c>
      <c r="G1194" s="1">
        <v>0</v>
      </c>
      <c r="H1194" s="1">
        <v>0</v>
      </c>
      <c r="I1194" s="1">
        <v>0</v>
      </c>
    </row>
    <row r="1195" spans="1:9" hidden="1" x14ac:dyDescent="0.25">
      <c r="A1195" s="1" t="s">
        <v>10</v>
      </c>
      <c r="B1195" s="1" t="s">
        <v>229</v>
      </c>
      <c r="C1195" s="1" t="s">
        <v>3</v>
      </c>
      <c r="D1195" s="1">
        <v>0</v>
      </c>
      <c r="E1195" s="1">
        <v>0</v>
      </c>
      <c r="F1195" s="1">
        <v>0</v>
      </c>
      <c r="G1195" s="1">
        <v>0</v>
      </c>
      <c r="H1195" s="1">
        <v>0</v>
      </c>
      <c r="I1195" s="1">
        <v>0</v>
      </c>
    </row>
    <row r="1196" spans="1:9" hidden="1" x14ac:dyDescent="0.25">
      <c r="A1196" s="1" t="s">
        <v>10</v>
      </c>
      <c r="B1196" s="1" t="s">
        <v>230</v>
      </c>
      <c r="C1196" s="1" t="s">
        <v>143</v>
      </c>
      <c r="D1196" s="1">
        <v>0</v>
      </c>
      <c r="E1196" s="1">
        <v>0</v>
      </c>
      <c r="F1196" s="1">
        <v>0</v>
      </c>
      <c r="G1196" s="1">
        <v>0</v>
      </c>
      <c r="H1196" s="1">
        <v>0</v>
      </c>
      <c r="I1196" s="1">
        <v>0</v>
      </c>
    </row>
    <row r="1197" spans="1:9" hidden="1" x14ac:dyDescent="0.25">
      <c r="A1197" s="1" t="s">
        <v>10</v>
      </c>
      <c r="B1197" s="1" t="s">
        <v>230</v>
      </c>
      <c r="C1197" s="1" t="s">
        <v>3</v>
      </c>
      <c r="D1197" s="1">
        <v>0</v>
      </c>
      <c r="E1197" s="1">
        <v>0</v>
      </c>
      <c r="F1197" s="1">
        <v>0</v>
      </c>
      <c r="G1197" s="1">
        <v>0</v>
      </c>
      <c r="H1197" s="1">
        <v>0</v>
      </c>
      <c r="I1197" s="1">
        <v>0</v>
      </c>
    </row>
    <row r="1198" spans="1:9" hidden="1" x14ac:dyDescent="0.25">
      <c r="A1198" s="1" t="s">
        <v>10</v>
      </c>
      <c r="B1198" s="1" t="s">
        <v>231</v>
      </c>
      <c r="C1198" s="1" t="s">
        <v>143</v>
      </c>
      <c r="D1198" s="1">
        <v>0</v>
      </c>
      <c r="E1198" s="1">
        <v>0</v>
      </c>
      <c r="F1198" s="1">
        <v>0</v>
      </c>
      <c r="G1198" s="1">
        <v>0</v>
      </c>
      <c r="H1198" s="1">
        <v>0</v>
      </c>
      <c r="I1198" s="1">
        <v>0</v>
      </c>
    </row>
    <row r="1199" spans="1:9" hidden="1" x14ac:dyDescent="0.25">
      <c r="A1199" s="1" t="s">
        <v>10</v>
      </c>
      <c r="B1199" s="1" t="s">
        <v>231</v>
      </c>
      <c r="C1199" s="1" t="s">
        <v>3</v>
      </c>
      <c r="D1199" s="1">
        <v>0</v>
      </c>
      <c r="E1199" s="1">
        <v>0</v>
      </c>
      <c r="F1199" s="1">
        <v>0</v>
      </c>
      <c r="G1199" s="1">
        <v>0</v>
      </c>
      <c r="H1199" s="1">
        <v>0</v>
      </c>
      <c r="I1199" s="1">
        <v>0</v>
      </c>
    </row>
    <row r="1200" spans="1:9" hidden="1" x14ac:dyDescent="0.25">
      <c r="A1200" s="1" t="s">
        <v>10</v>
      </c>
      <c r="B1200" s="1" t="s">
        <v>232</v>
      </c>
      <c r="C1200" s="1" t="s">
        <v>143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</row>
    <row r="1201" spans="1:9" hidden="1" x14ac:dyDescent="0.25">
      <c r="A1201" s="1" t="s">
        <v>10</v>
      </c>
      <c r="B1201" s="1" t="s">
        <v>232</v>
      </c>
      <c r="C1201" s="1" t="s">
        <v>3</v>
      </c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</row>
    <row r="1202" spans="1:9" hidden="1" x14ac:dyDescent="0.25">
      <c r="A1202" s="1" t="s">
        <v>10</v>
      </c>
      <c r="B1202" s="1" t="s">
        <v>233</v>
      </c>
      <c r="C1202" s="1" t="s">
        <v>143</v>
      </c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</row>
    <row r="1203" spans="1:9" hidden="1" x14ac:dyDescent="0.25">
      <c r="A1203" s="1" t="s">
        <v>10</v>
      </c>
      <c r="B1203" s="1" t="s">
        <v>233</v>
      </c>
      <c r="C1203" s="1" t="s">
        <v>3</v>
      </c>
      <c r="D1203" s="1">
        <v>0</v>
      </c>
      <c r="E1203" s="1">
        <v>0</v>
      </c>
      <c r="F1203" s="1">
        <v>0</v>
      </c>
      <c r="G1203" s="1">
        <v>0</v>
      </c>
      <c r="H1203" s="1">
        <v>0</v>
      </c>
      <c r="I1203" s="1">
        <v>0</v>
      </c>
    </row>
    <row r="1204" spans="1:9" hidden="1" x14ac:dyDescent="0.25">
      <c r="A1204" s="1" t="s">
        <v>10</v>
      </c>
      <c r="B1204" s="1" t="s">
        <v>234</v>
      </c>
      <c r="C1204" s="1" t="s">
        <v>143</v>
      </c>
      <c r="D1204" s="1">
        <v>0</v>
      </c>
      <c r="E1204" s="1">
        <v>0</v>
      </c>
      <c r="F1204" s="1">
        <v>0</v>
      </c>
      <c r="G1204" s="1">
        <v>0</v>
      </c>
      <c r="H1204" s="1">
        <v>0</v>
      </c>
      <c r="I1204" s="1">
        <v>0</v>
      </c>
    </row>
    <row r="1205" spans="1:9" hidden="1" x14ac:dyDescent="0.25">
      <c r="A1205" s="1" t="s">
        <v>10</v>
      </c>
      <c r="B1205" s="1" t="s">
        <v>234</v>
      </c>
      <c r="C1205" s="1" t="s">
        <v>3</v>
      </c>
      <c r="D1205" s="1">
        <v>0</v>
      </c>
      <c r="E1205" s="1">
        <v>0</v>
      </c>
      <c r="F1205" s="1">
        <v>0</v>
      </c>
      <c r="G1205" s="1">
        <v>0</v>
      </c>
      <c r="H1205" s="1">
        <v>0</v>
      </c>
      <c r="I1205" s="1">
        <v>0</v>
      </c>
    </row>
    <row r="1206" spans="1:9" hidden="1" x14ac:dyDescent="0.25">
      <c r="A1206" s="1" t="s">
        <v>10</v>
      </c>
      <c r="B1206" s="1" t="s">
        <v>235</v>
      </c>
      <c r="C1206" s="1" t="s">
        <v>143</v>
      </c>
      <c r="D1206" s="1">
        <v>0</v>
      </c>
      <c r="E1206" s="1">
        <v>0</v>
      </c>
      <c r="F1206" s="1">
        <v>0</v>
      </c>
      <c r="G1206" s="1">
        <v>0</v>
      </c>
      <c r="H1206" s="1">
        <v>0</v>
      </c>
      <c r="I1206" s="1">
        <v>0</v>
      </c>
    </row>
    <row r="1207" spans="1:9" hidden="1" x14ac:dyDescent="0.25">
      <c r="A1207" s="1" t="s">
        <v>10</v>
      </c>
      <c r="B1207" s="1" t="s">
        <v>235</v>
      </c>
      <c r="C1207" s="1" t="s">
        <v>3</v>
      </c>
      <c r="D1207" s="1">
        <v>0</v>
      </c>
      <c r="E1207" s="1">
        <v>0</v>
      </c>
      <c r="F1207" s="1">
        <v>0</v>
      </c>
      <c r="G1207" s="1">
        <v>0</v>
      </c>
      <c r="H1207" s="1">
        <v>0</v>
      </c>
      <c r="I1207" s="1">
        <v>0</v>
      </c>
    </row>
    <row r="1208" spans="1:9" hidden="1" x14ac:dyDescent="0.25">
      <c r="A1208" s="1" t="s">
        <v>10</v>
      </c>
      <c r="B1208" s="1" t="s">
        <v>236</v>
      </c>
      <c r="C1208" s="1" t="s">
        <v>143</v>
      </c>
      <c r="D1208" s="1">
        <v>0</v>
      </c>
      <c r="E1208" s="1">
        <v>0</v>
      </c>
      <c r="F1208" s="1">
        <v>0</v>
      </c>
      <c r="G1208" s="1">
        <v>0</v>
      </c>
      <c r="H1208" s="1">
        <v>0</v>
      </c>
      <c r="I1208" s="1">
        <v>0</v>
      </c>
    </row>
    <row r="1209" spans="1:9" hidden="1" x14ac:dyDescent="0.25">
      <c r="A1209" s="1" t="s">
        <v>10</v>
      </c>
      <c r="B1209" s="1" t="s">
        <v>236</v>
      </c>
      <c r="C1209" s="1" t="s">
        <v>3</v>
      </c>
      <c r="D1209" s="1">
        <v>0</v>
      </c>
      <c r="E1209" s="1">
        <v>0</v>
      </c>
      <c r="F1209" s="1">
        <v>0</v>
      </c>
      <c r="G1209" s="1">
        <v>0</v>
      </c>
      <c r="H1209" s="1">
        <v>0</v>
      </c>
      <c r="I1209" s="1">
        <v>0</v>
      </c>
    </row>
    <row r="1210" spans="1:9" hidden="1" x14ac:dyDescent="0.25">
      <c r="A1210" s="1" t="s">
        <v>10</v>
      </c>
      <c r="B1210" s="1" t="s">
        <v>237</v>
      </c>
      <c r="C1210" s="1" t="s">
        <v>143</v>
      </c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</row>
    <row r="1211" spans="1:9" hidden="1" x14ac:dyDescent="0.25">
      <c r="A1211" s="1" t="s">
        <v>10</v>
      </c>
      <c r="B1211" s="1" t="s">
        <v>237</v>
      </c>
      <c r="C1211" s="1" t="s">
        <v>3</v>
      </c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</row>
    <row r="1212" spans="1:9" hidden="1" x14ac:dyDescent="0.25">
      <c r="A1212" s="1" t="s">
        <v>10</v>
      </c>
      <c r="B1212" s="1" t="s">
        <v>238</v>
      </c>
      <c r="C1212" s="1" t="s">
        <v>143</v>
      </c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</row>
    <row r="1213" spans="1:9" hidden="1" x14ac:dyDescent="0.25">
      <c r="A1213" s="1" t="s">
        <v>10</v>
      </c>
      <c r="B1213" s="1" t="s">
        <v>238</v>
      </c>
      <c r="C1213" s="1" t="s">
        <v>3</v>
      </c>
      <c r="D1213" s="1">
        <v>0</v>
      </c>
      <c r="E1213" s="1">
        <v>0</v>
      </c>
      <c r="F1213" s="1">
        <v>0</v>
      </c>
      <c r="G1213" s="1">
        <v>0</v>
      </c>
      <c r="H1213" s="1">
        <v>0</v>
      </c>
      <c r="I1213" s="1">
        <v>0</v>
      </c>
    </row>
    <row r="1214" spans="1:9" hidden="1" x14ac:dyDescent="0.25">
      <c r="A1214" s="1" t="s">
        <v>10</v>
      </c>
      <c r="B1214" s="1" t="s">
        <v>239</v>
      </c>
      <c r="C1214" s="1" t="s">
        <v>143</v>
      </c>
      <c r="D1214" s="1">
        <v>0</v>
      </c>
      <c r="E1214" s="1">
        <v>0</v>
      </c>
      <c r="F1214" s="1">
        <v>0</v>
      </c>
      <c r="G1214" s="1">
        <v>0</v>
      </c>
      <c r="H1214" s="1">
        <v>0</v>
      </c>
      <c r="I1214" s="1">
        <v>0</v>
      </c>
    </row>
    <row r="1215" spans="1:9" hidden="1" x14ac:dyDescent="0.25">
      <c r="A1215" s="1" t="s">
        <v>10</v>
      </c>
      <c r="B1215" s="1" t="s">
        <v>239</v>
      </c>
      <c r="C1215" s="1" t="s">
        <v>3</v>
      </c>
      <c r="D1215" s="1">
        <v>0</v>
      </c>
      <c r="E1215" s="1">
        <v>0</v>
      </c>
      <c r="F1215" s="1">
        <v>0</v>
      </c>
      <c r="G1215" s="1">
        <v>0</v>
      </c>
      <c r="H1215" s="1">
        <v>0</v>
      </c>
      <c r="I1215" s="1">
        <v>0</v>
      </c>
    </row>
    <row r="1216" spans="1:9" hidden="1" x14ac:dyDescent="0.25">
      <c r="A1216" s="1" t="s">
        <v>10</v>
      </c>
      <c r="B1216" s="1" t="s">
        <v>240</v>
      </c>
      <c r="C1216" s="1" t="s">
        <v>143</v>
      </c>
      <c r="D1216" s="1">
        <v>0</v>
      </c>
      <c r="E1216" s="1">
        <v>0</v>
      </c>
      <c r="F1216" s="1">
        <v>0</v>
      </c>
      <c r="G1216" s="1">
        <v>0</v>
      </c>
      <c r="H1216" s="1">
        <v>0</v>
      </c>
      <c r="I1216" s="1">
        <v>0</v>
      </c>
    </row>
    <row r="1217" spans="1:9" hidden="1" x14ac:dyDescent="0.25">
      <c r="A1217" s="1" t="s">
        <v>10</v>
      </c>
      <c r="B1217" s="1" t="s">
        <v>240</v>
      </c>
      <c r="C1217" s="1" t="s">
        <v>3</v>
      </c>
      <c r="D1217" s="1">
        <v>0</v>
      </c>
      <c r="E1217" s="1">
        <v>0</v>
      </c>
      <c r="F1217" s="1">
        <v>0</v>
      </c>
      <c r="G1217" s="1">
        <v>0</v>
      </c>
      <c r="H1217" s="1">
        <v>0</v>
      </c>
      <c r="I1217" s="1">
        <v>0</v>
      </c>
    </row>
    <row r="1218" spans="1:9" hidden="1" x14ac:dyDescent="0.25">
      <c r="A1218" s="1" t="s">
        <v>10</v>
      </c>
      <c r="B1218" s="1" t="s">
        <v>241</v>
      </c>
      <c r="C1218" s="1" t="s">
        <v>143</v>
      </c>
      <c r="D1218" s="1">
        <v>0</v>
      </c>
      <c r="E1218" s="1">
        <v>0</v>
      </c>
      <c r="F1218" s="1">
        <v>0</v>
      </c>
      <c r="G1218" s="1">
        <v>0</v>
      </c>
      <c r="H1218" s="1">
        <v>0</v>
      </c>
      <c r="I1218" s="1">
        <v>0</v>
      </c>
    </row>
    <row r="1219" spans="1:9" hidden="1" x14ac:dyDescent="0.25">
      <c r="A1219" s="1" t="s">
        <v>10</v>
      </c>
      <c r="B1219" s="1" t="s">
        <v>241</v>
      </c>
      <c r="C1219" s="1" t="s">
        <v>3</v>
      </c>
      <c r="D1219" s="1">
        <v>0</v>
      </c>
      <c r="E1219" s="1">
        <v>0</v>
      </c>
      <c r="F1219" s="1">
        <v>0</v>
      </c>
      <c r="G1219" s="1">
        <v>0</v>
      </c>
      <c r="H1219" s="1">
        <v>0</v>
      </c>
      <c r="I1219" s="1">
        <v>0</v>
      </c>
    </row>
    <row r="1220" spans="1:9" hidden="1" x14ac:dyDescent="0.25">
      <c r="A1220" s="1" t="s">
        <v>10</v>
      </c>
      <c r="B1220" s="1" t="s">
        <v>242</v>
      </c>
      <c r="C1220" s="1" t="s">
        <v>143</v>
      </c>
      <c r="D1220" s="1">
        <v>0</v>
      </c>
      <c r="E1220" s="1">
        <v>0</v>
      </c>
      <c r="F1220" s="1">
        <v>0</v>
      </c>
      <c r="G1220" s="1">
        <v>0</v>
      </c>
      <c r="H1220" s="1">
        <v>0</v>
      </c>
      <c r="I1220" s="1">
        <v>0</v>
      </c>
    </row>
    <row r="1221" spans="1:9" hidden="1" x14ac:dyDescent="0.25">
      <c r="A1221" s="1" t="s">
        <v>10</v>
      </c>
      <c r="B1221" s="1" t="s">
        <v>242</v>
      </c>
      <c r="C1221" s="1" t="s">
        <v>3</v>
      </c>
      <c r="D1221" s="1">
        <v>0</v>
      </c>
      <c r="E1221" s="1">
        <v>0</v>
      </c>
      <c r="F1221" s="1">
        <v>0</v>
      </c>
      <c r="G1221" s="1">
        <v>0</v>
      </c>
      <c r="H1221" s="1">
        <v>0</v>
      </c>
      <c r="I1221" s="1">
        <v>0</v>
      </c>
    </row>
    <row r="1222" spans="1:9" hidden="1" x14ac:dyDescent="0.25">
      <c r="A1222" s="1" t="s">
        <v>10</v>
      </c>
      <c r="B1222" s="1" t="s">
        <v>243</v>
      </c>
      <c r="C1222" s="1" t="s">
        <v>143</v>
      </c>
      <c r="D1222" s="1">
        <v>0</v>
      </c>
      <c r="E1222" s="1">
        <v>0</v>
      </c>
      <c r="F1222" s="1">
        <v>0</v>
      </c>
      <c r="G1222" s="1">
        <v>0</v>
      </c>
      <c r="H1222" s="1">
        <v>0</v>
      </c>
      <c r="I1222" s="1">
        <v>0</v>
      </c>
    </row>
    <row r="1223" spans="1:9" hidden="1" x14ac:dyDescent="0.25">
      <c r="A1223" s="1" t="s">
        <v>10</v>
      </c>
      <c r="B1223" s="1" t="s">
        <v>243</v>
      </c>
      <c r="C1223" s="1" t="s">
        <v>3</v>
      </c>
      <c r="D1223" s="1">
        <v>0</v>
      </c>
      <c r="E1223" s="1">
        <v>0</v>
      </c>
      <c r="F1223" s="1">
        <v>0</v>
      </c>
      <c r="G1223" s="1">
        <v>0</v>
      </c>
      <c r="H1223" s="1">
        <v>0</v>
      </c>
      <c r="I1223" s="1">
        <v>0</v>
      </c>
    </row>
    <row r="1224" spans="1:9" hidden="1" x14ac:dyDescent="0.25">
      <c r="A1224" s="1" t="s">
        <v>10</v>
      </c>
      <c r="B1224" s="1" t="s">
        <v>244</v>
      </c>
      <c r="C1224" s="1" t="s">
        <v>143</v>
      </c>
      <c r="D1224" s="1">
        <v>0</v>
      </c>
      <c r="E1224" s="1">
        <v>0</v>
      </c>
      <c r="F1224" s="1">
        <v>0</v>
      </c>
      <c r="G1224" s="1">
        <v>0</v>
      </c>
      <c r="H1224" s="1">
        <v>0</v>
      </c>
      <c r="I1224" s="1">
        <v>0</v>
      </c>
    </row>
    <row r="1225" spans="1:9" hidden="1" x14ac:dyDescent="0.25">
      <c r="A1225" s="1" t="s">
        <v>10</v>
      </c>
      <c r="B1225" s="1" t="s">
        <v>244</v>
      </c>
      <c r="C1225" s="1" t="s">
        <v>3</v>
      </c>
      <c r="D1225" s="1">
        <v>0</v>
      </c>
      <c r="E1225" s="1">
        <v>0</v>
      </c>
      <c r="F1225" s="1">
        <v>0</v>
      </c>
      <c r="G1225" s="1">
        <v>0</v>
      </c>
      <c r="H1225" s="1">
        <v>0</v>
      </c>
      <c r="I1225" s="1">
        <v>0</v>
      </c>
    </row>
    <row r="1226" spans="1:9" hidden="1" x14ac:dyDescent="0.25">
      <c r="A1226" s="1" t="s">
        <v>10</v>
      </c>
      <c r="B1226" s="1" t="s">
        <v>245</v>
      </c>
      <c r="C1226" s="1" t="s">
        <v>143</v>
      </c>
      <c r="D1226" s="1">
        <v>0</v>
      </c>
      <c r="E1226" s="1">
        <v>0</v>
      </c>
      <c r="F1226" s="1">
        <v>0</v>
      </c>
      <c r="G1226" s="1">
        <v>0</v>
      </c>
      <c r="H1226" s="1">
        <v>0</v>
      </c>
      <c r="I1226" s="1">
        <v>0</v>
      </c>
    </row>
    <row r="1227" spans="1:9" hidden="1" x14ac:dyDescent="0.25">
      <c r="A1227" s="1" t="s">
        <v>10</v>
      </c>
      <c r="B1227" s="1" t="s">
        <v>245</v>
      </c>
      <c r="C1227" s="1" t="s">
        <v>3</v>
      </c>
      <c r="D1227" s="1">
        <v>0</v>
      </c>
      <c r="E1227" s="1">
        <v>0</v>
      </c>
      <c r="F1227" s="1">
        <v>0</v>
      </c>
      <c r="G1227" s="1">
        <v>0</v>
      </c>
      <c r="H1227" s="1">
        <v>0</v>
      </c>
      <c r="I1227" s="1">
        <v>0</v>
      </c>
    </row>
    <row r="1228" spans="1:9" hidden="1" x14ac:dyDescent="0.25">
      <c r="A1228" s="1" t="s">
        <v>10</v>
      </c>
      <c r="B1228" s="1" t="s">
        <v>246</v>
      </c>
      <c r="C1228" s="1" t="s">
        <v>143</v>
      </c>
      <c r="D1228" s="1">
        <v>0</v>
      </c>
      <c r="E1228" s="1">
        <v>0</v>
      </c>
      <c r="F1228" s="1">
        <v>0</v>
      </c>
      <c r="G1228" s="1">
        <v>0</v>
      </c>
      <c r="H1228" s="1">
        <v>0</v>
      </c>
      <c r="I1228" s="1">
        <v>0</v>
      </c>
    </row>
    <row r="1229" spans="1:9" hidden="1" x14ac:dyDescent="0.25">
      <c r="A1229" s="1" t="s">
        <v>10</v>
      </c>
      <c r="B1229" s="1" t="s">
        <v>246</v>
      </c>
      <c r="C1229" s="1" t="s">
        <v>3</v>
      </c>
      <c r="D1229" s="1">
        <v>0</v>
      </c>
      <c r="E1229" s="1">
        <v>0</v>
      </c>
      <c r="F1229" s="1">
        <v>0</v>
      </c>
      <c r="G1229" s="1">
        <v>0</v>
      </c>
      <c r="H1229" s="1">
        <v>0</v>
      </c>
      <c r="I1229" s="1">
        <v>0</v>
      </c>
    </row>
    <row r="1230" spans="1:9" hidden="1" x14ac:dyDescent="0.25">
      <c r="A1230" s="1" t="s">
        <v>10</v>
      </c>
      <c r="B1230" s="1" t="s">
        <v>247</v>
      </c>
      <c r="C1230" s="1" t="s">
        <v>143</v>
      </c>
      <c r="D1230" s="1">
        <v>0</v>
      </c>
      <c r="E1230" s="1">
        <v>0</v>
      </c>
      <c r="F1230" s="1">
        <v>0</v>
      </c>
      <c r="G1230" s="1">
        <v>0</v>
      </c>
      <c r="H1230" s="1">
        <v>0</v>
      </c>
      <c r="I1230" s="1">
        <v>0</v>
      </c>
    </row>
    <row r="1231" spans="1:9" hidden="1" x14ac:dyDescent="0.25">
      <c r="A1231" s="1" t="s">
        <v>10</v>
      </c>
      <c r="B1231" s="1" t="s">
        <v>247</v>
      </c>
      <c r="C1231" s="1" t="s">
        <v>3</v>
      </c>
      <c r="D1231" s="1">
        <v>0</v>
      </c>
      <c r="E1231" s="1">
        <v>0</v>
      </c>
      <c r="F1231" s="1">
        <v>0</v>
      </c>
      <c r="G1231" s="1">
        <v>0</v>
      </c>
      <c r="H1231" s="1">
        <v>0</v>
      </c>
      <c r="I1231" s="1">
        <v>0</v>
      </c>
    </row>
    <row r="1232" spans="1:9" hidden="1" x14ac:dyDescent="0.25">
      <c r="A1232" s="1" t="s">
        <v>10</v>
      </c>
      <c r="B1232" s="1" t="s">
        <v>248</v>
      </c>
      <c r="C1232" s="1" t="s">
        <v>143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10</v>
      </c>
      <c r="B1233" s="1" t="s">
        <v>248</v>
      </c>
      <c r="C1233" s="1" t="s">
        <v>3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10</v>
      </c>
      <c r="B1234" s="1" t="s">
        <v>249</v>
      </c>
      <c r="C1234" s="1" t="s">
        <v>143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10</v>
      </c>
      <c r="B1235" s="1" t="s">
        <v>249</v>
      </c>
      <c r="C1235" s="1" t="s">
        <v>3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10</v>
      </c>
      <c r="B1236" s="1" t="s">
        <v>250</v>
      </c>
      <c r="C1236" s="1" t="s">
        <v>143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10</v>
      </c>
      <c r="B1237" s="1" t="s">
        <v>250</v>
      </c>
      <c r="C1237" s="1" t="s">
        <v>3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10</v>
      </c>
      <c r="B1238" s="1" t="s">
        <v>251</v>
      </c>
      <c r="C1238" s="1" t="s">
        <v>143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10</v>
      </c>
      <c r="B1239" s="1" t="s">
        <v>251</v>
      </c>
      <c r="C1239" s="1" t="s">
        <v>3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10</v>
      </c>
      <c r="B1240" s="1" t="s">
        <v>252</v>
      </c>
      <c r="C1240" s="1" t="s">
        <v>143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10</v>
      </c>
      <c r="B1241" s="1" t="s">
        <v>252</v>
      </c>
      <c r="C1241" s="1" t="s">
        <v>3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10</v>
      </c>
      <c r="B1242" s="1" t="s">
        <v>253</v>
      </c>
      <c r="C1242" s="1" t="s">
        <v>143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10</v>
      </c>
      <c r="B1243" s="1" t="s">
        <v>253</v>
      </c>
      <c r="C1243" s="1" t="s">
        <v>3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10</v>
      </c>
      <c r="B1244" s="1" t="s">
        <v>254</v>
      </c>
      <c r="C1244" s="1" t="s">
        <v>143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10</v>
      </c>
      <c r="B1245" s="1" t="s">
        <v>254</v>
      </c>
      <c r="C1245" s="1" t="s">
        <v>3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10</v>
      </c>
      <c r="B1246" s="1" t="s">
        <v>255</v>
      </c>
      <c r="C1246" s="1" t="s">
        <v>143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10</v>
      </c>
      <c r="B1247" s="1" t="s">
        <v>255</v>
      </c>
      <c r="C1247" s="1" t="s">
        <v>3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10</v>
      </c>
      <c r="B1248" s="1" t="s">
        <v>256</v>
      </c>
      <c r="C1248" s="1" t="s">
        <v>143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10</v>
      </c>
      <c r="B1249" s="1" t="s">
        <v>256</v>
      </c>
      <c r="C1249" s="1" t="s">
        <v>3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10</v>
      </c>
      <c r="B1250" s="1" t="s">
        <v>257</v>
      </c>
      <c r="C1250" s="1" t="s">
        <v>143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10</v>
      </c>
      <c r="B1251" s="1" t="s">
        <v>257</v>
      </c>
      <c r="C1251" s="1" t="s">
        <v>3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</sheetData>
  <autoFilter ref="A1:I1251" xr:uid="{87FAFD85-465A-498F-A875-156B9056DE6A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 filterMode="1"/>
  <dimension ref="A1:I1251"/>
  <sheetViews>
    <sheetView workbookViewId="0">
      <selection sqref="A1:XFD1048576"/>
    </sheetView>
  </sheetViews>
  <sheetFormatPr defaultRowHeight="16.5" x14ac:dyDescent="0.25"/>
  <cols>
    <col min="1" max="16384" width="9" style="1"/>
  </cols>
  <sheetData>
    <row r="1" spans="1:9" x14ac:dyDescent="0.25">
      <c r="A1" s="1" t="s">
        <v>0</v>
      </c>
      <c r="B1" s="1" t="s">
        <v>100</v>
      </c>
      <c r="C1" s="1" t="s">
        <v>101</v>
      </c>
      <c r="D1" s="1" t="s">
        <v>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</row>
    <row r="2" spans="1:9" hidden="1" x14ac:dyDescent="0.25">
      <c r="A2" s="1" t="s">
        <v>125</v>
      </c>
      <c r="B2" s="1" t="s">
        <v>2</v>
      </c>
      <c r="C2" s="1" t="s">
        <v>143</v>
      </c>
      <c r="D2" s="1">
        <v>222.78</v>
      </c>
      <c r="E2" s="1">
        <v>0</v>
      </c>
      <c r="F2" s="1">
        <v>0</v>
      </c>
      <c r="G2" s="1">
        <v>0</v>
      </c>
      <c r="H2" s="1">
        <v>1336.6759999999999</v>
      </c>
      <c r="I2" s="1">
        <v>-1336.6759999999999</v>
      </c>
    </row>
    <row r="3" spans="1:9" hidden="1" x14ac:dyDescent="0.25">
      <c r="A3" s="1" t="s">
        <v>125</v>
      </c>
      <c r="B3" s="1" t="s">
        <v>2</v>
      </c>
      <c r="C3" s="1" t="s">
        <v>3</v>
      </c>
      <c r="D3" s="1">
        <v>246.13</v>
      </c>
      <c r="E3" s="1">
        <v>0</v>
      </c>
      <c r="F3" s="1">
        <v>0</v>
      </c>
      <c r="G3" s="1">
        <v>0</v>
      </c>
      <c r="H3" s="1">
        <v>1476.796</v>
      </c>
      <c r="I3" s="1">
        <v>-1476.796</v>
      </c>
    </row>
    <row r="4" spans="1:9" hidden="1" x14ac:dyDescent="0.25">
      <c r="A4" s="1" t="s">
        <v>125</v>
      </c>
      <c r="B4" s="1" t="s">
        <v>144</v>
      </c>
      <c r="C4" s="1" t="s">
        <v>143</v>
      </c>
      <c r="D4" s="1">
        <v>43.2</v>
      </c>
      <c r="E4" s="1">
        <v>0</v>
      </c>
      <c r="F4" s="1">
        <v>0</v>
      </c>
      <c r="G4" s="1">
        <v>0</v>
      </c>
      <c r="H4" s="1">
        <v>259.2</v>
      </c>
      <c r="I4" s="1">
        <v>-259.2</v>
      </c>
    </row>
    <row r="5" spans="1:9" x14ac:dyDescent="0.25">
      <c r="A5" s="1" t="s">
        <v>125</v>
      </c>
      <c r="B5" s="1" t="s">
        <v>144</v>
      </c>
      <c r="C5" s="1" t="s">
        <v>3</v>
      </c>
      <c r="D5" s="1">
        <v>43.2</v>
      </c>
      <c r="E5" s="1">
        <v>0</v>
      </c>
      <c r="F5" s="1">
        <v>0</v>
      </c>
      <c r="G5" s="1">
        <v>0</v>
      </c>
      <c r="H5" s="1">
        <v>259.2</v>
      </c>
      <c r="I5" s="1">
        <v>-259.2</v>
      </c>
    </row>
    <row r="6" spans="1:9" hidden="1" x14ac:dyDescent="0.25">
      <c r="A6" s="1" t="s">
        <v>125</v>
      </c>
      <c r="B6" s="1" t="s">
        <v>12</v>
      </c>
      <c r="C6" s="1" t="s">
        <v>143</v>
      </c>
      <c r="D6" s="1">
        <v>0</v>
      </c>
      <c r="E6" s="1">
        <v>-99.4</v>
      </c>
      <c r="F6" s="1">
        <v>0</v>
      </c>
      <c r="G6" s="1">
        <v>656.06299999999999</v>
      </c>
      <c r="H6" s="1">
        <v>0</v>
      </c>
      <c r="I6" s="1">
        <v>0</v>
      </c>
    </row>
    <row r="7" spans="1:9" hidden="1" x14ac:dyDescent="0.25">
      <c r="A7" s="1" t="s">
        <v>125</v>
      </c>
      <c r="B7" s="1" t="s">
        <v>12</v>
      </c>
      <c r="C7" s="1" t="s">
        <v>3</v>
      </c>
      <c r="D7" s="1">
        <v>0</v>
      </c>
      <c r="E7" s="1">
        <v>-99.4</v>
      </c>
      <c r="F7" s="1">
        <v>0</v>
      </c>
      <c r="G7" s="1">
        <v>656.06299999999999</v>
      </c>
      <c r="H7" s="1">
        <v>0</v>
      </c>
      <c r="I7" s="1">
        <v>-299.06700000000001</v>
      </c>
    </row>
    <row r="8" spans="1:9" hidden="1" x14ac:dyDescent="0.25">
      <c r="A8" s="1" t="s">
        <v>125</v>
      </c>
      <c r="B8" s="1" t="s">
        <v>13</v>
      </c>
      <c r="C8" s="1" t="s">
        <v>143</v>
      </c>
      <c r="D8" s="1">
        <v>0</v>
      </c>
      <c r="E8" s="1">
        <v>-99.4</v>
      </c>
      <c r="F8" s="1">
        <v>0</v>
      </c>
      <c r="G8" s="1">
        <v>536.779</v>
      </c>
      <c r="H8" s="1">
        <v>0</v>
      </c>
      <c r="I8" s="1">
        <v>0</v>
      </c>
    </row>
    <row r="9" spans="1:9" hidden="1" x14ac:dyDescent="0.25">
      <c r="A9" s="1" t="s">
        <v>125</v>
      </c>
      <c r="B9" s="1" t="s">
        <v>13</v>
      </c>
      <c r="C9" s="1" t="s">
        <v>3</v>
      </c>
      <c r="D9" s="1">
        <v>0</v>
      </c>
      <c r="E9" s="1">
        <v>-99.4</v>
      </c>
      <c r="F9" s="1">
        <v>0</v>
      </c>
      <c r="G9" s="1">
        <v>536.779</v>
      </c>
      <c r="H9" s="1">
        <v>0</v>
      </c>
      <c r="I9" s="1">
        <v>-299.06700000000001</v>
      </c>
    </row>
    <row r="10" spans="1:9" hidden="1" x14ac:dyDescent="0.25">
      <c r="A10" s="1" t="s">
        <v>125</v>
      </c>
      <c r="B10" s="1" t="s">
        <v>14</v>
      </c>
      <c r="C10" s="1" t="s">
        <v>143</v>
      </c>
      <c r="D10" s="1">
        <v>0</v>
      </c>
      <c r="E10" s="1">
        <v>0</v>
      </c>
      <c r="F10" s="1">
        <v>-99.4</v>
      </c>
      <c r="G10" s="1">
        <v>-656.06299999999999</v>
      </c>
      <c r="H10" s="1">
        <v>0</v>
      </c>
      <c r="I10" s="1">
        <v>0</v>
      </c>
    </row>
    <row r="11" spans="1:9" hidden="1" x14ac:dyDescent="0.25">
      <c r="A11" s="1" t="s">
        <v>125</v>
      </c>
      <c r="B11" s="1" t="s">
        <v>14</v>
      </c>
      <c r="C11" s="1" t="s">
        <v>3</v>
      </c>
      <c r="D11" s="1">
        <v>0</v>
      </c>
      <c r="E11" s="1">
        <v>0</v>
      </c>
      <c r="F11" s="1">
        <v>-99.4</v>
      </c>
      <c r="G11" s="1">
        <v>-656.06299999999999</v>
      </c>
      <c r="H11" s="1">
        <v>299.06700000000001</v>
      </c>
      <c r="I11" s="1">
        <v>0</v>
      </c>
    </row>
    <row r="12" spans="1:9" hidden="1" x14ac:dyDescent="0.25">
      <c r="A12" s="1" t="s">
        <v>125</v>
      </c>
      <c r="B12" s="1" t="s">
        <v>15</v>
      </c>
      <c r="C12" s="1" t="s">
        <v>143</v>
      </c>
      <c r="D12" s="1">
        <v>0</v>
      </c>
      <c r="E12" s="1">
        <v>0</v>
      </c>
      <c r="F12" s="1">
        <v>-99.4</v>
      </c>
      <c r="G12" s="1">
        <v>-536.779</v>
      </c>
      <c r="H12" s="1">
        <v>0</v>
      </c>
      <c r="I12" s="1">
        <v>0</v>
      </c>
    </row>
    <row r="13" spans="1:9" hidden="1" x14ac:dyDescent="0.25">
      <c r="A13" s="1" t="s">
        <v>125</v>
      </c>
      <c r="B13" s="1" t="s">
        <v>15</v>
      </c>
      <c r="C13" s="1" t="s">
        <v>3</v>
      </c>
      <c r="D13" s="1">
        <v>0</v>
      </c>
      <c r="E13" s="1">
        <v>0</v>
      </c>
      <c r="F13" s="1">
        <v>-99.4</v>
      </c>
      <c r="G13" s="1">
        <v>-536.779</v>
      </c>
      <c r="H13" s="1">
        <v>299.06700000000001</v>
      </c>
      <c r="I13" s="1">
        <v>0</v>
      </c>
    </row>
    <row r="14" spans="1:9" hidden="1" x14ac:dyDescent="0.25">
      <c r="A14" s="1" t="s">
        <v>125</v>
      </c>
      <c r="B14" s="1" t="s">
        <v>145</v>
      </c>
      <c r="C14" s="1" t="s">
        <v>143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125</v>
      </c>
      <c r="B15" s="1" t="s">
        <v>145</v>
      </c>
      <c r="C15" s="1" t="s">
        <v>3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125</v>
      </c>
      <c r="B16" s="1" t="s">
        <v>146</v>
      </c>
      <c r="C16" s="1" t="s">
        <v>143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125</v>
      </c>
      <c r="B17" s="1" t="s">
        <v>146</v>
      </c>
      <c r="C17" s="1" t="s">
        <v>3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125</v>
      </c>
      <c r="B18" s="1" t="s">
        <v>147</v>
      </c>
      <c r="C18" s="1" t="s">
        <v>143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125</v>
      </c>
      <c r="B19" s="1" t="s">
        <v>147</v>
      </c>
      <c r="C19" s="1" t="s">
        <v>3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125</v>
      </c>
      <c r="B20" s="1" t="s">
        <v>148</v>
      </c>
      <c r="C20" s="1" t="s">
        <v>143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125</v>
      </c>
      <c r="B21" s="1" t="s">
        <v>148</v>
      </c>
      <c r="C21" s="1" t="s">
        <v>3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125</v>
      </c>
      <c r="B22" s="1" t="s">
        <v>149</v>
      </c>
      <c r="C22" s="1" t="s">
        <v>143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125</v>
      </c>
      <c r="B23" s="1" t="s">
        <v>149</v>
      </c>
      <c r="C23" s="1" t="s">
        <v>3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125</v>
      </c>
      <c r="B24" s="1" t="s">
        <v>150</v>
      </c>
      <c r="C24" s="1" t="s">
        <v>143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125</v>
      </c>
      <c r="B25" s="1" t="s">
        <v>150</v>
      </c>
      <c r="C25" s="1" t="s">
        <v>3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125</v>
      </c>
      <c r="B26" s="1" t="s">
        <v>16</v>
      </c>
      <c r="C26" s="1" t="s">
        <v>143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125</v>
      </c>
      <c r="B27" s="1" t="s">
        <v>16</v>
      </c>
      <c r="C27" s="1" t="s">
        <v>3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125</v>
      </c>
      <c r="B28" s="1" t="s">
        <v>151</v>
      </c>
      <c r="C28" s="1" t="s">
        <v>143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125</v>
      </c>
      <c r="B29" s="1" t="s">
        <v>151</v>
      </c>
      <c r="C29" s="1" t="s">
        <v>3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125</v>
      </c>
      <c r="B30" s="1" t="s">
        <v>152</v>
      </c>
      <c r="C30" s="1" t="s">
        <v>143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125</v>
      </c>
      <c r="B31" s="1" t="s">
        <v>152</v>
      </c>
      <c r="C31" s="1" t="s">
        <v>3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-7.1999999999999995E-2</v>
      </c>
    </row>
    <row r="32" spans="1:9" hidden="1" x14ac:dyDescent="0.25">
      <c r="A32" s="1" t="s">
        <v>125</v>
      </c>
      <c r="B32" s="1" t="s">
        <v>153</v>
      </c>
      <c r="C32" s="1" t="s">
        <v>143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125</v>
      </c>
      <c r="B33" s="1" t="s">
        <v>153</v>
      </c>
      <c r="C33" s="1" t="s">
        <v>3</v>
      </c>
      <c r="D33" s="1">
        <v>0</v>
      </c>
      <c r="E33" s="1">
        <v>0</v>
      </c>
      <c r="F33" s="1">
        <v>0</v>
      </c>
      <c r="G33" s="1">
        <v>0</v>
      </c>
      <c r="H33" s="1">
        <v>7.1999999999999995E-2</v>
      </c>
      <c r="I33" s="1">
        <v>0</v>
      </c>
    </row>
    <row r="34" spans="1:9" hidden="1" x14ac:dyDescent="0.25">
      <c r="A34" s="1" t="s">
        <v>125</v>
      </c>
      <c r="B34" s="1" t="s">
        <v>154</v>
      </c>
      <c r="C34" s="1" t="s">
        <v>143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</row>
    <row r="35" spans="1:9" hidden="1" x14ac:dyDescent="0.25">
      <c r="A35" s="1" t="s">
        <v>125</v>
      </c>
      <c r="B35" s="1" t="s">
        <v>154</v>
      </c>
      <c r="C35" s="1" t="s">
        <v>3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</row>
    <row r="36" spans="1:9" hidden="1" x14ac:dyDescent="0.25">
      <c r="A36" s="1" t="s">
        <v>125</v>
      </c>
      <c r="B36" s="1" t="s">
        <v>155</v>
      </c>
      <c r="C36" s="1" t="s">
        <v>143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125</v>
      </c>
      <c r="B37" s="1" t="s">
        <v>155</v>
      </c>
      <c r="C37" s="1" t="s">
        <v>3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</row>
    <row r="38" spans="1:9" hidden="1" x14ac:dyDescent="0.25">
      <c r="A38" s="1" t="s">
        <v>125</v>
      </c>
      <c r="B38" s="1" t="s">
        <v>156</v>
      </c>
      <c r="C38" s="1" t="s">
        <v>143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125</v>
      </c>
      <c r="B39" s="1" t="s">
        <v>156</v>
      </c>
      <c r="C39" s="1" t="s">
        <v>3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125</v>
      </c>
      <c r="B40" s="1" t="s">
        <v>4</v>
      </c>
      <c r="C40" s="1" t="s">
        <v>143</v>
      </c>
      <c r="D40" s="1">
        <v>0</v>
      </c>
      <c r="E40" s="1">
        <v>75.78</v>
      </c>
      <c r="F40" s="1">
        <v>0</v>
      </c>
      <c r="G40" s="1">
        <v>500.13099999999997</v>
      </c>
      <c r="H40" s="1">
        <v>0</v>
      </c>
      <c r="I40" s="1">
        <v>0</v>
      </c>
    </row>
    <row r="41" spans="1:9" hidden="1" x14ac:dyDescent="0.25">
      <c r="A41" s="1" t="s">
        <v>125</v>
      </c>
      <c r="B41" s="1" t="s">
        <v>4</v>
      </c>
      <c r="C41" s="1" t="s">
        <v>3</v>
      </c>
      <c r="D41" s="1">
        <v>0</v>
      </c>
      <c r="E41" s="1">
        <v>75.78</v>
      </c>
      <c r="F41" s="1">
        <v>0</v>
      </c>
      <c r="G41" s="1">
        <v>500.13099999999997</v>
      </c>
      <c r="H41" s="1">
        <v>0</v>
      </c>
      <c r="I41" s="1">
        <v>228.00800000000001</v>
      </c>
    </row>
    <row r="42" spans="1:9" hidden="1" x14ac:dyDescent="0.25">
      <c r="A42" s="1" t="s">
        <v>125</v>
      </c>
      <c r="B42" s="1" t="s">
        <v>5</v>
      </c>
      <c r="C42" s="1" t="s">
        <v>143</v>
      </c>
      <c r="D42" s="1">
        <v>0</v>
      </c>
      <c r="E42" s="1">
        <v>0</v>
      </c>
      <c r="F42" s="1">
        <v>75.78</v>
      </c>
      <c r="G42" s="1">
        <v>500.13099999999997</v>
      </c>
      <c r="H42" s="1">
        <v>0</v>
      </c>
      <c r="I42" s="1">
        <v>0</v>
      </c>
    </row>
    <row r="43" spans="1:9" hidden="1" x14ac:dyDescent="0.25">
      <c r="A43" s="1" t="s">
        <v>125</v>
      </c>
      <c r="B43" s="1" t="s">
        <v>5</v>
      </c>
      <c r="C43" s="1" t="s">
        <v>3</v>
      </c>
      <c r="D43" s="1">
        <v>0</v>
      </c>
      <c r="E43" s="1">
        <v>0</v>
      </c>
      <c r="F43" s="1">
        <v>75.78</v>
      </c>
      <c r="G43" s="1">
        <v>500.13099999999997</v>
      </c>
      <c r="H43" s="1">
        <v>228.00800000000001</v>
      </c>
      <c r="I43" s="1">
        <v>0</v>
      </c>
    </row>
    <row r="44" spans="1:9" hidden="1" x14ac:dyDescent="0.25">
      <c r="A44" s="1" t="s">
        <v>125</v>
      </c>
      <c r="B44" s="1" t="s">
        <v>6</v>
      </c>
      <c r="C44" s="1" t="s">
        <v>143</v>
      </c>
      <c r="D44" s="1">
        <v>33.42</v>
      </c>
      <c r="E44" s="1">
        <v>0</v>
      </c>
      <c r="F44" s="1">
        <v>0</v>
      </c>
      <c r="G44" s="1">
        <v>0</v>
      </c>
      <c r="H44" s="1">
        <v>200.501</v>
      </c>
      <c r="I44" s="1">
        <v>-200.501</v>
      </c>
    </row>
    <row r="45" spans="1:9" hidden="1" x14ac:dyDescent="0.25">
      <c r="A45" s="1" t="s">
        <v>125</v>
      </c>
      <c r="B45" s="1" t="s">
        <v>6</v>
      </c>
      <c r="C45" s="1" t="s">
        <v>3</v>
      </c>
      <c r="D45" s="1">
        <v>36.92</v>
      </c>
      <c r="E45" s="1">
        <v>0</v>
      </c>
      <c r="F45" s="1">
        <v>0</v>
      </c>
      <c r="G45" s="1">
        <v>0</v>
      </c>
      <c r="H45" s="1">
        <v>221.51900000000001</v>
      </c>
      <c r="I45" s="1">
        <v>-221.51900000000001</v>
      </c>
    </row>
    <row r="46" spans="1:9" hidden="1" x14ac:dyDescent="0.25">
      <c r="A46" s="1" t="s">
        <v>125</v>
      </c>
      <c r="B46" s="1" t="s">
        <v>7</v>
      </c>
      <c r="C46" s="1" t="s">
        <v>143</v>
      </c>
      <c r="D46" s="1">
        <v>0</v>
      </c>
      <c r="E46" s="1">
        <v>90.93</v>
      </c>
      <c r="F46" s="1">
        <v>0</v>
      </c>
      <c r="G46" s="1">
        <v>600.15700000000004</v>
      </c>
      <c r="H46" s="1">
        <v>0</v>
      </c>
      <c r="I46" s="1">
        <v>0</v>
      </c>
    </row>
    <row r="47" spans="1:9" hidden="1" x14ac:dyDescent="0.25">
      <c r="A47" s="1" t="s">
        <v>125</v>
      </c>
      <c r="B47" s="1" t="s">
        <v>7</v>
      </c>
      <c r="C47" s="1" t="s">
        <v>3</v>
      </c>
      <c r="D47" s="1">
        <v>0</v>
      </c>
      <c r="E47" s="1">
        <v>90.93</v>
      </c>
      <c r="F47" s="1">
        <v>0</v>
      </c>
      <c r="G47" s="1">
        <v>600.15700000000004</v>
      </c>
      <c r="H47" s="1">
        <v>0</v>
      </c>
      <c r="I47" s="1">
        <v>273.61</v>
      </c>
    </row>
    <row r="48" spans="1:9" hidden="1" x14ac:dyDescent="0.25">
      <c r="A48" s="1" t="s">
        <v>125</v>
      </c>
      <c r="B48" s="1" t="s">
        <v>157</v>
      </c>
      <c r="C48" s="1" t="s">
        <v>143</v>
      </c>
      <c r="D48" s="1">
        <v>0</v>
      </c>
      <c r="E48" s="1">
        <v>-90.93</v>
      </c>
      <c r="F48" s="1">
        <v>0</v>
      </c>
      <c r="G48" s="1">
        <v>-600.15700000000004</v>
      </c>
      <c r="H48" s="1">
        <v>0</v>
      </c>
      <c r="I48" s="1">
        <v>0</v>
      </c>
    </row>
    <row r="49" spans="1:9" hidden="1" x14ac:dyDescent="0.25">
      <c r="A49" s="1" t="s">
        <v>125</v>
      </c>
      <c r="B49" s="1" t="s">
        <v>157</v>
      </c>
      <c r="C49" s="1" t="s">
        <v>3</v>
      </c>
      <c r="D49" s="1">
        <v>0</v>
      </c>
      <c r="E49" s="1">
        <v>-90.93</v>
      </c>
      <c r="F49" s="1">
        <v>0</v>
      </c>
      <c r="G49" s="1">
        <v>-600.15700000000004</v>
      </c>
      <c r="H49" s="1">
        <v>0</v>
      </c>
      <c r="I49" s="1">
        <v>-273.61</v>
      </c>
    </row>
    <row r="50" spans="1:9" hidden="1" x14ac:dyDescent="0.25">
      <c r="A50" s="1" t="s">
        <v>125</v>
      </c>
      <c r="B50" s="1" t="s">
        <v>8</v>
      </c>
      <c r="C50" s="1" t="s">
        <v>143</v>
      </c>
      <c r="D50" s="1">
        <v>0</v>
      </c>
      <c r="E50" s="1">
        <v>0</v>
      </c>
      <c r="F50" s="1">
        <v>83.36</v>
      </c>
      <c r="G50" s="1">
        <v>550.14400000000001</v>
      </c>
      <c r="H50" s="1">
        <v>0</v>
      </c>
      <c r="I50" s="1">
        <v>0</v>
      </c>
    </row>
    <row r="51" spans="1:9" hidden="1" x14ac:dyDescent="0.25">
      <c r="A51" s="1" t="s">
        <v>125</v>
      </c>
      <c r="B51" s="1" t="s">
        <v>8</v>
      </c>
      <c r="C51" s="1" t="s">
        <v>3</v>
      </c>
      <c r="D51" s="1">
        <v>0</v>
      </c>
      <c r="E51" s="1">
        <v>0</v>
      </c>
      <c r="F51" s="1">
        <v>83.36</v>
      </c>
      <c r="G51" s="1">
        <v>550.14400000000001</v>
      </c>
      <c r="H51" s="1">
        <v>250.809</v>
      </c>
      <c r="I51" s="1">
        <v>0</v>
      </c>
    </row>
    <row r="52" spans="1:9" hidden="1" x14ac:dyDescent="0.25">
      <c r="A52" s="1" t="s">
        <v>125</v>
      </c>
      <c r="B52" s="1" t="s">
        <v>158</v>
      </c>
      <c r="C52" s="1" t="s">
        <v>143</v>
      </c>
      <c r="D52" s="1">
        <v>0</v>
      </c>
      <c r="E52" s="1">
        <v>0</v>
      </c>
      <c r="F52" s="1">
        <v>-83.36</v>
      </c>
      <c r="G52" s="1">
        <v>-550.14400000000001</v>
      </c>
      <c r="H52" s="1">
        <v>0</v>
      </c>
      <c r="I52" s="1">
        <v>0</v>
      </c>
    </row>
    <row r="53" spans="1:9" hidden="1" x14ac:dyDescent="0.25">
      <c r="A53" s="1" t="s">
        <v>125</v>
      </c>
      <c r="B53" s="1" t="s">
        <v>158</v>
      </c>
      <c r="C53" s="1" t="s">
        <v>3</v>
      </c>
      <c r="D53" s="1">
        <v>0</v>
      </c>
      <c r="E53" s="1">
        <v>0</v>
      </c>
      <c r="F53" s="1">
        <v>-83.36</v>
      </c>
      <c r="G53" s="1">
        <v>-550.14400000000001</v>
      </c>
      <c r="H53" s="1">
        <v>-250.809</v>
      </c>
      <c r="I53" s="1">
        <v>0</v>
      </c>
    </row>
    <row r="54" spans="1:9" hidden="1" x14ac:dyDescent="0.25">
      <c r="A54" s="1" t="s">
        <v>125</v>
      </c>
      <c r="B54" s="1" t="s">
        <v>159</v>
      </c>
      <c r="C54" s="1" t="s">
        <v>143</v>
      </c>
      <c r="D54" s="1">
        <v>311.89</v>
      </c>
      <c r="E54" s="1">
        <v>0</v>
      </c>
      <c r="F54" s="1">
        <v>0</v>
      </c>
      <c r="G54" s="1">
        <v>0</v>
      </c>
      <c r="H54" s="1">
        <v>1871.347</v>
      </c>
      <c r="I54" s="1">
        <v>-1871.347</v>
      </c>
    </row>
    <row r="55" spans="1:9" hidden="1" x14ac:dyDescent="0.25">
      <c r="A55" s="1" t="s">
        <v>125</v>
      </c>
      <c r="B55" s="1" t="s">
        <v>159</v>
      </c>
      <c r="C55" s="1" t="s">
        <v>3</v>
      </c>
      <c r="D55" s="1">
        <v>344.59</v>
      </c>
      <c r="E55" s="1">
        <v>0</v>
      </c>
      <c r="F55" s="1">
        <v>0</v>
      </c>
      <c r="G55" s="1">
        <v>0</v>
      </c>
      <c r="H55" s="1">
        <v>2067.5140000000001</v>
      </c>
      <c r="I55" s="1">
        <v>-2067.5140000000001</v>
      </c>
    </row>
    <row r="56" spans="1:9" hidden="1" x14ac:dyDescent="0.25">
      <c r="A56" s="1" t="s">
        <v>125</v>
      </c>
      <c r="B56" s="1" t="s">
        <v>160</v>
      </c>
      <c r="C56" s="1" t="s">
        <v>143</v>
      </c>
      <c r="D56" s="1">
        <v>336.46</v>
      </c>
      <c r="E56" s="1">
        <v>0</v>
      </c>
      <c r="F56" s="1">
        <v>0</v>
      </c>
      <c r="G56" s="1">
        <v>0</v>
      </c>
      <c r="H56" s="1">
        <v>2018.732</v>
      </c>
      <c r="I56" s="1">
        <v>-2018.732</v>
      </c>
    </row>
    <row r="57" spans="1:9" hidden="1" x14ac:dyDescent="0.25">
      <c r="A57" s="1" t="s">
        <v>125</v>
      </c>
      <c r="B57" s="1" t="s">
        <v>160</v>
      </c>
      <c r="C57" s="1" t="s">
        <v>3</v>
      </c>
      <c r="D57" s="1">
        <v>364.48</v>
      </c>
      <c r="E57" s="1">
        <v>0</v>
      </c>
      <c r="F57" s="1">
        <v>0</v>
      </c>
      <c r="G57" s="1">
        <v>0</v>
      </c>
      <c r="H57" s="1">
        <v>2186.875</v>
      </c>
      <c r="I57" s="1">
        <v>-2186.875</v>
      </c>
    </row>
    <row r="58" spans="1:9" hidden="1" x14ac:dyDescent="0.25">
      <c r="A58" s="1" t="s">
        <v>125</v>
      </c>
      <c r="B58" s="1" t="s">
        <v>161</v>
      </c>
      <c r="C58" s="1" t="s">
        <v>143</v>
      </c>
      <c r="D58" s="1">
        <v>288.94</v>
      </c>
      <c r="E58" s="1">
        <v>0</v>
      </c>
      <c r="F58" s="1">
        <v>0</v>
      </c>
      <c r="G58" s="1">
        <v>0</v>
      </c>
      <c r="H58" s="1">
        <v>1733.6120000000001</v>
      </c>
      <c r="I58" s="1">
        <v>-1733.6120000000001</v>
      </c>
    </row>
    <row r="59" spans="1:9" hidden="1" x14ac:dyDescent="0.25">
      <c r="A59" s="1" t="s">
        <v>125</v>
      </c>
      <c r="B59" s="1" t="s">
        <v>161</v>
      </c>
      <c r="C59" s="1" t="s">
        <v>3</v>
      </c>
      <c r="D59" s="1">
        <v>316.95999999999998</v>
      </c>
      <c r="E59" s="1">
        <v>0</v>
      </c>
      <c r="F59" s="1">
        <v>0</v>
      </c>
      <c r="G59" s="1">
        <v>0</v>
      </c>
      <c r="H59" s="1">
        <v>1901.7550000000001</v>
      </c>
      <c r="I59" s="1">
        <v>-1901.7550000000001</v>
      </c>
    </row>
    <row r="60" spans="1:9" hidden="1" x14ac:dyDescent="0.25">
      <c r="A60" s="1" t="s">
        <v>125</v>
      </c>
      <c r="B60" s="1" t="s">
        <v>162</v>
      </c>
      <c r="C60" s="1" t="s">
        <v>143</v>
      </c>
      <c r="D60" s="1">
        <v>298.95999999999998</v>
      </c>
      <c r="E60" s="1">
        <v>-99.4</v>
      </c>
      <c r="F60" s="1">
        <v>0</v>
      </c>
      <c r="G60" s="1">
        <v>656.06299999999999</v>
      </c>
      <c r="H60" s="1">
        <v>1793.7619999999999</v>
      </c>
      <c r="I60" s="1">
        <v>-1793.7619999999999</v>
      </c>
    </row>
    <row r="61" spans="1:9" hidden="1" x14ac:dyDescent="0.25">
      <c r="A61" s="1" t="s">
        <v>125</v>
      </c>
      <c r="B61" s="1" t="s">
        <v>162</v>
      </c>
      <c r="C61" s="1" t="s">
        <v>3</v>
      </c>
      <c r="D61" s="1">
        <v>328.04</v>
      </c>
      <c r="E61" s="1">
        <v>-99.4</v>
      </c>
      <c r="F61" s="1">
        <v>0</v>
      </c>
      <c r="G61" s="1">
        <v>656.06299999999999</v>
      </c>
      <c r="H61" s="1">
        <v>1968.211</v>
      </c>
      <c r="I61" s="1">
        <v>-2267.277</v>
      </c>
    </row>
    <row r="62" spans="1:9" hidden="1" x14ac:dyDescent="0.25">
      <c r="A62" s="1" t="s">
        <v>125</v>
      </c>
      <c r="B62" s="1" t="s">
        <v>163</v>
      </c>
      <c r="C62" s="1" t="s">
        <v>143</v>
      </c>
      <c r="D62" s="1">
        <v>298.95999999999998</v>
      </c>
      <c r="E62" s="1">
        <v>-99.4</v>
      </c>
      <c r="F62" s="1">
        <v>0</v>
      </c>
      <c r="G62" s="1">
        <v>536.779</v>
      </c>
      <c r="H62" s="1">
        <v>1793.7619999999999</v>
      </c>
      <c r="I62" s="1">
        <v>-1793.7619999999999</v>
      </c>
    </row>
    <row r="63" spans="1:9" hidden="1" x14ac:dyDescent="0.25">
      <c r="A63" s="1" t="s">
        <v>125</v>
      </c>
      <c r="B63" s="1" t="s">
        <v>163</v>
      </c>
      <c r="C63" s="1" t="s">
        <v>3</v>
      </c>
      <c r="D63" s="1">
        <v>328.04</v>
      </c>
      <c r="E63" s="1">
        <v>-99.4</v>
      </c>
      <c r="F63" s="1">
        <v>0</v>
      </c>
      <c r="G63" s="1">
        <v>536.779</v>
      </c>
      <c r="H63" s="1">
        <v>1968.211</v>
      </c>
      <c r="I63" s="1">
        <v>-2267.277</v>
      </c>
    </row>
    <row r="64" spans="1:9" hidden="1" x14ac:dyDescent="0.25">
      <c r="A64" s="1" t="s">
        <v>125</v>
      </c>
      <c r="B64" s="1" t="s">
        <v>164</v>
      </c>
      <c r="C64" s="1" t="s">
        <v>143</v>
      </c>
      <c r="D64" s="1">
        <v>298.95999999999998</v>
      </c>
      <c r="E64" s="1">
        <v>99.4</v>
      </c>
      <c r="F64" s="1">
        <v>0</v>
      </c>
      <c r="G64" s="1">
        <v>-656.06299999999999</v>
      </c>
      <c r="H64" s="1">
        <v>1793.7619999999999</v>
      </c>
      <c r="I64" s="1">
        <v>-1793.7619999999999</v>
      </c>
    </row>
    <row r="65" spans="1:9" hidden="1" x14ac:dyDescent="0.25">
      <c r="A65" s="1" t="s">
        <v>125</v>
      </c>
      <c r="B65" s="1" t="s">
        <v>164</v>
      </c>
      <c r="C65" s="1" t="s">
        <v>3</v>
      </c>
      <c r="D65" s="1">
        <v>328.04</v>
      </c>
      <c r="E65" s="1">
        <v>99.4</v>
      </c>
      <c r="F65" s="1">
        <v>0</v>
      </c>
      <c r="G65" s="1">
        <v>-656.06299999999999</v>
      </c>
      <c r="H65" s="1">
        <v>1968.211</v>
      </c>
      <c r="I65" s="1">
        <v>-1669.144</v>
      </c>
    </row>
    <row r="66" spans="1:9" hidden="1" x14ac:dyDescent="0.25">
      <c r="A66" s="1" t="s">
        <v>125</v>
      </c>
      <c r="B66" s="1" t="s">
        <v>165</v>
      </c>
      <c r="C66" s="1" t="s">
        <v>143</v>
      </c>
      <c r="D66" s="1">
        <v>298.95999999999998</v>
      </c>
      <c r="E66" s="1">
        <v>99.4</v>
      </c>
      <c r="F66" s="1">
        <v>0</v>
      </c>
      <c r="G66" s="1">
        <v>-536.779</v>
      </c>
      <c r="H66" s="1">
        <v>1793.7619999999999</v>
      </c>
      <c r="I66" s="1">
        <v>-1793.7619999999999</v>
      </c>
    </row>
    <row r="67" spans="1:9" hidden="1" x14ac:dyDescent="0.25">
      <c r="A67" s="1" t="s">
        <v>125</v>
      </c>
      <c r="B67" s="1" t="s">
        <v>165</v>
      </c>
      <c r="C67" s="1" t="s">
        <v>3</v>
      </c>
      <c r="D67" s="1">
        <v>328.04</v>
      </c>
      <c r="E67" s="1">
        <v>99.4</v>
      </c>
      <c r="F67" s="1">
        <v>0</v>
      </c>
      <c r="G67" s="1">
        <v>-536.779</v>
      </c>
      <c r="H67" s="1">
        <v>1968.211</v>
      </c>
      <c r="I67" s="1">
        <v>-1669.144</v>
      </c>
    </row>
    <row r="68" spans="1:9" hidden="1" x14ac:dyDescent="0.25">
      <c r="A68" s="1" t="s">
        <v>125</v>
      </c>
      <c r="B68" s="1" t="s">
        <v>166</v>
      </c>
      <c r="C68" s="1" t="s">
        <v>143</v>
      </c>
      <c r="D68" s="1">
        <v>298.95999999999998</v>
      </c>
      <c r="E68" s="1">
        <v>0</v>
      </c>
      <c r="F68" s="1">
        <v>-99.4</v>
      </c>
      <c r="G68" s="1">
        <v>-656.06299999999999</v>
      </c>
      <c r="H68" s="1">
        <v>1793.7619999999999</v>
      </c>
      <c r="I68" s="1">
        <v>-1793.7619999999999</v>
      </c>
    </row>
    <row r="69" spans="1:9" hidden="1" x14ac:dyDescent="0.25">
      <c r="A69" s="1" t="s">
        <v>125</v>
      </c>
      <c r="B69" s="1" t="s">
        <v>166</v>
      </c>
      <c r="C69" s="1" t="s">
        <v>3</v>
      </c>
      <c r="D69" s="1">
        <v>328.04</v>
      </c>
      <c r="E69" s="1">
        <v>0</v>
      </c>
      <c r="F69" s="1">
        <v>-99.4</v>
      </c>
      <c r="G69" s="1">
        <v>-656.06299999999999</v>
      </c>
      <c r="H69" s="1">
        <v>2267.277</v>
      </c>
      <c r="I69" s="1">
        <v>-1968.211</v>
      </c>
    </row>
    <row r="70" spans="1:9" hidden="1" x14ac:dyDescent="0.25">
      <c r="A70" s="1" t="s">
        <v>125</v>
      </c>
      <c r="B70" s="1" t="s">
        <v>167</v>
      </c>
      <c r="C70" s="1" t="s">
        <v>143</v>
      </c>
      <c r="D70" s="1">
        <v>298.95999999999998</v>
      </c>
      <c r="E70" s="1">
        <v>0</v>
      </c>
      <c r="F70" s="1">
        <v>-99.4</v>
      </c>
      <c r="G70" s="1">
        <v>-536.779</v>
      </c>
      <c r="H70" s="1">
        <v>1793.7619999999999</v>
      </c>
      <c r="I70" s="1">
        <v>-1793.7619999999999</v>
      </c>
    </row>
    <row r="71" spans="1:9" hidden="1" x14ac:dyDescent="0.25">
      <c r="A71" s="1" t="s">
        <v>125</v>
      </c>
      <c r="B71" s="1" t="s">
        <v>167</v>
      </c>
      <c r="C71" s="1" t="s">
        <v>3</v>
      </c>
      <c r="D71" s="1">
        <v>328.04</v>
      </c>
      <c r="E71" s="1">
        <v>0</v>
      </c>
      <c r="F71" s="1">
        <v>-99.4</v>
      </c>
      <c r="G71" s="1">
        <v>-536.779</v>
      </c>
      <c r="H71" s="1">
        <v>2267.277</v>
      </c>
      <c r="I71" s="1">
        <v>-1968.211</v>
      </c>
    </row>
    <row r="72" spans="1:9" hidden="1" x14ac:dyDescent="0.25">
      <c r="A72" s="1" t="s">
        <v>125</v>
      </c>
      <c r="B72" s="1" t="s">
        <v>168</v>
      </c>
      <c r="C72" s="1" t="s">
        <v>143</v>
      </c>
      <c r="D72" s="1">
        <v>298.95999999999998</v>
      </c>
      <c r="E72" s="1">
        <v>0</v>
      </c>
      <c r="F72" s="1">
        <v>99.4</v>
      </c>
      <c r="G72" s="1">
        <v>656.06299999999999</v>
      </c>
      <c r="H72" s="1">
        <v>1793.7619999999999</v>
      </c>
      <c r="I72" s="1">
        <v>-1793.7619999999999</v>
      </c>
    </row>
    <row r="73" spans="1:9" hidden="1" x14ac:dyDescent="0.25">
      <c r="A73" s="1" t="s">
        <v>125</v>
      </c>
      <c r="B73" s="1" t="s">
        <v>168</v>
      </c>
      <c r="C73" s="1" t="s">
        <v>3</v>
      </c>
      <c r="D73" s="1">
        <v>328.04</v>
      </c>
      <c r="E73" s="1">
        <v>0</v>
      </c>
      <c r="F73" s="1">
        <v>99.4</v>
      </c>
      <c r="G73" s="1">
        <v>656.06299999999999</v>
      </c>
      <c r="H73" s="1">
        <v>1669.144</v>
      </c>
      <c r="I73" s="1">
        <v>-1968.211</v>
      </c>
    </row>
    <row r="74" spans="1:9" hidden="1" x14ac:dyDescent="0.25">
      <c r="A74" s="1" t="s">
        <v>125</v>
      </c>
      <c r="B74" s="1" t="s">
        <v>169</v>
      </c>
      <c r="C74" s="1" t="s">
        <v>143</v>
      </c>
      <c r="D74" s="1">
        <v>298.95999999999998</v>
      </c>
      <c r="E74" s="1">
        <v>0</v>
      </c>
      <c r="F74" s="1">
        <v>99.4</v>
      </c>
      <c r="G74" s="1">
        <v>536.779</v>
      </c>
      <c r="H74" s="1">
        <v>1793.7619999999999</v>
      </c>
      <c r="I74" s="1">
        <v>-1793.7619999999999</v>
      </c>
    </row>
    <row r="75" spans="1:9" hidden="1" x14ac:dyDescent="0.25">
      <c r="A75" s="1" t="s">
        <v>125</v>
      </c>
      <c r="B75" s="1" t="s">
        <v>169</v>
      </c>
      <c r="C75" s="1" t="s">
        <v>3</v>
      </c>
      <c r="D75" s="1">
        <v>328.04</v>
      </c>
      <c r="E75" s="1">
        <v>0</v>
      </c>
      <c r="F75" s="1">
        <v>99.4</v>
      </c>
      <c r="G75" s="1">
        <v>536.779</v>
      </c>
      <c r="H75" s="1">
        <v>1669.144</v>
      </c>
      <c r="I75" s="1">
        <v>-1968.211</v>
      </c>
    </row>
    <row r="76" spans="1:9" hidden="1" x14ac:dyDescent="0.25">
      <c r="A76" s="1" t="s">
        <v>125</v>
      </c>
      <c r="B76" s="1" t="s">
        <v>170</v>
      </c>
      <c r="C76" s="1" t="s">
        <v>143</v>
      </c>
      <c r="D76" s="1">
        <v>278.91000000000003</v>
      </c>
      <c r="E76" s="1">
        <v>-99.4</v>
      </c>
      <c r="F76" s="1">
        <v>0</v>
      </c>
      <c r="G76" s="1">
        <v>656.06299999999999</v>
      </c>
      <c r="H76" s="1">
        <v>1673.461</v>
      </c>
      <c r="I76" s="1">
        <v>-1673.461</v>
      </c>
    </row>
    <row r="77" spans="1:9" hidden="1" x14ac:dyDescent="0.25">
      <c r="A77" s="1" t="s">
        <v>125</v>
      </c>
      <c r="B77" s="1" t="s">
        <v>170</v>
      </c>
      <c r="C77" s="1" t="s">
        <v>3</v>
      </c>
      <c r="D77" s="1">
        <v>305.88</v>
      </c>
      <c r="E77" s="1">
        <v>-99.4</v>
      </c>
      <c r="F77" s="1">
        <v>0</v>
      </c>
      <c r="G77" s="1">
        <v>656.06299999999999</v>
      </c>
      <c r="H77" s="1">
        <v>1835.299</v>
      </c>
      <c r="I77" s="1">
        <v>-2134.366</v>
      </c>
    </row>
    <row r="78" spans="1:9" hidden="1" x14ac:dyDescent="0.25">
      <c r="A78" s="1" t="s">
        <v>125</v>
      </c>
      <c r="B78" s="1" t="s">
        <v>171</v>
      </c>
      <c r="C78" s="1" t="s">
        <v>143</v>
      </c>
      <c r="D78" s="1">
        <v>278.91000000000003</v>
      </c>
      <c r="E78" s="1">
        <v>-99.4</v>
      </c>
      <c r="F78" s="1">
        <v>0</v>
      </c>
      <c r="G78" s="1">
        <v>536.779</v>
      </c>
      <c r="H78" s="1">
        <v>1673.461</v>
      </c>
      <c r="I78" s="1">
        <v>-1673.461</v>
      </c>
    </row>
    <row r="79" spans="1:9" hidden="1" x14ac:dyDescent="0.25">
      <c r="A79" s="1" t="s">
        <v>125</v>
      </c>
      <c r="B79" s="1" t="s">
        <v>171</v>
      </c>
      <c r="C79" s="1" t="s">
        <v>3</v>
      </c>
      <c r="D79" s="1">
        <v>305.88</v>
      </c>
      <c r="E79" s="1">
        <v>-99.4</v>
      </c>
      <c r="F79" s="1">
        <v>0</v>
      </c>
      <c r="G79" s="1">
        <v>536.779</v>
      </c>
      <c r="H79" s="1">
        <v>1835.299</v>
      </c>
      <c r="I79" s="1">
        <v>-2134.366</v>
      </c>
    </row>
    <row r="80" spans="1:9" hidden="1" x14ac:dyDescent="0.25">
      <c r="A80" s="1" t="s">
        <v>125</v>
      </c>
      <c r="B80" s="1" t="s">
        <v>172</v>
      </c>
      <c r="C80" s="1" t="s">
        <v>143</v>
      </c>
      <c r="D80" s="1">
        <v>278.91000000000003</v>
      </c>
      <c r="E80" s="1">
        <v>99.4</v>
      </c>
      <c r="F80" s="1">
        <v>0</v>
      </c>
      <c r="G80" s="1">
        <v>-656.06299999999999</v>
      </c>
      <c r="H80" s="1">
        <v>1673.461</v>
      </c>
      <c r="I80" s="1">
        <v>-1673.461</v>
      </c>
    </row>
    <row r="81" spans="1:9" hidden="1" x14ac:dyDescent="0.25">
      <c r="A81" s="1" t="s">
        <v>125</v>
      </c>
      <c r="B81" s="1" t="s">
        <v>172</v>
      </c>
      <c r="C81" s="1" t="s">
        <v>3</v>
      </c>
      <c r="D81" s="1">
        <v>305.88</v>
      </c>
      <c r="E81" s="1">
        <v>99.4</v>
      </c>
      <c r="F81" s="1">
        <v>0</v>
      </c>
      <c r="G81" s="1">
        <v>-656.06299999999999</v>
      </c>
      <c r="H81" s="1">
        <v>1835.299</v>
      </c>
      <c r="I81" s="1">
        <v>-1536.2329999999999</v>
      </c>
    </row>
    <row r="82" spans="1:9" hidden="1" x14ac:dyDescent="0.25">
      <c r="A82" s="1" t="s">
        <v>125</v>
      </c>
      <c r="B82" s="1" t="s">
        <v>173</v>
      </c>
      <c r="C82" s="1" t="s">
        <v>143</v>
      </c>
      <c r="D82" s="1">
        <v>278.91000000000003</v>
      </c>
      <c r="E82" s="1">
        <v>99.4</v>
      </c>
      <c r="F82" s="1">
        <v>0</v>
      </c>
      <c r="G82" s="1">
        <v>-536.779</v>
      </c>
      <c r="H82" s="1">
        <v>1673.461</v>
      </c>
      <c r="I82" s="1">
        <v>-1673.461</v>
      </c>
    </row>
    <row r="83" spans="1:9" hidden="1" x14ac:dyDescent="0.25">
      <c r="A83" s="1" t="s">
        <v>125</v>
      </c>
      <c r="B83" s="1" t="s">
        <v>173</v>
      </c>
      <c r="C83" s="1" t="s">
        <v>3</v>
      </c>
      <c r="D83" s="1">
        <v>305.88</v>
      </c>
      <c r="E83" s="1">
        <v>99.4</v>
      </c>
      <c r="F83" s="1">
        <v>0</v>
      </c>
      <c r="G83" s="1">
        <v>-536.779</v>
      </c>
      <c r="H83" s="1">
        <v>1835.299</v>
      </c>
      <c r="I83" s="1">
        <v>-1536.2329999999999</v>
      </c>
    </row>
    <row r="84" spans="1:9" hidden="1" x14ac:dyDescent="0.25">
      <c r="A84" s="1" t="s">
        <v>125</v>
      </c>
      <c r="B84" s="1" t="s">
        <v>174</v>
      </c>
      <c r="C84" s="1" t="s">
        <v>143</v>
      </c>
      <c r="D84" s="1">
        <v>278.91000000000003</v>
      </c>
      <c r="E84" s="1">
        <v>0</v>
      </c>
      <c r="F84" s="1">
        <v>-99.4</v>
      </c>
      <c r="G84" s="1">
        <v>-656.06299999999999</v>
      </c>
      <c r="H84" s="1">
        <v>1673.461</v>
      </c>
      <c r="I84" s="1">
        <v>-1673.461</v>
      </c>
    </row>
    <row r="85" spans="1:9" hidden="1" x14ac:dyDescent="0.25">
      <c r="A85" s="1" t="s">
        <v>125</v>
      </c>
      <c r="B85" s="1" t="s">
        <v>174</v>
      </c>
      <c r="C85" s="1" t="s">
        <v>3</v>
      </c>
      <c r="D85" s="1">
        <v>305.88</v>
      </c>
      <c r="E85" s="1">
        <v>0</v>
      </c>
      <c r="F85" s="1">
        <v>-99.4</v>
      </c>
      <c r="G85" s="1">
        <v>-656.06299999999999</v>
      </c>
      <c r="H85" s="1">
        <v>2134.366</v>
      </c>
      <c r="I85" s="1">
        <v>-1835.299</v>
      </c>
    </row>
    <row r="86" spans="1:9" hidden="1" x14ac:dyDescent="0.25">
      <c r="A86" s="1" t="s">
        <v>125</v>
      </c>
      <c r="B86" s="1" t="s">
        <v>175</v>
      </c>
      <c r="C86" s="1" t="s">
        <v>143</v>
      </c>
      <c r="D86" s="1">
        <v>278.91000000000003</v>
      </c>
      <c r="E86" s="1">
        <v>0</v>
      </c>
      <c r="F86" s="1">
        <v>-99.4</v>
      </c>
      <c r="G86" s="1">
        <v>-536.779</v>
      </c>
      <c r="H86" s="1">
        <v>1673.461</v>
      </c>
      <c r="I86" s="1">
        <v>-1673.461</v>
      </c>
    </row>
    <row r="87" spans="1:9" hidden="1" x14ac:dyDescent="0.25">
      <c r="A87" s="1" t="s">
        <v>125</v>
      </c>
      <c r="B87" s="1" t="s">
        <v>175</v>
      </c>
      <c r="C87" s="1" t="s">
        <v>3</v>
      </c>
      <c r="D87" s="1">
        <v>305.88</v>
      </c>
      <c r="E87" s="1">
        <v>0</v>
      </c>
      <c r="F87" s="1">
        <v>-99.4</v>
      </c>
      <c r="G87" s="1">
        <v>-536.779</v>
      </c>
      <c r="H87" s="1">
        <v>2134.366</v>
      </c>
      <c r="I87" s="1">
        <v>-1835.299</v>
      </c>
    </row>
    <row r="88" spans="1:9" hidden="1" x14ac:dyDescent="0.25">
      <c r="A88" s="1" t="s">
        <v>125</v>
      </c>
      <c r="B88" s="1" t="s">
        <v>176</v>
      </c>
      <c r="C88" s="1" t="s">
        <v>143</v>
      </c>
      <c r="D88" s="1">
        <v>278.91000000000003</v>
      </c>
      <c r="E88" s="1">
        <v>0</v>
      </c>
      <c r="F88" s="1">
        <v>99.4</v>
      </c>
      <c r="G88" s="1">
        <v>656.06299999999999</v>
      </c>
      <c r="H88" s="1">
        <v>1673.461</v>
      </c>
      <c r="I88" s="1">
        <v>-1673.461</v>
      </c>
    </row>
    <row r="89" spans="1:9" hidden="1" x14ac:dyDescent="0.25">
      <c r="A89" s="1" t="s">
        <v>125</v>
      </c>
      <c r="B89" s="1" t="s">
        <v>176</v>
      </c>
      <c r="C89" s="1" t="s">
        <v>3</v>
      </c>
      <c r="D89" s="1">
        <v>305.88</v>
      </c>
      <c r="E89" s="1">
        <v>0</v>
      </c>
      <c r="F89" s="1">
        <v>99.4</v>
      </c>
      <c r="G89" s="1">
        <v>656.06299999999999</v>
      </c>
      <c r="H89" s="1">
        <v>1536.2329999999999</v>
      </c>
      <c r="I89" s="1">
        <v>-1835.299</v>
      </c>
    </row>
    <row r="90" spans="1:9" hidden="1" x14ac:dyDescent="0.25">
      <c r="A90" s="1" t="s">
        <v>125</v>
      </c>
      <c r="B90" s="1" t="s">
        <v>177</v>
      </c>
      <c r="C90" s="1" t="s">
        <v>143</v>
      </c>
      <c r="D90" s="1">
        <v>278.91000000000003</v>
      </c>
      <c r="E90" s="1">
        <v>0</v>
      </c>
      <c r="F90" s="1">
        <v>99.4</v>
      </c>
      <c r="G90" s="1">
        <v>536.779</v>
      </c>
      <c r="H90" s="1">
        <v>1673.461</v>
      </c>
      <c r="I90" s="1">
        <v>-1673.461</v>
      </c>
    </row>
    <row r="91" spans="1:9" hidden="1" x14ac:dyDescent="0.25">
      <c r="A91" s="1" t="s">
        <v>125</v>
      </c>
      <c r="B91" s="1" t="s">
        <v>177</v>
      </c>
      <c r="C91" s="1" t="s">
        <v>3</v>
      </c>
      <c r="D91" s="1">
        <v>305.88</v>
      </c>
      <c r="E91" s="1">
        <v>0</v>
      </c>
      <c r="F91" s="1">
        <v>99.4</v>
      </c>
      <c r="G91" s="1">
        <v>536.779</v>
      </c>
      <c r="H91" s="1">
        <v>1536.2329999999999</v>
      </c>
      <c r="I91" s="1">
        <v>-1835.299</v>
      </c>
    </row>
    <row r="92" spans="1:9" hidden="1" x14ac:dyDescent="0.25">
      <c r="A92" s="1" t="s">
        <v>125</v>
      </c>
      <c r="B92" s="1" t="s">
        <v>178</v>
      </c>
      <c r="C92" s="1" t="s">
        <v>143</v>
      </c>
      <c r="D92" s="1">
        <v>322.35000000000002</v>
      </c>
      <c r="E92" s="1">
        <v>-29.82</v>
      </c>
      <c r="F92" s="1">
        <v>0</v>
      </c>
      <c r="G92" s="1">
        <v>196.81899999999999</v>
      </c>
      <c r="H92" s="1">
        <v>1934.1130000000001</v>
      </c>
      <c r="I92" s="1">
        <v>-1934.1130000000001</v>
      </c>
    </row>
    <row r="93" spans="1:9" hidden="1" x14ac:dyDescent="0.25">
      <c r="A93" s="1" t="s">
        <v>125</v>
      </c>
      <c r="B93" s="1" t="s">
        <v>178</v>
      </c>
      <c r="C93" s="1" t="s">
        <v>3</v>
      </c>
      <c r="D93" s="1">
        <v>353.88</v>
      </c>
      <c r="E93" s="1">
        <v>-29.82</v>
      </c>
      <c r="F93" s="1">
        <v>0</v>
      </c>
      <c r="G93" s="1">
        <v>196.81899999999999</v>
      </c>
      <c r="H93" s="1">
        <v>2123.2739999999999</v>
      </c>
      <c r="I93" s="1">
        <v>-2212.9940000000001</v>
      </c>
    </row>
    <row r="94" spans="1:9" hidden="1" x14ac:dyDescent="0.25">
      <c r="A94" s="1" t="s">
        <v>125</v>
      </c>
      <c r="B94" s="1" t="s">
        <v>179</v>
      </c>
      <c r="C94" s="1" t="s">
        <v>143</v>
      </c>
      <c r="D94" s="1">
        <v>322.35000000000002</v>
      </c>
      <c r="E94" s="1">
        <v>-29.82</v>
      </c>
      <c r="F94" s="1">
        <v>0</v>
      </c>
      <c r="G94" s="1">
        <v>161.03399999999999</v>
      </c>
      <c r="H94" s="1">
        <v>1934.1130000000001</v>
      </c>
      <c r="I94" s="1">
        <v>-1934.1130000000001</v>
      </c>
    </row>
    <row r="95" spans="1:9" hidden="1" x14ac:dyDescent="0.25">
      <c r="A95" s="1" t="s">
        <v>125</v>
      </c>
      <c r="B95" s="1" t="s">
        <v>179</v>
      </c>
      <c r="C95" s="1" t="s">
        <v>3</v>
      </c>
      <c r="D95" s="1">
        <v>353.88</v>
      </c>
      <c r="E95" s="1">
        <v>-29.82</v>
      </c>
      <c r="F95" s="1">
        <v>0</v>
      </c>
      <c r="G95" s="1">
        <v>161.03399999999999</v>
      </c>
      <c r="H95" s="1">
        <v>2123.2739999999999</v>
      </c>
      <c r="I95" s="1">
        <v>-2212.9940000000001</v>
      </c>
    </row>
    <row r="96" spans="1:9" hidden="1" x14ac:dyDescent="0.25">
      <c r="A96" s="1" t="s">
        <v>125</v>
      </c>
      <c r="B96" s="1" t="s">
        <v>180</v>
      </c>
      <c r="C96" s="1" t="s">
        <v>143</v>
      </c>
      <c r="D96" s="1">
        <v>322.35000000000002</v>
      </c>
      <c r="E96" s="1">
        <v>29.82</v>
      </c>
      <c r="F96" s="1">
        <v>0</v>
      </c>
      <c r="G96" s="1">
        <v>-196.81899999999999</v>
      </c>
      <c r="H96" s="1">
        <v>1934.1130000000001</v>
      </c>
      <c r="I96" s="1">
        <v>-1934.1130000000001</v>
      </c>
    </row>
    <row r="97" spans="1:9" hidden="1" x14ac:dyDescent="0.25">
      <c r="A97" s="1" t="s">
        <v>125</v>
      </c>
      <c r="B97" s="1" t="s">
        <v>180</v>
      </c>
      <c r="C97" s="1" t="s">
        <v>3</v>
      </c>
      <c r="D97" s="1">
        <v>353.88</v>
      </c>
      <c r="E97" s="1">
        <v>29.82</v>
      </c>
      <c r="F97" s="1">
        <v>0</v>
      </c>
      <c r="G97" s="1">
        <v>-196.81899999999999</v>
      </c>
      <c r="H97" s="1">
        <v>2123.2739999999999</v>
      </c>
      <c r="I97" s="1">
        <v>-2033.5540000000001</v>
      </c>
    </row>
    <row r="98" spans="1:9" hidden="1" x14ac:dyDescent="0.25">
      <c r="A98" s="1" t="s">
        <v>125</v>
      </c>
      <c r="B98" s="1" t="s">
        <v>181</v>
      </c>
      <c r="C98" s="1" t="s">
        <v>143</v>
      </c>
      <c r="D98" s="1">
        <v>322.35000000000002</v>
      </c>
      <c r="E98" s="1">
        <v>29.82</v>
      </c>
      <c r="F98" s="1">
        <v>0</v>
      </c>
      <c r="G98" s="1">
        <v>-161.03399999999999</v>
      </c>
      <c r="H98" s="1">
        <v>1934.1130000000001</v>
      </c>
      <c r="I98" s="1">
        <v>-1934.1130000000001</v>
      </c>
    </row>
    <row r="99" spans="1:9" hidden="1" x14ac:dyDescent="0.25">
      <c r="A99" s="1" t="s">
        <v>125</v>
      </c>
      <c r="B99" s="1" t="s">
        <v>181</v>
      </c>
      <c r="C99" s="1" t="s">
        <v>3</v>
      </c>
      <c r="D99" s="1">
        <v>353.88</v>
      </c>
      <c r="E99" s="1">
        <v>29.82</v>
      </c>
      <c r="F99" s="1">
        <v>0</v>
      </c>
      <c r="G99" s="1">
        <v>-161.03399999999999</v>
      </c>
      <c r="H99" s="1">
        <v>2123.2739999999999</v>
      </c>
      <c r="I99" s="1">
        <v>-2033.5540000000001</v>
      </c>
    </row>
    <row r="100" spans="1:9" hidden="1" x14ac:dyDescent="0.25">
      <c r="A100" s="1" t="s">
        <v>125</v>
      </c>
      <c r="B100" s="1" t="s">
        <v>182</v>
      </c>
      <c r="C100" s="1" t="s">
        <v>143</v>
      </c>
      <c r="D100" s="1">
        <v>322.35000000000002</v>
      </c>
      <c r="E100" s="1">
        <v>0</v>
      </c>
      <c r="F100" s="1">
        <v>-29.82</v>
      </c>
      <c r="G100" s="1">
        <v>-196.81899999999999</v>
      </c>
      <c r="H100" s="1">
        <v>1934.1130000000001</v>
      </c>
      <c r="I100" s="1">
        <v>-1934.1130000000001</v>
      </c>
    </row>
    <row r="101" spans="1:9" hidden="1" x14ac:dyDescent="0.25">
      <c r="A101" s="1" t="s">
        <v>125</v>
      </c>
      <c r="B101" s="1" t="s">
        <v>182</v>
      </c>
      <c r="C101" s="1" t="s">
        <v>3</v>
      </c>
      <c r="D101" s="1">
        <v>353.88</v>
      </c>
      <c r="E101" s="1">
        <v>0</v>
      </c>
      <c r="F101" s="1">
        <v>-29.82</v>
      </c>
      <c r="G101" s="1">
        <v>-196.81899999999999</v>
      </c>
      <c r="H101" s="1">
        <v>2212.9940000000001</v>
      </c>
      <c r="I101" s="1">
        <v>-2123.2739999999999</v>
      </c>
    </row>
    <row r="102" spans="1:9" hidden="1" x14ac:dyDescent="0.25">
      <c r="A102" s="1" t="s">
        <v>125</v>
      </c>
      <c r="B102" s="1" t="s">
        <v>183</v>
      </c>
      <c r="C102" s="1" t="s">
        <v>143</v>
      </c>
      <c r="D102" s="1">
        <v>322.35000000000002</v>
      </c>
      <c r="E102" s="1">
        <v>0</v>
      </c>
      <c r="F102" s="1">
        <v>-29.82</v>
      </c>
      <c r="G102" s="1">
        <v>-161.03399999999999</v>
      </c>
      <c r="H102" s="1">
        <v>1934.1130000000001</v>
      </c>
      <c r="I102" s="1">
        <v>-1934.1130000000001</v>
      </c>
    </row>
    <row r="103" spans="1:9" hidden="1" x14ac:dyDescent="0.25">
      <c r="A103" s="1" t="s">
        <v>125</v>
      </c>
      <c r="B103" s="1" t="s">
        <v>183</v>
      </c>
      <c r="C103" s="1" t="s">
        <v>3</v>
      </c>
      <c r="D103" s="1">
        <v>353.88</v>
      </c>
      <c r="E103" s="1">
        <v>0</v>
      </c>
      <c r="F103" s="1">
        <v>-29.82</v>
      </c>
      <c r="G103" s="1">
        <v>-161.03399999999999</v>
      </c>
      <c r="H103" s="1">
        <v>2212.9940000000001</v>
      </c>
      <c r="I103" s="1">
        <v>-2123.2739999999999</v>
      </c>
    </row>
    <row r="104" spans="1:9" hidden="1" x14ac:dyDescent="0.25">
      <c r="A104" s="1" t="s">
        <v>125</v>
      </c>
      <c r="B104" s="1" t="s">
        <v>184</v>
      </c>
      <c r="C104" s="1" t="s">
        <v>143</v>
      </c>
      <c r="D104" s="1">
        <v>322.35000000000002</v>
      </c>
      <c r="E104" s="1">
        <v>0</v>
      </c>
      <c r="F104" s="1">
        <v>29.82</v>
      </c>
      <c r="G104" s="1">
        <v>196.81899999999999</v>
      </c>
      <c r="H104" s="1">
        <v>1934.1130000000001</v>
      </c>
      <c r="I104" s="1">
        <v>-1934.1130000000001</v>
      </c>
    </row>
    <row r="105" spans="1:9" hidden="1" x14ac:dyDescent="0.25">
      <c r="A105" s="1" t="s">
        <v>125</v>
      </c>
      <c r="B105" s="1" t="s">
        <v>184</v>
      </c>
      <c r="C105" s="1" t="s">
        <v>3</v>
      </c>
      <c r="D105" s="1">
        <v>353.88</v>
      </c>
      <c r="E105" s="1">
        <v>0</v>
      </c>
      <c r="F105" s="1">
        <v>29.82</v>
      </c>
      <c r="G105" s="1">
        <v>196.81899999999999</v>
      </c>
      <c r="H105" s="1">
        <v>2033.5540000000001</v>
      </c>
      <c r="I105" s="1">
        <v>-2123.2739999999999</v>
      </c>
    </row>
    <row r="106" spans="1:9" hidden="1" x14ac:dyDescent="0.25">
      <c r="A106" s="1" t="s">
        <v>125</v>
      </c>
      <c r="B106" s="1" t="s">
        <v>185</v>
      </c>
      <c r="C106" s="1" t="s">
        <v>143</v>
      </c>
      <c r="D106" s="1">
        <v>322.35000000000002</v>
      </c>
      <c r="E106" s="1">
        <v>0</v>
      </c>
      <c r="F106" s="1">
        <v>29.82</v>
      </c>
      <c r="G106" s="1">
        <v>161.03399999999999</v>
      </c>
      <c r="H106" s="1">
        <v>1934.1130000000001</v>
      </c>
      <c r="I106" s="1">
        <v>-1934.1130000000001</v>
      </c>
    </row>
    <row r="107" spans="1:9" hidden="1" x14ac:dyDescent="0.25">
      <c r="A107" s="1" t="s">
        <v>125</v>
      </c>
      <c r="B107" s="1" t="s">
        <v>185</v>
      </c>
      <c r="C107" s="1" t="s">
        <v>3</v>
      </c>
      <c r="D107" s="1">
        <v>353.88</v>
      </c>
      <c r="E107" s="1">
        <v>0</v>
      </c>
      <c r="F107" s="1">
        <v>29.82</v>
      </c>
      <c r="G107" s="1">
        <v>161.03399999999999</v>
      </c>
      <c r="H107" s="1">
        <v>2033.5540000000001</v>
      </c>
      <c r="I107" s="1">
        <v>-2123.2739999999999</v>
      </c>
    </row>
    <row r="108" spans="1:9" hidden="1" x14ac:dyDescent="0.25">
      <c r="A108" s="1" t="s">
        <v>125</v>
      </c>
      <c r="B108" s="1" t="s">
        <v>186</v>
      </c>
      <c r="C108" s="1" t="s">
        <v>143</v>
      </c>
      <c r="D108" s="1">
        <v>255.52</v>
      </c>
      <c r="E108" s="1">
        <v>-29.82</v>
      </c>
      <c r="F108" s="1">
        <v>0</v>
      </c>
      <c r="G108" s="1">
        <v>196.81899999999999</v>
      </c>
      <c r="H108" s="1">
        <v>1533.11</v>
      </c>
      <c r="I108" s="1">
        <v>-1533.11</v>
      </c>
    </row>
    <row r="109" spans="1:9" hidden="1" x14ac:dyDescent="0.25">
      <c r="A109" s="1" t="s">
        <v>125</v>
      </c>
      <c r="B109" s="1" t="s">
        <v>186</v>
      </c>
      <c r="C109" s="1" t="s">
        <v>3</v>
      </c>
      <c r="D109" s="1">
        <v>280.04000000000002</v>
      </c>
      <c r="E109" s="1">
        <v>-29.82</v>
      </c>
      <c r="F109" s="1">
        <v>0</v>
      </c>
      <c r="G109" s="1">
        <v>196.81899999999999</v>
      </c>
      <c r="H109" s="1">
        <v>1680.2360000000001</v>
      </c>
      <c r="I109" s="1">
        <v>-1769.9559999999999</v>
      </c>
    </row>
    <row r="110" spans="1:9" hidden="1" x14ac:dyDescent="0.25">
      <c r="A110" s="1" t="s">
        <v>125</v>
      </c>
      <c r="B110" s="1" t="s">
        <v>187</v>
      </c>
      <c r="C110" s="1" t="s">
        <v>143</v>
      </c>
      <c r="D110" s="1">
        <v>255.52</v>
      </c>
      <c r="E110" s="1">
        <v>-29.82</v>
      </c>
      <c r="F110" s="1">
        <v>0</v>
      </c>
      <c r="G110" s="1">
        <v>161.03399999999999</v>
      </c>
      <c r="H110" s="1">
        <v>1533.11</v>
      </c>
      <c r="I110" s="1">
        <v>-1533.11</v>
      </c>
    </row>
    <row r="111" spans="1:9" hidden="1" x14ac:dyDescent="0.25">
      <c r="A111" s="1" t="s">
        <v>125</v>
      </c>
      <c r="B111" s="1" t="s">
        <v>187</v>
      </c>
      <c r="C111" s="1" t="s">
        <v>3</v>
      </c>
      <c r="D111" s="1">
        <v>280.04000000000002</v>
      </c>
      <c r="E111" s="1">
        <v>-29.82</v>
      </c>
      <c r="F111" s="1">
        <v>0</v>
      </c>
      <c r="G111" s="1">
        <v>161.03399999999999</v>
      </c>
      <c r="H111" s="1">
        <v>1680.2360000000001</v>
      </c>
      <c r="I111" s="1">
        <v>-1769.9559999999999</v>
      </c>
    </row>
    <row r="112" spans="1:9" hidden="1" x14ac:dyDescent="0.25">
      <c r="A112" s="1" t="s">
        <v>125</v>
      </c>
      <c r="B112" s="1" t="s">
        <v>188</v>
      </c>
      <c r="C112" s="1" t="s">
        <v>143</v>
      </c>
      <c r="D112" s="1">
        <v>255.52</v>
      </c>
      <c r="E112" s="1">
        <v>29.82</v>
      </c>
      <c r="F112" s="1">
        <v>0</v>
      </c>
      <c r="G112" s="1">
        <v>-196.81899999999999</v>
      </c>
      <c r="H112" s="1">
        <v>1533.11</v>
      </c>
      <c r="I112" s="1">
        <v>-1533.11</v>
      </c>
    </row>
    <row r="113" spans="1:9" hidden="1" x14ac:dyDescent="0.25">
      <c r="A113" s="1" t="s">
        <v>125</v>
      </c>
      <c r="B113" s="1" t="s">
        <v>188</v>
      </c>
      <c r="C113" s="1" t="s">
        <v>3</v>
      </c>
      <c r="D113" s="1">
        <v>280.04000000000002</v>
      </c>
      <c r="E113" s="1">
        <v>29.82</v>
      </c>
      <c r="F113" s="1">
        <v>0</v>
      </c>
      <c r="G113" s="1">
        <v>-196.81899999999999</v>
      </c>
      <c r="H113" s="1">
        <v>1680.2360000000001</v>
      </c>
      <c r="I113" s="1">
        <v>-1590.5160000000001</v>
      </c>
    </row>
    <row r="114" spans="1:9" hidden="1" x14ac:dyDescent="0.25">
      <c r="A114" s="1" t="s">
        <v>125</v>
      </c>
      <c r="B114" s="1" t="s">
        <v>189</v>
      </c>
      <c r="C114" s="1" t="s">
        <v>143</v>
      </c>
      <c r="D114" s="1">
        <v>255.52</v>
      </c>
      <c r="E114" s="1">
        <v>29.82</v>
      </c>
      <c r="F114" s="1">
        <v>0</v>
      </c>
      <c r="G114" s="1">
        <v>-161.03399999999999</v>
      </c>
      <c r="H114" s="1">
        <v>1533.11</v>
      </c>
      <c r="I114" s="1">
        <v>-1533.11</v>
      </c>
    </row>
    <row r="115" spans="1:9" hidden="1" x14ac:dyDescent="0.25">
      <c r="A115" s="1" t="s">
        <v>125</v>
      </c>
      <c r="B115" s="1" t="s">
        <v>189</v>
      </c>
      <c r="C115" s="1" t="s">
        <v>3</v>
      </c>
      <c r="D115" s="1">
        <v>280.04000000000002</v>
      </c>
      <c r="E115" s="1">
        <v>29.82</v>
      </c>
      <c r="F115" s="1">
        <v>0</v>
      </c>
      <c r="G115" s="1">
        <v>-161.03399999999999</v>
      </c>
      <c r="H115" s="1">
        <v>1680.2360000000001</v>
      </c>
      <c r="I115" s="1">
        <v>-1590.5160000000001</v>
      </c>
    </row>
    <row r="116" spans="1:9" hidden="1" x14ac:dyDescent="0.25">
      <c r="A116" s="1" t="s">
        <v>125</v>
      </c>
      <c r="B116" s="1" t="s">
        <v>190</v>
      </c>
      <c r="C116" s="1" t="s">
        <v>143</v>
      </c>
      <c r="D116" s="1">
        <v>255.52</v>
      </c>
      <c r="E116" s="1">
        <v>0</v>
      </c>
      <c r="F116" s="1">
        <v>-29.82</v>
      </c>
      <c r="G116" s="1">
        <v>-196.81899999999999</v>
      </c>
      <c r="H116" s="1">
        <v>1533.11</v>
      </c>
      <c r="I116" s="1">
        <v>-1533.11</v>
      </c>
    </row>
    <row r="117" spans="1:9" hidden="1" x14ac:dyDescent="0.25">
      <c r="A117" s="1" t="s">
        <v>125</v>
      </c>
      <c r="B117" s="1" t="s">
        <v>190</v>
      </c>
      <c r="C117" s="1" t="s">
        <v>3</v>
      </c>
      <c r="D117" s="1">
        <v>280.04000000000002</v>
      </c>
      <c r="E117" s="1">
        <v>0</v>
      </c>
      <c r="F117" s="1">
        <v>-29.82</v>
      </c>
      <c r="G117" s="1">
        <v>-196.81899999999999</v>
      </c>
      <c r="H117" s="1">
        <v>1769.9559999999999</v>
      </c>
      <c r="I117" s="1">
        <v>-1680.2360000000001</v>
      </c>
    </row>
    <row r="118" spans="1:9" hidden="1" x14ac:dyDescent="0.25">
      <c r="A118" s="1" t="s">
        <v>125</v>
      </c>
      <c r="B118" s="1" t="s">
        <v>191</v>
      </c>
      <c r="C118" s="1" t="s">
        <v>143</v>
      </c>
      <c r="D118" s="1">
        <v>255.52</v>
      </c>
      <c r="E118" s="1">
        <v>0</v>
      </c>
      <c r="F118" s="1">
        <v>-29.82</v>
      </c>
      <c r="G118" s="1">
        <v>-161.03399999999999</v>
      </c>
      <c r="H118" s="1">
        <v>1533.11</v>
      </c>
      <c r="I118" s="1">
        <v>-1533.11</v>
      </c>
    </row>
    <row r="119" spans="1:9" hidden="1" x14ac:dyDescent="0.25">
      <c r="A119" s="1" t="s">
        <v>125</v>
      </c>
      <c r="B119" s="1" t="s">
        <v>191</v>
      </c>
      <c r="C119" s="1" t="s">
        <v>3</v>
      </c>
      <c r="D119" s="1">
        <v>280.04000000000002</v>
      </c>
      <c r="E119" s="1">
        <v>0</v>
      </c>
      <c r="F119" s="1">
        <v>-29.82</v>
      </c>
      <c r="G119" s="1">
        <v>-161.03399999999999</v>
      </c>
      <c r="H119" s="1">
        <v>1769.9559999999999</v>
      </c>
      <c r="I119" s="1">
        <v>-1680.2360000000001</v>
      </c>
    </row>
    <row r="120" spans="1:9" hidden="1" x14ac:dyDescent="0.25">
      <c r="A120" s="1" t="s">
        <v>125</v>
      </c>
      <c r="B120" s="1" t="s">
        <v>192</v>
      </c>
      <c r="C120" s="1" t="s">
        <v>143</v>
      </c>
      <c r="D120" s="1">
        <v>255.52</v>
      </c>
      <c r="E120" s="1">
        <v>0</v>
      </c>
      <c r="F120" s="1">
        <v>29.82</v>
      </c>
      <c r="G120" s="1">
        <v>196.81899999999999</v>
      </c>
      <c r="H120" s="1">
        <v>1533.11</v>
      </c>
      <c r="I120" s="1">
        <v>-1533.11</v>
      </c>
    </row>
    <row r="121" spans="1:9" hidden="1" x14ac:dyDescent="0.25">
      <c r="A121" s="1" t="s">
        <v>125</v>
      </c>
      <c r="B121" s="1" t="s">
        <v>192</v>
      </c>
      <c r="C121" s="1" t="s">
        <v>3</v>
      </c>
      <c r="D121" s="1">
        <v>280.04000000000002</v>
      </c>
      <c r="E121" s="1">
        <v>0</v>
      </c>
      <c r="F121" s="1">
        <v>29.82</v>
      </c>
      <c r="G121" s="1">
        <v>196.81899999999999</v>
      </c>
      <c r="H121" s="1">
        <v>1590.5160000000001</v>
      </c>
      <c r="I121" s="1">
        <v>-1680.2360000000001</v>
      </c>
    </row>
    <row r="122" spans="1:9" hidden="1" x14ac:dyDescent="0.25">
      <c r="A122" s="1" t="s">
        <v>125</v>
      </c>
      <c r="B122" s="1" t="s">
        <v>193</v>
      </c>
      <c r="C122" s="1" t="s">
        <v>143</v>
      </c>
      <c r="D122" s="1">
        <v>255.52</v>
      </c>
      <c r="E122" s="1">
        <v>0</v>
      </c>
      <c r="F122" s="1">
        <v>29.82</v>
      </c>
      <c r="G122" s="1">
        <v>161.03399999999999</v>
      </c>
      <c r="H122" s="1">
        <v>1533.11</v>
      </c>
      <c r="I122" s="1">
        <v>-1533.11</v>
      </c>
    </row>
    <row r="123" spans="1:9" hidden="1" x14ac:dyDescent="0.25">
      <c r="A123" s="1" t="s">
        <v>125</v>
      </c>
      <c r="B123" s="1" t="s">
        <v>193</v>
      </c>
      <c r="C123" s="1" t="s">
        <v>3</v>
      </c>
      <c r="D123" s="1">
        <v>280.04000000000002</v>
      </c>
      <c r="E123" s="1">
        <v>0</v>
      </c>
      <c r="F123" s="1">
        <v>29.82</v>
      </c>
      <c r="G123" s="1">
        <v>161.03399999999999</v>
      </c>
      <c r="H123" s="1">
        <v>1590.5160000000001</v>
      </c>
      <c r="I123" s="1">
        <v>-1680.2360000000001</v>
      </c>
    </row>
    <row r="124" spans="1:9" hidden="1" x14ac:dyDescent="0.25">
      <c r="A124" s="1" t="s">
        <v>125</v>
      </c>
      <c r="B124" s="1" t="s">
        <v>194</v>
      </c>
      <c r="C124" s="1" t="s">
        <v>143</v>
      </c>
      <c r="D124" s="1">
        <v>210.53</v>
      </c>
      <c r="E124" s="1">
        <v>-99.4</v>
      </c>
      <c r="F124" s="1">
        <v>0</v>
      </c>
      <c r="G124" s="1">
        <v>656.06299999999999</v>
      </c>
      <c r="H124" s="1">
        <v>1263.1590000000001</v>
      </c>
      <c r="I124" s="1">
        <v>-1263.1590000000001</v>
      </c>
    </row>
    <row r="125" spans="1:9" hidden="1" x14ac:dyDescent="0.25">
      <c r="A125" s="1" t="s">
        <v>125</v>
      </c>
      <c r="B125" s="1" t="s">
        <v>194</v>
      </c>
      <c r="C125" s="1" t="s">
        <v>3</v>
      </c>
      <c r="D125" s="1">
        <v>232.6</v>
      </c>
      <c r="E125" s="1">
        <v>-99.4</v>
      </c>
      <c r="F125" s="1">
        <v>0</v>
      </c>
      <c r="G125" s="1">
        <v>656.06299999999999</v>
      </c>
      <c r="H125" s="1">
        <v>1395.5719999999999</v>
      </c>
      <c r="I125" s="1">
        <v>-1694.6389999999999</v>
      </c>
    </row>
    <row r="126" spans="1:9" hidden="1" x14ac:dyDescent="0.25">
      <c r="A126" s="1" t="s">
        <v>125</v>
      </c>
      <c r="B126" s="1" t="s">
        <v>195</v>
      </c>
      <c r="C126" s="1" t="s">
        <v>143</v>
      </c>
      <c r="D126" s="1">
        <v>210.53</v>
      </c>
      <c r="E126" s="1">
        <v>-99.4</v>
      </c>
      <c r="F126" s="1">
        <v>0</v>
      </c>
      <c r="G126" s="1">
        <v>536.779</v>
      </c>
      <c r="H126" s="1">
        <v>1263.1590000000001</v>
      </c>
      <c r="I126" s="1">
        <v>-1263.1590000000001</v>
      </c>
    </row>
    <row r="127" spans="1:9" hidden="1" x14ac:dyDescent="0.25">
      <c r="A127" s="1" t="s">
        <v>125</v>
      </c>
      <c r="B127" s="1" t="s">
        <v>195</v>
      </c>
      <c r="C127" s="1" t="s">
        <v>3</v>
      </c>
      <c r="D127" s="1">
        <v>232.6</v>
      </c>
      <c r="E127" s="1">
        <v>-99.4</v>
      </c>
      <c r="F127" s="1">
        <v>0</v>
      </c>
      <c r="G127" s="1">
        <v>536.779</v>
      </c>
      <c r="H127" s="1">
        <v>1395.5719999999999</v>
      </c>
      <c r="I127" s="1">
        <v>-1694.6389999999999</v>
      </c>
    </row>
    <row r="128" spans="1:9" hidden="1" x14ac:dyDescent="0.25">
      <c r="A128" s="1" t="s">
        <v>125</v>
      </c>
      <c r="B128" s="1" t="s">
        <v>196</v>
      </c>
      <c r="C128" s="1" t="s">
        <v>143</v>
      </c>
      <c r="D128" s="1">
        <v>210.53</v>
      </c>
      <c r="E128" s="1">
        <v>99.4</v>
      </c>
      <c r="F128" s="1">
        <v>0</v>
      </c>
      <c r="G128" s="1">
        <v>-656.06299999999999</v>
      </c>
      <c r="H128" s="1">
        <v>1263.1590000000001</v>
      </c>
      <c r="I128" s="1">
        <v>-1263.1590000000001</v>
      </c>
    </row>
    <row r="129" spans="1:9" hidden="1" x14ac:dyDescent="0.25">
      <c r="A129" s="1" t="s">
        <v>125</v>
      </c>
      <c r="B129" s="1" t="s">
        <v>196</v>
      </c>
      <c r="C129" s="1" t="s">
        <v>3</v>
      </c>
      <c r="D129" s="1">
        <v>232.6</v>
      </c>
      <c r="E129" s="1">
        <v>99.4</v>
      </c>
      <c r="F129" s="1">
        <v>0</v>
      </c>
      <c r="G129" s="1">
        <v>-656.06299999999999</v>
      </c>
      <c r="H129" s="1">
        <v>1395.5719999999999</v>
      </c>
      <c r="I129" s="1">
        <v>-1096.5060000000001</v>
      </c>
    </row>
    <row r="130" spans="1:9" hidden="1" x14ac:dyDescent="0.25">
      <c r="A130" s="1" t="s">
        <v>125</v>
      </c>
      <c r="B130" s="1" t="s">
        <v>197</v>
      </c>
      <c r="C130" s="1" t="s">
        <v>143</v>
      </c>
      <c r="D130" s="1">
        <v>210.53</v>
      </c>
      <c r="E130" s="1">
        <v>99.4</v>
      </c>
      <c r="F130" s="1">
        <v>0</v>
      </c>
      <c r="G130" s="1">
        <v>-536.779</v>
      </c>
      <c r="H130" s="1">
        <v>1263.1590000000001</v>
      </c>
      <c r="I130" s="1">
        <v>-1263.1590000000001</v>
      </c>
    </row>
    <row r="131" spans="1:9" hidden="1" x14ac:dyDescent="0.25">
      <c r="A131" s="1" t="s">
        <v>125</v>
      </c>
      <c r="B131" s="1" t="s">
        <v>197</v>
      </c>
      <c r="C131" s="1" t="s">
        <v>3</v>
      </c>
      <c r="D131" s="1">
        <v>232.6</v>
      </c>
      <c r="E131" s="1">
        <v>99.4</v>
      </c>
      <c r="F131" s="1">
        <v>0</v>
      </c>
      <c r="G131" s="1">
        <v>-536.779</v>
      </c>
      <c r="H131" s="1">
        <v>1395.5719999999999</v>
      </c>
      <c r="I131" s="1">
        <v>-1096.5060000000001</v>
      </c>
    </row>
    <row r="132" spans="1:9" hidden="1" x14ac:dyDescent="0.25">
      <c r="A132" s="1" t="s">
        <v>125</v>
      </c>
      <c r="B132" s="1" t="s">
        <v>198</v>
      </c>
      <c r="C132" s="1" t="s">
        <v>143</v>
      </c>
      <c r="D132" s="1">
        <v>210.53</v>
      </c>
      <c r="E132" s="1">
        <v>0</v>
      </c>
      <c r="F132" s="1">
        <v>-99.4</v>
      </c>
      <c r="G132" s="1">
        <v>-656.06299999999999</v>
      </c>
      <c r="H132" s="1">
        <v>1263.1590000000001</v>
      </c>
      <c r="I132" s="1">
        <v>-1263.1590000000001</v>
      </c>
    </row>
    <row r="133" spans="1:9" hidden="1" x14ac:dyDescent="0.25">
      <c r="A133" s="1" t="s">
        <v>125</v>
      </c>
      <c r="B133" s="1" t="s">
        <v>198</v>
      </c>
      <c r="C133" s="1" t="s">
        <v>3</v>
      </c>
      <c r="D133" s="1">
        <v>232.6</v>
      </c>
      <c r="E133" s="1">
        <v>0</v>
      </c>
      <c r="F133" s="1">
        <v>-99.4</v>
      </c>
      <c r="G133" s="1">
        <v>-656.06299999999999</v>
      </c>
      <c r="H133" s="1">
        <v>1694.6389999999999</v>
      </c>
      <c r="I133" s="1">
        <v>-1395.5719999999999</v>
      </c>
    </row>
    <row r="134" spans="1:9" hidden="1" x14ac:dyDescent="0.25">
      <c r="A134" s="1" t="s">
        <v>125</v>
      </c>
      <c r="B134" s="1" t="s">
        <v>199</v>
      </c>
      <c r="C134" s="1" t="s">
        <v>143</v>
      </c>
      <c r="D134" s="1">
        <v>210.53</v>
      </c>
      <c r="E134" s="1">
        <v>0</v>
      </c>
      <c r="F134" s="1">
        <v>-99.4</v>
      </c>
      <c r="G134" s="1">
        <v>-536.779</v>
      </c>
      <c r="H134" s="1">
        <v>1263.1590000000001</v>
      </c>
      <c r="I134" s="1">
        <v>-1263.1590000000001</v>
      </c>
    </row>
    <row r="135" spans="1:9" hidden="1" x14ac:dyDescent="0.25">
      <c r="A135" s="1" t="s">
        <v>125</v>
      </c>
      <c r="B135" s="1" t="s">
        <v>199</v>
      </c>
      <c r="C135" s="1" t="s">
        <v>3</v>
      </c>
      <c r="D135" s="1">
        <v>232.6</v>
      </c>
      <c r="E135" s="1">
        <v>0</v>
      </c>
      <c r="F135" s="1">
        <v>-99.4</v>
      </c>
      <c r="G135" s="1">
        <v>-536.779</v>
      </c>
      <c r="H135" s="1">
        <v>1694.6389999999999</v>
      </c>
      <c r="I135" s="1">
        <v>-1395.5719999999999</v>
      </c>
    </row>
    <row r="136" spans="1:9" hidden="1" x14ac:dyDescent="0.25">
      <c r="A136" s="1" t="s">
        <v>125</v>
      </c>
      <c r="B136" s="1" t="s">
        <v>200</v>
      </c>
      <c r="C136" s="1" t="s">
        <v>143</v>
      </c>
      <c r="D136" s="1">
        <v>210.53</v>
      </c>
      <c r="E136" s="1">
        <v>0</v>
      </c>
      <c r="F136" s="1">
        <v>99.4</v>
      </c>
      <c r="G136" s="1">
        <v>656.06299999999999</v>
      </c>
      <c r="H136" s="1">
        <v>1263.1590000000001</v>
      </c>
      <c r="I136" s="1">
        <v>-1263.1590000000001</v>
      </c>
    </row>
    <row r="137" spans="1:9" hidden="1" x14ac:dyDescent="0.25">
      <c r="A137" s="1" t="s">
        <v>125</v>
      </c>
      <c r="B137" s="1" t="s">
        <v>200</v>
      </c>
      <c r="C137" s="1" t="s">
        <v>3</v>
      </c>
      <c r="D137" s="1">
        <v>232.6</v>
      </c>
      <c r="E137" s="1">
        <v>0</v>
      </c>
      <c r="F137" s="1">
        <v>99.4</v>
      </c>
      <c r="G137" s="1">
        <v>656.06299999999999</v>
      </c>
      <c r="H137" s="1">
        <v>1096.5060000000001</v>
      </c>
      <c r="I137" s="1">
        <v>-1395.5719999999999</v>
      </c>
    </row>
    <row r="138" spans="1:9" hidden="1" x14ac:dyDescent="0.25">
      <c r="A138" s="1" t="s">
        <v>125</v>
      </c>
      <c r="B138" s="1" t="s">
        <v>201</v>
      </c>
      <c r="C138" s="1" t="s">
        <v>143</v>
      </c>
      <c r="D138" s="1">
        <v>210.53</v>
      </c>
      <c r="E138" s="1">
        <v>0</v>
      </c>
      <c r="F138" s="1">
        <v>99.4</v>
      </c>
      <c r="G138" s="1">
        <v>536.779</v>
      </c>
      <c r="H138" s="1">
        <v>1263.1590000000001</v>
      </c>
      <c r="I138" s="1">
        <v>-1263.1590000000001</v>
      </c>
    </row>
    <row r="139" spans="1:9" hidden="1" x14ac:dyDescent="0.25">
      <c r="A139" s="1" t="s">
        <v>125</v>
      </c>
      <c r="B139" s="1" t="s">
        <v>201</v>
      </c>
      <c r="C139" s="1" t="s">
        <v>3</v>
      </c>
      <c r="D139" s="1">
        <v>232.6</v>
      </c>
      <c r="E139" s="1">
        <v>0</v>
      </c>
      <c r="F139" s="1">
        <v>99.4</v>
      </c>
      <c r="G139" s="1">
        <v>536.779</v>
      </c>
      <c r="H139" s="1">
        <v>1096.5060000000001</v>
      </c>
      <c r="I139" s="1">
        <v>-1395.5719999999999</v>
      </c>
    </row>
    <row r="140" spans="1:9" hidden="1" x14ac:dyDescent="0.25">
      <c r="A140" s="1" t="s">
        <v>125</v>
      </c>
      <c r="B140" s="1" t="s">
        <v>202</v>
      </c>
      <c r="C140" s="1" t="s">
        <v>143</v>
      </c>
      <c r="D140" s="1">
        <v>190.48</v>
      </c>
      <c r="E140" s="1">
        <v>-99.4</v>
      </c>
      <c r="F140" s="1">
        <v>0</v>
      </c>
      <c r="G140" s="1">
        <v>656.06299999999999</v>
      </c>
      <c r="H140" s="1">
        <v>1142.8579999999999</v>
      </c>
      <c r="I140" s="1">
        <v>-1142.8579999999999</v>
      </c>
    </row>
    <row r="141" spans="1:9" hidden="1" x14ac:dyDescent="0.25">
      <c r="A141" s="1" t="s">
        <v>125</v>
      </c>
      <c r="B141" s="1" t="s">
        <v>202</v>
      </c>
      <c r="C141" s="1" t="s">
        <v>3</v>
      </c>
      <c r="D141" s="1">
        <v>210.44</v>
      </c>
      <c r="E141" s="1">
        <v>-99.4</v>
      </c>
      <c r="F141" s="1">
        <v>0</v>
      </c>
      <c r="G141" s="1">
        <v>656.06299999999999</v>
      </c>
      <c r="H141" s="1">
        <v>1262.6600000000001</v>
      </c>
      <c r="I141" s="1">
        <v>-1561.7270000000001</v>
      </c>
    </row>
    <row r="142" spans="1:9" hidden="1" x14ac:dyDescent="0.25">
      <c r="A142" s="1" t="s">
        <v>125</v>
      </c>
      <c r="B142" s="1" t="s">
        <v>203</v>
      </c>
      <c r="C142" s="1" t="s">
        <v>143</v>
      </c>
      <c r="D142" s="1">
        <v>190.48</v>
      </c>
      <c r="E142" s="1">
        <v>-99.4</v>
      </c>
      <c r="F142" s="1">
        <v>0</v>
      </c>
      <c r="G142" s="1">
        <v>536.779</v>
      </c>
      <c r="H142" s="1">
        <v>1142.8579999999999</v>
      </c>
      <c r="I142" s="1">
        <v>-1142.8579999999999</v>
      </c>
    </row>
    <row r="143" spans="1:9" hidden="1" x14ac:dyDescent="0.25">
      <c r="A143" s="1" t="s">
        <v>125</v>
      </c>
      <c r="B143" s="1" t="s">
        <v>203</v>
      </c>
      <c r="C143" s="1" t="s">
        <v>3</v>
      </c>
      <c r="D143" s="1">
        <v>210.44</v>
      </c>
      <c r="E143" s="1">
        <v>-99.4</v>
      </c>
      <c r="F143" s="1">
        <v>0</v>
      </c>
      <c r="G143" s="1">
        <v>536.779</v>
      </c>
      <c r="H143" s="1">
        <v>1262.6600000000001</v>
      </c>
      <c r="I143" s="1">
        <v>-1561.7270000000001</v>
      </c>
    </row>
    <row r="144" spans="1:9" hidden="1" x14ac:dyDescent="0.25">
      <c r="A144" s="1" t="s">
        <v>125</v>
      </c>
      <c r="B144" s="1" t="s">
        <v>204</v>
      </c>
      <c r="C144" s="1" t="s">
        <v>143</v>
      </c>
      <c r="D144" s="1">
        <v>190.48</v>
      </c>
      <c r="E144" s="1">
        <v>99.4</v>
      </c>
      <c r="F144" s="1">
        <v>0</v>
      </c>
      <c r="G144" s="1">
        <v>-656.06299999999999</v>
      </c>
      <c r="H144" s="1">
        <v>1142.8579999999999</v>
      </c>
      <c r="I144" s="1">
        <v>-1142.8579999999999</v>
      </c>
    </row>
    <row r="145" spans="1:9" hidden="1" x14ac:dyDescent="0.25">
      <c r="A145" s="1" t="s">
        <v>125</v>
      </c>
      <c r="B145" s="1" t="s">
        <v>204</v>
      </c>
      <c r="C145" s="1" t="s">
        <v>3</v>
      </c>
      <c r="D145" s="1">
        <v>210.44</v>
      </c>
      <c r="E145" s="1">
        <v>99.4</v>
      </c>
      <c r="F145" s="1">
        <v>0</v>
      </c>
      <c r="G145" s="1">
        <v>-656.06299999999999</v>
      </c>
      <c r="H145" s="1">
        <v>1262.6600000000001</v>
      </c>
      <c r="I145" s="1">
        <v>-963.59400000000005</v>
      </c>
    </row>
    <row r="146" spans="1:9" hidden="1" x14ac:dyDescent="0.25">
      <c r="A146" s="1" t="s">
        <v>125</v>
      </c>
      <c r="B146" s="1" t="s">
        <v>205</v>
      </c>
      <c r="C146" s="1" t="s">
        <v>143</v>
      </c>
      <c r="D146" s="1">
        <v>190.48</v>
      </c>
      <c r="E146" s="1">
        <v>99.4</v>
      </c>
      <c r="F146" s="1">
        <v>0</v>
      </c>
      <c r="G146" s="1">
        <v>-536.779</v>
      </c>
      <c r="H146" s="1">
        <v>1142.8579999999999</v>
      </c>
      <c r="I146" s="1">
        <v>-1142.8579999999999</v>
      </c>
    </row>
    <row r="147" spans="1:9" hidden="1" x14ac:dyDescent="0.25">
      <c r="A147" s="1" t="s">
        <v>125</v>
      </c>
      <c r="B147" s="1" t="s">
        <v>205</v>
      </c>
      <c r="C147" s="1" t="s">
        <v>3</v>
      </c>
      <c r="D147" s="1">
        <v>210.44</v>
      </c>
      <c r="E147" s="1">
        <v>99.4</v>
      </c>
      <c r="F147" s="1">
        <v>0</v>
      </c>
      <c r="G147" s="1">
        <v>-536.779</v>
      </c>
      <c r="H147" s="1">
        <v>1262.6600000000001</v>
      </c>
      <c r="I147" s="1">
        <v>-963.59400000000005</v>
      </c>
    </row>
    <row r="148" spans="1:9" hidden="1" x14ac:dyDescent="0.25">
      <c r="A148" s="1" t="s">
        <v>125</v>
      </c>
      <c r="B148" s="1" t="s">
        <v>206</v>
      </c>
      <c r="C148" s="1" t="s">
        <v>143</v>
      </c>
      <c r="D148" s="1">
        <v>190.48</v>
      </c>
      <c r="E148" s="1">
        <v>0</v>
      </c>
      <c r="F148" s="1">
        <v>-99.4</v>
      </c>
      <c r="G148" s="1">
        <v>-656.06299999999999</v>
      </c>
      <c r="H148" s="1">
        <v>1142.8579999999999</v>
      </c>
      <c r="I148" s="1">
        <v>-1142.8579999999999</v>
      </c>
    </row>
    <row r="149" spans="1:9" hidden="1" x14ac:dyDescent="0.25">
      <c r="A149" s="1" t="s">
        <v>125</v>
      </c>
      <c r="B149" s="1" t="s">
        <v>206</v>
      </c>
      <c r="C149" s="1" t="s">
        <v>3</v>
      </c>
      <c r="D149" s="1">
        <v>210.44</v>
      </c>
      <c r="E149" s="1">
        <v>0</v>
      </c>
      <c r="F149" s="1">
        <v>-99.4</v>
      </c>
      <c r="G149" s="1">
        <v>-656.06299999999999</v>
      </c>
      <c r="H149" s="1">
        <v>1561.7270000000001</v>
      </c>
      <c r="I149" s="1">
        <v>-1262.6600000000001</v>
      </c>
    </row>
    <row r="150" spans="1:9" hidden="1" x14ac:dyDescent="0.25">
      <c r="A150" s="1" t="s">
        <v>125</v>
      </c>
      <c r="B150" s="1" t="s">
        <v>207</v>
      </c>
      <c r="C150" s="1" t="s">
        <v>143</v>
      </c>
      <c r="D150" s="1">
        <v>190.48</v>
      </c>
      <c r="E150" s="1">
        <v>0</v>
      </c>
      <c r="F150" s="1">
        <v>-99.4</v>
      </c>
      <c r="G150" s="1">
        <v>-536.779</v>
      </c>
      <c r="H150" s="1">
        <v>1142.8579999999999</v>
      </c>
      <c r="I150" s="1">
        <v>-1142.8579999999999</v>
      </c>
    </row>
    <row r="151" spans="1:9" hidden="1" x14ac:dyDescent="0.25">
      <c r="A151" s="1" t="s">
        <v>125</v>
      </c>
      <c r="B151" s="1" t="s">
        <v>207</v>
      </c>
      <c r="C151" s="1" t="s">
        <v>3</v>
      </c>
      <c r="D151" s="1">
        <v>210.44</v>
      </c>
      <c r="E151" s="1">
        <v>0</v>
      </c>
      <c r="F151" s="1">
        <v>-99.4</v>
      </c>
      <c r="G151" s="1">
        <v>-536.779</v>
      </c>
      <c r="H151" s="1">
        <v>1561.7270000000001</v>
      </c>
      <c r="I151" s="1">
        <v>-1262.6600000000001</v>
      </c>
    </row>
    <row r="152" spans="1:9" hidden="1" x14ac:dyDescent="0.25">
      <c r="A152" s="1" t="s">
        <v>125</v>
      </c>
      <c r="B152" s="1" t="s">
        <v>208</v>
      </c>
      <c r="C152" s="1" t="s">
        <v>143</v>
      </c>
      <c r="D152" s="1">
        <v>190.48</v>
      </c>
      <c r="E152" s="1">
        <v>0</v>
      </c>
      <c r="F152" s="1">
        <v>99.4</v>
      </c>
      <c r="G152" s="1">
        <v>656.06299999999999</v>
      </c>
      <c r="H152" s="1">
        <v>1142.8579999999999</v>
      </c>
      <c r="I152" s="1">
        <v>-1142.8579999999999</v>
      </c>
    </row>
    <row r="153" spans="1:9" hidden="1" x14ac:dyDescent="0.25">
      <c r="A153" s="1" t="s">
        <v>125</v>
      </c>
      <c r="B153" s="1" t="s">
        <v>208</v>
      </c>
      <c r="C153" s="1" t="s">
        <v>3</v>
      </c>
      <c r="D153" s="1">
        <v>210.44</v>
      </c>
      <c r="E153" s="1">
        <v>0</v>
      </c>
      <c r="F153" s="1">
        <v>99.4</v>
      </c>
      <c r="G153" s="1">
        <v>656.06299999999999</v>
      </c>
      <c r="H153" s="1">
        <v>963.59400000000005</v>
      </c>
      <c r="I153" s="1">
        <v>-1262.6600000000001</v>
      </c>
    </row>
    <row r="154" spans="1:9" hidden="1" x14ac:dyDescent="0.25">
      <c r="A154" s="1" t="s">
        <v>125</v>
      </c>
      <c r="B154" s="1" t="s">
        <v>209</v>
      </c>
      <c r="C154" s="1" t="s">
        <v>143</v>
      </c>
      <c r="D154" s="1">
        <v>190.48</v>
      </c>
      <c r="E154" s="1">
        <v>0</v>
      </c>
      <c r="F154" s="1">
        <v>99.4</v>
      </c>
      <c r="G154" s="1">
        <v>536.779</v>
      </c>
      <c r="H154" s="1">
        <v>1142.8579999999999</v>
      </c>
      <c r="I154" s="1">
        <v>-1142.8579999999999</v>
      </c>
    </row>
    <row r="155" spans="1:9" hidden="1" x14ac:dyDescent="0.25">
      <c r="A155" s="1" t="s">
        <v>125</v>
      </c>
      <c r="B155" s="1" t="s">
        <v>209</v>
      </c>
      <c r="C155" s="1" t="s">
        <v>3</v>
      </c>
      <c r="D155" s="1">
        <v>210.44</v>
      </c>
      <c r="E155" s="1">
        <v>0</v>
      </c>
      <c r="F155" s="1">
        <v>99.4</v>
      </c>
      <c r="G155" s="1">
        <v>536.779</v>
      </c>
      <c r="H155" s="1">
        <v>963.59400000000005</v>
      </c>
      <c r="I155" s="1">
        <v>-1262.6600000000001</v>
      </c>
    </row>
    <row r="156" spans="1:9" hidden="1" x14ac:dyDescent="0.25">
      <c r="A156" s="1" t="s">
        <v>125</v>
      </c>
      <c r="B156" s="1" t="s">
        <v>210</v>
      </c>
      <c r="C156" s="1" t="s">
        <v>143</v>
      </c>
      <c r="D156" s="1">
        <v>233.92</v>
      </c>
      <c r="E156" s="1">
        <v>-29.82</v>
      </c>
      <c r="F156" s="1">
        <v>0</v>
      </c>
      <c r="G156" s="1">
        <v>196.81899999999999</v>
      </c>
      <c r="H156" s="1">
        <v>1403.51</v>
      </c>
      <c r="I156" s="1">
        <v>-1403.51</v>
      </c>
    </row>
    <row r="157" spans="1:9" hidden="1" x14ac:dyDescent="0.25">
      <c r="A157" s="1" t="s">
        <v>125</v>
      </c>
      <c r="B157" s="1" t="s">
        <v>210</v>
      </c>
      <c r="C157" s="1" t="s">
        <v>3</v>
      </c>
      <c r="D157" s="1">
        <v>258.44</v>
      </c>
      <c r="E157" s="1">
        <v>-29.82</v>
      </c>
      <c r="F157" s="1">
        <v>0</v>
      </c>
      <c r="G157" s="1">
        <v>196.81899999999999</v>
      </c>
      <c r="H157" s="1">
        <v>1550.636</v>
      </c>
      <c r="I157" s="1">
        <v>-1640.356</v>
      </c>
    </row>
    <row r="158" spans="1:9" hidden="1" x14ac:dyDescent="0.25">
      <c r="A158" s="1" t="s">
        <v>125</v>
      </c>
      <c r="B158" s="1" t="s">
        <v>211</v>
      </c>
      <c r="C158" s="1" t="s">
        <v>143</v>
      </c>
      <c r="D158" s="1">
        <v>233.92</v>
      </c>
      <c r="E158" s="1">
        <v>-29.82</v>
      </c>
      <c r="F158" s="1">
        <v>0</v>
      </c>
      <c r="G158" s="1">
        <v>161.03399999999999</v>
      </c>
      <c r="H158" s="1">
        <v>1403.51</v>
      </c>
      <c r="I158" s="1">
        <v>-1403.51</v>
      </c>
    </row>
    <row r="159" spans="1:9" hidden="1" x14ac:dyDescent="0.25">
      <c r="A159" s="1" t="s">
        <v>125</v>
      </c>
      <c r="B159" s="1" t="s">
        <v>211</v>
      </c>
      <c r="C159" s="1" t="s">
        <v>3</v>
      </c>
      <c r="D159" s="1">
        <v>258.44</v>
      </c>
      <c r="E159" s="1">
        <v>-29.82</v>
      </c>
      <c r="F159" s="1">
        <v>0</v>
      </c>
      <c r="G159" s="1">
        <v>161.03399999999999</v>
      </c>
      <c r="H159" s="1">
        <v>1550.636</v>
      </c>
      <c r="I159" s="1">
        <v>-1640.356</v>
      </c>
    </row>
    <row r="160" spans="1:9" hidden="1" x14ac:dyDescent="0.25">
      <c r="A160" s="1" t="s">
        <v>125</v>
      </c>
      <c r="B160" s="1" t="s">
        <v>212</v>
      </c>
      <c r="C160" s="1" t="s">
        <v>143</v>
      </c>
      <c r="D160" s="1">
        <v>233.92</v>
      </c>
      <c r="E160" s="1">
        <v>29.82</v>
      </c>
      <c r="F160" s="1">
        <v>0</v>
      </c>
      <c r="G160" s="1">
        <v>-196.81899999999999</v>
      </c>
      <c r="H160" s="1">
        <v>1403.51</v>
      </c>
      <c r="I160" s="1">
        <v>-1403.51</v>
      </c>
    </row>
    <row r="161" spans="1:9" hidden="1" x14ac:dyDescent="0.25">
      <c r="A161" s="1" t="s">
        <v>125</v>
      </c>
      <c r="B161" s="1" t="s">
        <v>212</v>
      </c>
      <c r="C161" s="1" t="s">
        <v>3</v>
      </c>
      <c r="D161" s="1">
        <v>258.44</v>
      </c>
      <c r="E161" s="1">
        <v>29.82</v>
      </c>
      <c r="F161" s="1">
        <v>0</v>
      </c>
      <c r="G161" s="1">
        <v>-196.81899999999999</v>
      </c>
      <c r="H161" s="1">
        <v>1550.636</v>
      </c>
      <c r="I161" s="1">
        <v>-1460.9159999999999</v>
      </c>
    </row>
    <row r="162" spans="1:9" hidden="1" x14ac:dyDescent="0.25">
      <c r="A162" s="1" t="s">
        <v>125</v>
      </c>
      <c r="B162" s="1" t="s">
        <v>213</v>
      </c>
      <c r="C162" s="1" t="s">
        <v>143</v>
      </c>
      <c r="D162" s="1">
        <v>233.92</v>
      </c>
      <c r="E162" s="1">
        <v>29.82</v>
      </c>
      <c r="F162" s="1">
        <v>0</v>
      </c>
      <c r="G162" s="1">
        <v>-161.03399999999999</v>
      </c>
      <c r="H162" s="1">
        <v>1403.51</v>
      </c>
      <c r="I162" s="1">
        <v>-1403.51</v>
      </c>
    </row>
    <row r="163" spans="1:9" hidden="1" x14ac:dyDescent="0.25">
      <c r="A163" s="1" t="s">
        <v>125</v>
      </c>
      <c r="B163" s="1" t="s">
        <v>213</v>
      </c>
      <c r="C163" s="1" t="s">
        <v>3</v>
      </c>
      <c r="D163" s="1">
        <v>258.44</v>
      </c>
      <c r="E163" s="1">
        <v>29.82</v>
      </c>
      <c r="F163" s="1">
        <v>0</v>
      </c>
      <c r="G163" s="1">
        <v>-161.03399999999999</v>
      </c>
      <c r="H163" s="1">
        <v>1550.636</v>
      </c>
      <c r="I163" s="1">
        <v>-1460.9159999999999</v>
      </c>
    </row>
    <row r="164" spans="1:9" hidden="1" x14ac:dyDescent="0.25">
      <c r="A164" s="1" t="s">
        <v>125</v>
      </c>
      <c r="B164" s="1" t="s">
        <v>214</v>
      </c>
      <c r="C164" s="1" t="s">
        <v>143</v>
      </c>
      <c r="D164" s="1">
        <v>233.92</v>
      </c>
      <c r="E164" s="1">
        <v>0</v>
      </c>
      <c r="F164" s="1">
        <v>-29.82</v>
      </c>
      <c r="G164" s="1">
        <v>-196.81899999999999</v>
      </c>
      <c r="H164" s="1">
        <v>1403.51</v>
      </c>
      <c r="I164" s="1">
        <v>-1403.51</v>
      </c>
    </row>
    <row r="165" spans="1:9" hidden="1" x14ac:dyDescent="0.25">
      <c r="A165" s="1" t="s">
        <v>125</v>
      </c>
      <c r="B165" s="1" t="s">
        <v>214</v>
      </c>
      <c r="C165" s="1" t="s">
        <v>3</v>
      </c>
      <c r="D165" s="1">
        <v>258.44</v>
      </c>
      <c r="E165" s="1">
        <v>0</v>
      </c>
      <c r="F165" s="1">
        <v>-29.82</v>
      </c>
      <c r="G165" s="1">
        <v>-196.81899999999999</v>
      </c>
      <c r="H165" s="1">
        <v>1640.356</v>
      </c>
      <c r="I165" s="1">
        <v>-1550.636</v>
      </c>
    </row>
    <row r="166" spans="1:9" hidden="1" x14ac:dyDescent="0.25">
      <c r="A166" s="1" t="s">
        <v>125</v>
      </c>
      <c r="B166" s="1" t="s">
        <v>215</v>
      </c>
      <c r="C166" s="1" t="s">
        <v>143</v>
      </c>
      <c r="D166" s="1">
        <v>233.92</v>
      </c>
      <c r="E166" s="1">
        <v>0</v>
      </c>
      <c r="F166" s="1">
        <v>-29.82</v>
      </c>
      <c r="G166" s="1">
        <v>-161.03399999999999</v>
      </c>
      <c r="H166" s="1">
        <v>1403.51</v>
      </c>
      <c r="I166" s="1">
        <v>-1403.51</v>
      </c>
    </row>
    <row r="167" spans="1:9" hidden="1" x14ac:dyDescent="0.25">
      <c r="A167" s="1" t="s">
        <v>125</v>
      </c>
      <c r="B167" s="1" t="s">
        <v>215</v>
      </c>
      <c r="C167" s="1" t="s">
        <v>3</v>
      </c>
      <c r="D167" s="1">
        <v>258.44</v>
      </c>
      <c r="E167" s="1">
        <v>0</v>
      </c>
      <c r="F167" s="1">
        <v>-29.82</v>
      </c>
      <c r="G167" s="1">
        <v>-161.03399999999999</v>
      </c>
      <c r="H167" s="1">
        <v>1640.356</v>
      </c>
      <c r="I167" s="1">
        <v>-1550.636</v>
      </c>
    </row>
    <row r="168" spans="1:9" hidden="1" x14ac:dyDescent="0.25">
      <c r="A168" s="1" t="s">
        <v>125</v>
      </c>
      <c r="B168" s="1" t="s">
        <v>216</v>
      </c>
      <c r="C168" s="1" t="s">
        <v>143</v>
      </c>
      <c r="D168" s="1">
        <v>233.92</v>
      </c>
      <c r="E168" s="1">
        <v>0</v>
      </c>
      <c r="F168" s="1">
        <v>29.82</v>
      </c>
      <c r="G168" s="1">
        <v>196.81899999999999</v>
      </c>
      <c r="H168" s="1">
        <v>1403.51</v>
      </c>
      <c r="I168" s="1">
        <v>-1403.51</v>
      </c>
    </row>
    <row r="169" spans="1:9" hidden="1" x14ac:dyDescent="0.25">
      <c r="A169" s="1" t="s">
        <v>125</v>
      </c>
      <c r="B169" s="1" t="s">
        <v>216</v>
      </c>
      <c r="C169" s="1" t="s">
        <v>3</v>
      </c>
      <c r="D169" s="1">
        <v>258.44</v>
      </c>
      <c r="E169" s="1">
        <v>0</v>
      </c>
      <c r="F169" s="1">
        <v>29.82</v>
      </c>
      <c r="G169" s="1">
        <v>196.81899999999999</v>
      </c>
      <c r="H169" s="1">
        <v>1460.9159999999999</v>
      </c>
      <c r="I169" s="1">
        <v>-1550.636</v>
      </c>
    </row>
    <row r="170" spans="1:9" hidden="1" x14ac:dyDescent="0.25">
      <c r="A170" s="1" t="s">
        <v>125</v>
      </c>
      <c r="B170" s="1" t="s">
        <v>217</v>
      </c>
      <c r="C170" s="1" t="s">
        <v>143</v>
      </c>
      <c r="D170" s="1">
        <v>233.92</v>
      </c>
      <c r="E170" s="1">
        <v>0</v>
      </c>
      <c r="F170" s="1">
        <v>29.82</v>
      </c>
      <c r="G170" s="1">
        <v>161.03399999999999</v>
      </c>
      <c r="H170" s="1">
        <v>1403.51</v>
      </c>
      <c r="I170" s="1">
        <v>-1403.51</v>
      </c>
    </row>
    <row r="171" spans="1:9" hidden="1" x14ac:dyDescent="0.25">
      <c r="A171" s="1" t="s">
        <v>125</v>
      </c>
      <c r="B171" s="1" t="s">
        <v>217</v>
      </c>
      <c r="C171" s="1" t="s">
        <v>3</v>
      </c>
      <c r="D171" s="1">
        <v>258.44</v>
      </c>
      <c r="E171" s="1">
        <v>0</v>
      </c>
      <c r="F171" s="1">
        <v>29.82</v>
      </c>
      <c r="G171" s="1">
        <v>161.03399999999999</v>
      </c>
      <c r="H171" s="1">
        <v>1460.9159999999999</v>
      </c>
      <c r="I171" s="1">
        <v>-1550.636</v>
      </c>
    </row>
    <row r="172" spans="1:9" hidden="1" x14ac:dyDescent="0.25">
      <c r="A172" s="1" t="s">
        <v>125</v>
      </c>
      <c r="B172" s="1" t="s">
        <v>218</v>
      </c>
      <c r="C172" s="1" t="s">
        <v>143</v>
      </c>
      <c r="D172" s="1">
        <v>167.08</v>
      </c>
      <c r="E172" s="1">
        <v>-29.82</v>
      </c>
      <c r="F172" s="1">
        <v>0</v>
      </c>
      <c r="G172" s="1">
        <v>196.81899999999999</v>
      </c>
      <c r="H172" s="1">
        <v>1002.5069999999999</v>
      </c>
      <c r="I172" s="1">
        <v>-1002.5069999999999</v>
      </c>
    </row>
    <row r="173" spans="1:9" hidden="1" x14ac:dyDescent="0.25">
      <c r="A173" s="1" t="s">
        <v>125</v>
      </c>
      <c r="B173" s="1" t="s">
        <v>218</v>
      </c>
      <c r="C173" s="1" t="s">
        <v>3</v>
      </c>
      <c r="D173" s="1">
        <v>184.6</v>
      </c>
      <c r="E173" s="1">
        <v>-29.82</v>
      </c>
      <c r="F173" s="1">
        <v>0</v>
      </c>
      <c r="G173" s="1">
        <v>196.81899999999999</v>
      </c>
      <c r="H173" s="1">
        <v>1107.597</v>
      </c>
      <c r="I173" s="1">
        <v>-1197.317</v>
      </c>
    </row>
    <row r="174" spans="1:9" hidden="1" x14ac:dyDescent="0.25">
      <c r="A174" s="1" t="s">
        <v>125</v>
      </c>
      <c r="B174" s="1" t="s">
        <v>219</v>
      </c>
      <c r="C174" s="1" t="s">
        <v>143</v>
      </c>
      <c r="D174" s="1">
        <v>167.08</v>
      </c>
      <c r="E174" s="1">
        <v>-29.82</v>
      </c>
      <c r="F174" s="1">
        <v>0</v>
      </c>
      <c r="G174" s="1">
        <v>161.03399999999999</v>
      </c>
      <c r="H174" s="1">
        <v>1002.5069999999999</v>
      </c>
      <c r="I174" s="1">
        <v>-1002.5069999999999</v>
      </c>
    </row>
    <row r="175" spans="1:9" hidden="1" x14ac:dyDescent="0.25">
      <c r="A175" s="1" t="s">
        <v>125</v>
      </c>
      <c r="B175" s="1" t="s">
        <v>219</v>
      </c>
      <c r="C175" s="1" t="s">
        <v>3</v>
      </c>
      <c r="D175" s="1">
        <v>184.6</v>
      </c>
      <c r="E175" s="1">
        <v>-29.82</v>
      </c>
      <c r="F175" s="1">
        <v>0</v>
      </c>
      <c r="G175" s="1">
        <v>161.03399999999999</v>
      </c>
      <c r="H175" s="1">
        <v>1107.597</v>
      </c>
      <c r="I175" s="1">
        <v>-1197.317</v>
      </c>
    </row>
    <row r="176" spans="1:9" hidden="1" x14ac:dyDescent="0.25">
      <c r="A176" s="1" t="s">
        <v>125</v>
      </c>
      <c r="B176" s="1" t="s">
        <v>220</v>
      </c>
      <c r="C176" s="1" t="s">
        <v>143</v>
      </c>
      <c r="D176" s="1">
        <v>167.08</v>
      </c>
      <c r="E176" s="1">
        <v>29.82</v>
      </c>
      <c r="F176" s="1">
        <v>0</v>
      </c>
      <c r="G176" s="1">
        <v>-196.81899999999999</v>
      </c>
      <c r="H176" s="1">
        <v>1002.5069999999999</v>
      </c>
      <c r="I176" s="1">
        <v>-1002.5069999999999</v>
      </c>
    </row>
    <row r="177" spans="1:9" hidden="1" x14ac:dyDescent="0.25">
      <c r="A177" s="1" t="s">
        <v>125</v>
      </c>
      <c r="B177" s="1" t="s">
        <v>220</v>
      </c>
      <c r="C177" s="1" t="s">
        <v>3</v>
      </c>
      <c r="D177" s="1">
        <v>184.6</v>
      </c>
      <c r="E177" s="1">
        <v>29.82</v>
      </c>
      <c r="F177" s="1">
        <v>0</v>
      </c>
      <c r="G177" s="1">
        <v>-196.81899999999999</v>
      </c>
      <c r="H177" s="1">
        <v>1107.597</v>
      </c>
      <c r="I177" s="1">
        <v>-1017.877</v>
      </c>
    </row>
    <row r="178" spans="1:9" hidden="1" x14ac:dyDescent="0.25">
      <c r="A178" s="1" t="s">
        <v>125</v>
      </c>
      <c r="B178" s="1" t="s">
        <v>221</v>
      </c>
      <c r="C178" s="1" t="s">
        <v>143</v>
      </c>
      <c r="D178" s="1">
        <v>167.08</v>
      </c>
      <c r="E178" s="1">
        <v>29.82</v>
      </c>
      <c r="F178" s="1">
        <v>0</v>
      </c>
      <c r="G178" s="1">
        <v>-161.03399999999999</v>
      </c>
      <c r="H178" s="1">
        <v>1002.5069999999999</v>
      </c>
      <c r="I178" s="1">
        <v>-1002.5069999999999</v>
      </c>
    </row>
    <row r="179" spans="1:9" hidden="1" x14ac:dyDescent="0.25">
      <c r="A179" s="1" t="s">
        <v>125</v>
      </c>
      <c r="B179" s="1" t="s">
        <v>221</v>
      </c>
      <c r="C179" s="1" t="s">
        <v>3</v>
      </c>
      <c r="D179" s="1">
        <v>184.6</v>
      </c>
      <c r="E179" s="1">
        <v>29.82</v>
      </c>
      <c r="F179" s="1">
        <v>0</v>
      </c>
      <c r="G179" s="1">
        <v>-161.03399999999999</v>
      </c>
      <c r="H179" s="1">
        <v>1107.597</v>
      </c>
      <c r="I179" s="1">
        <v>-1017.877</v>
      </c>
    </row>
    <row r="180" spans="1:9" hidden="1" x14ac:dyDescent="0.25">
      <c r="A180" s="1" t="s">
        <v>125</v>
      </c>
      <c r="B180" s="1" t="s">
        <v>222</v>
      </c>
      <c r="C180" s="1" t="s">
        <v>143</v>
      </c>
      <c r="D180" s="1">
        <v>167.08</v>
      </c>
      <c r="E180" s="1">
        <v>0</v>
      </c>
      <c r="F180" s="1">
        <v>-29.82</v>
      </c>
      <c r="G180" s="1">
        <v>-196.81899999999999</v>
      </c>
      <c r="H180" s="1">
        <v>1002.5069999999999</v>
      </c>
      <c r="I180" s="1">
        <v>-1002.5069999999999</v>
      </c>
    </row>
    <row r="181" spans="1:9" hidden="1" x14ac:dyDescent="0.25">
      <c r="A181" s="1" t="s">
        <v>125</v>
      </c>
      <c r="B181" s="1" t="s">
        <v>222</v>
      </c>
      <c r="C181" s="1" t="s">
        <v>3</v>
      </c>
      <c r="D181" s="1">
        <v>184.6</v>
      </c>
      <c r="E181" s="1">
        <v>0</v>
      </c>
      <c r="F181" s="1">
        <v>-29.82</v>
      </c>
      <c r="G181" s="1">
        <v>-196.81899999999999</v>
      </c>
      <c r="H181" s="1">
        <v>1197.317</v>
      </c>
      <c r="I181" s="1">
        <v>-1107.597</v>
      </c>
    </row>
    <row r="182" spans="1:9" hidden="1" x14ac:dyDescent="0.25">
      <c r="A182" s="1" t="s">
        <v>125</v>
      </c>
      <c r="B182" s="1" t="s">
        <v>223</v>
      </c>
      <c r="C182" s="1" t="s">
        <v>143</v>
      </c>
      <c r="D182" s="1">
        <v>167.08</v>
      </c>
      <c r="E182" s="1">
        <v>0</v>
      </c>
      <c r="F182" s="1">
        <v>-29.82</v>
      </c>
      <c r="G182" s="1">
        <v>-161.03399999999999</v>
      </c>
      <c r="H182" s="1">
        <v>1002.5069999999999</v>
      </c>
      <c r="I182" s="1">
        <v>-1002.5069999999999</v>
      </c>
    </row>
    <row r="183" spans="1:9" hidden="1" x14ac:dyDescent="0.25">
      <c r="A183" s="1" t="s">
        <v>125</v>
      </c>
      <c r="B183" s="1" t="s">
        <v>223</v>
      </c>
      <c r="C183" s="1" t="s">
        <v>3</v>
      </c>
      <c r="D183" s="1">
        <v>184.6</v>
      </c>
      <c r="E183" s="1">
        <v>0</v>
      </c>
      <c r="F183" s="1">
        <v>-29.82</v>
      </c>
      <c r="G183" s="1">
        <v>-161.03399999999999</v>
      </c>
      <c r="H183" s="1">
        <v>1197.317</v>
      </c>
      <c r="I183" s="1">
        <v>-1107.597</v>
      </c>
    </row>
    <row r="184" spans="1:9" hidden="1" x14ac:dyDescent="0.25">
      <c r="A184" s="1" t="s">
        <v>125</v>
      </c>
      <c r="B184" s="1" t="s">
        <v>224</v>
      </c>
      <c r="C184" s="1" t="s">
        <v>143</v>
      </c>
      <c r="D184" s="1">
        <v>167.08</v>
      </c>
      <c r="E184" s="1">
        <v>0</v>
      </c>
      <c r="F184" s="1">
        <v>29.82</v>
      </c>
      <c r="G184" s="1">
        <v>196.81899999999999</v>
      </c>
      <c r="H184" s="1">
        <v>1002.5069999999999</v>
      </c>
      <c r="I184" s="1">
        <v>-1002.5069999999999</v>
      </c>
    </row>
    <row r="185" spans="1:9" hidden="1" x14ac:dyDescent="0.25">
      <c r="A185" s="1" t="s">
        <v>125</v>
      </c>
      <c r="B185" s="1" t="s">
        <v>224</v>
      </c>
      <c r="C185" s="1" t="s">
        <v>3</v>
      </c>
      <c r="D185" s="1">
        <v>184.6</v>
      </c>
      <c r="E185" s="1">
        <v>0</v>
      </c>
      <c r="F185" s="1">
        <v>29.82</v>
      </c>
      <c r="G185" s="1">
        <v>196.81899999999999</v>
      </c>
      <c r="H185" s="1">
        <v>1017.877</v>
      </c>
      <c r="I185" s="1">
        <v>-1107.597</v>
      </c>
    </row>
    <row r="186" spans="1:9" hidden="1" x14ac:dyDescent="0.25">
      <c r="A186" s="1" t="s">
        <v>125</v>
      </c>
      <c r="B186" s="1" t="s">
        <v>225</v>
      </c>
      <c r="C186" s="1" t="s">
        <v>143</v>
      </c>
      <c r="D186" s="1">
        <v>167.08</v>
      </c>
      <c r="E186" s="1">
        <v>0</v>
      </c>
      <c r="F186" s="1">
        <v>29.82</v>
      </c>
      <c r="G186" s="1">
        <v>161.03399999999999</v>
      </c>
      <c r="H186" s="1">
        <v>1002.5069999999999</v>
      </c>
      <c r="I186" s="1">
        <v>-1002.5069999999999</v>
      </c>
    </row>
    <row r="187" spans="1:9" hidden="1" x14ac:dyDescent="0.25">
      <c r="A187" s="1" t="s">
        <v>125</v>
      </c>
      <c r="B187" s="1" t="s">
        <v>225</v>
      </c>
      <c r="C187" s="1" t="s">
        <v>3</v>
      </c>
      <c r="D187" s="1">
        <v>184.6</v>
      </c>
      <c r="E187" s="1">
        <v>0</v>
      </c>
      <c r="F187" s="1">
        <v>29.82</v>
      </c>
      <c r="G187" s="1">
        <v>161.03399999999999</v>
      </c>
      <c r="H187" s="1">
        <v>1017.877</v>
      </c>
      <c r="I187" s="1">
        <v>-1107.597</v>
      </c>
    </row>
    <row r="188" spans="1:9" hidden="1" x14ac:dyDescent="0.25">
      <c r="A188" s="1" t="s">
        <v>125</v>
      </c>
      <c r="B188" s="1" t="s">
        <v>226</v>
      </c>
      <c r="C188" s="1" t="s">
        <v>143</v>
      </c>
      <c r="D188" s="1">
        <v>298.95999999999998</v>
      </c>
      <c r="E188" s="1">
        <v>90.93</v>
      </c>
      <c r="F188" s="1">
        <v>0</v>
      </c>
      <c r="G188" s="1">
        <v>600.15700000000004</v>
      </c>
      <c r="H188" s="1">
        <v>1793.7619999999999</v>
      </c>
      <c r="I188" s="1">
        <v>-1793.7619999999999</v>
      </c>
    </row>
    <row r="189" spans="1:9" hidden="1" x14ac:dyDescent="0.25">
      <c r="A189" s="1" t="s">
        <v>125</v>
      </c>
      <c r="B189" s="1" t="s">
        <v>226</v>
      </c>
      <c r="C189" s="1" t="s">
        <v>3</v>
      </c>
      <c r="D189" s="1">
        <v>328.04</v>
      </c>
      <c r="E189" s="1">
        <v>90.93</v>
      </c>
      <c r="F189" s="1">
        <v>0</v>
      </c>
      <c r="G189" s="1">
        <v>600.15700000000004</v>
      </c>
      <c r="H189" s="1">
        <v>1968.211</v>
      </c>
      <c r="I189" s="1">
        <v>-1694.6010000000001</v>
      </c>
    </row>
    <row r="190" spans="1:9" hidden="1" x14ac:dyDescent="0.25">
      <c r="A190" s="1" t="s">
        <v>125</v>
      </c>
      <c r="B190" s="1" t="s">
        <v>227</v>
      </c>
      <c r="C190" s="1" t="s">
        <v>143</v>
      </c>
      <c r="D190" s="1">
        <v>298.95999999999998</v>
      </c>
      <c r="E190" s="1">
        <v>-90.93</v>
      </c>
      <c r="F190" s="1">
        <v>0</v>
      </c>
      <c r="G190" s="1">
        <v>-600.15700000000004</v>
      </c>
      <c r="H190" s="1">
        <v>1793.7619999999999</v>
      </c>
      <c r="I190" s="1">
        <v>-1793.7619999999999</v>
      </c>
    </row>
    <row r="191" spans="1:9" hidden="1" x14ac:dyDescent="0.25">
      <c r="A191" s="1" t="s">
        <v>125</v>
      </c>
      <c r="B191" s="1" t="s">
        <v>227</v>
      </c>
      <c r="C191" s="1" t="s">
        <v>3</v>
      </c>
      <c r="D191" s="1">
        <v>328.04</v>
      </c>
      <c r="E191" s="1">
        <v>-90.93</v>
      </c>
      <c r="F191" s="1">
        <v>0</v>
      </c>
      <c r="G191" s="1">
        <v>-600.15700000000004</v>
      </c>
      <c r="H191" s="1">
        <v>1968.211</v>
      </c>
      <c r="I191" s="1">
        <v>-2241.8209999999999</v>
      </c>
    </row>
    <row r="192" spans="1:9" hidden="1" x14ac:dyDescent="0.25">
      <c r="A192" s="1" t="s">
        <v>125</v>
      </c>
      <c r="B192" s="1" t="s">
        <v>228</v>
      </c>
      <c r="C192" s="1" t="s">
        <v>143</v>
      </c>
      <c r="D192" s="1">
        <v>278.91000000000003</v>
      </c>
      <c r="E192" s="1">
        <v>90.93</v>
      </c>
      <c r="F192" s="1">
        <v>0</v>
      </c>
      <c r="G192" s="1">
        <v>600.15700000000004</v>
      </c>
      <c r="H192" s="1">
        <v>1673.461</v>
      </c>
      <c r="I192" s="1">
        <v>-1673.461</v>
      </c>
    </row>
    <row r="193" spans="1:9" hidden="1" x14ac:dyDescent="0.25">
      <c r="A193" s="1" t="s">
        <v>125</v>
      </c>
      <c r="B193" s="1" t="s">
        <v>228</v>
      </c>
      <c r="C193" s="1" t="s">
        <v>3</v>
      </c>
      <c r="D193" s="1">
        <v>305.88</v>
      </c>
      <c r="E193" s="1">
        <v>90.93</v>
      </c>
      <c r="F193" s="1">
        <v>0</v>
      </c>
      <c r="G193" s="1">
        <v>600.15700000000004</v>
      </c>
      <c r="H193" s="1">
        <v>1835.299</v>
      </c>
      <c r="I193" s="1">
        <v>-1561.69</v>
      </c>
    </row>
    <row r="194" spans="1:9" hidden="1" x14ac:dyDescent="0.25">
      <c r="A194" s="1" t="s">
        <v>125</v>
      </c>
      <c r="B194" s="1" t="s">
        <v>229</v>
      </c>
      <c r="C194" s="1" t="s">
        <v>143</v>
      </c>
      <c r="D194" s="1">
        <v>278.91000000000003</v>
      </c>
      <c r="E194" s="1">
        <v>-90.93</v>
      </c>
      <c r="F194" s="1">
        <v>0</v>
      </c>
      <c r="G194" s="1">
        <v>-600.15700000000004</v>
      </c>
      <c r="H194" s="1">
        <v>1673.461</v>
      </c>
      <c r="I194" s="1">
        <v>-1673.461</v>
      </c>
    </row>
    <row r="195" spans="1:9" hidden="1" x14ac:dyDescent="0.25">
      <c r="A195" s="1" t="s">
        <v>125</v>
      </c>
      <c r="B195" s="1" t="s">
        <v>229</v>
      </c>
      <c r="C195" s="1" t="s">
        <v>3</v>
      </c>
      <c r="D195" s="1">
        <v>305.88</v>
      </c>
      <c r="E195" s="1">
        <v>-90.93</v>
      </c>
      <c r="F195" s="1">
        <v>0</v>
      </c>
      <c r="G195" s="1">
        <v>-600.15700000000004</v>
      </c>
      <c r="H195" s="1">
        <v>1835.299</v>
      </c>
      <c r="I195" s="1">
        <v>-2108.9090000000001</v>
      </c>
    </row>
    <row r="196" spans="1:9" hidden="1" x14ac:dyDescent="0.25">
      <c r="A196" s="1" t="s">
        <v>125</v>
      </c>
      <c r="B196" s="1" t="s">
        <v>230</v>
      </c>
      <c r="C196" s="1" t="s">
        <v>143</v>
      </c>
      <c r="D196" s="1">
        <v>298.95999999999998</v>
      </c>
      <c r="E196" s="1">
        <v>0</v>
      </c>
      <c r="F196" s="1">
        <v>83.36</v>
      </c>
      <c r="G196" s="1">
        <v>550.14400000000001</v>
      </c>
      <c r="H196" s="1">
        <v>1793.7619999999999</v>
      </c>
      <c r="I196" s="1">
        <v>-1793.7619999999999</v>
      </c>
    </row>
    <row r="197" spans="1:9" hidden="1" x14ac:dyDescent="0.25">
      <c r="A197" s="1" t="s">
        <v>125</v>
      </c>
      <c r="B197" s="1" t="s">
        <v>230</v>
      </c>
      <c r="C197" s="1" t="s">
        <v>3</v>
      </c>
      <c r="D197" s="1">
        <v>328.04</v>
      </c>
      <c r="E197" s="1">
        <v>0</v>
      </c>
      <c r="F197" s="1">
        <v>83.36</v>
      </c>
      <c r="G197" s="1">
        <v>550.14400000000001</v>
      </c>
      <c r="H197" s="1">
        <v>2219.02</v>
      </c>
      <c r="I197" s="1">
        <v>-1968.211</v>
      </c>
    </row>
    <row r="198" spans="1:9" hidden="1" x14ac:dyDescent="0.25">
      <c r="A198" s="1" t="s">
        <v>125</v>
      </c>
      <c r="B198" s="1" t="s">
        <v>231</v>
      </c>
      <c r="C198" s="1" t="s">
        <v>143</v>
      </c>
      <c r="D198" s="1">
        <v>298.95999999999998</v>
      </c>
      <c r="E198" s="1">
        <v>0</v>
      </c>
      <c r="F198" s="1">
        <v>-83.36</v>
      </c>
      <c r="G198" s="1">
        <v>-550.14400000000001</v>
      </c>
      <c r="H198" s="1">
        <v>1793.7619999999999</v>
      </c>
      <c r="I198" s="1">
        <v>-1793.7619999999999</v>
      </c>
    </row>
    <row r="199" spans="1:9" hidden="1" x14ac:dyDescent="0.25">
      <c r="A199" s="1" t="s">
        <v>125</v>
      </c>
      <c r="B199" s="1" t="s">
        <v>231</v>
      </c>
      <c r="C199" s="1" t="s">
        <v>3</v>
      </c>
      <c r="D199" s="1">
        <v>328.04</v>
      </c>
      <c r="E199" s="1">
        <v>0</v>
      </c>
      <c r="F199" s="1">
        <v>-83.36</v>
      </c>
      <c r="G199" s="1">
        <v>-550.14400000000001</v>
      </c>
      <c r="H199" s="1">
        <v>1717.402</v>
      </c>
      <c r="I199" s="1">
        <v>-1968.211</v>
      </c>
    </row>
    <row r="200" spans="1:9" hidden="1" x14ac:dyDescent="0.25">
      <c r="A200" s="1" t="s">
        <v>125</v>
      </c>
      <c r="B200" s="1" t="s">
        <v>232</v>
      </c>
      <c r="C200" s="1" t="s">
        <v>143</v>
      </c>
      <c r="D200" s="1">
        <v>278.91000000000003</v>
      </c>
      <c r="E200" s="1">
        <v>0</v>
      </c>
      <c r="F200" s="1">
        <v>83.36</v>
      </c>
      <c r="G200" s="1">
        <v>550.14400000000001</v>
      </c>
      <c r="H200" s="1">
        <v>1673.461</v>
      </c>
      <c r="I200" s="1">
        <v>-1673.461</v>
      </c>
    </row>
    <row r="201" spans="1:9" hidden="1" x14ac:dyDescent="0.25">
      <c r="A201" s="1" t="s">
        <v>125</v>
      </c>
      <c r="B201" s="1" t="s">
        <v>232</v>
      </c>
      <c r="C201" s="1" t="s">
        <v>3</v>
      </c>
      <c r="D201" s="1">
        <v>305.88</v>
      </c>
      <c r="E201" s="1">
        <v>0</v>
      </c>
      <c r="F201" s="1">
        <v>83.36</v>
      </c>
      <c r="G201" s="1">
        <v>550.14400000000001</v>
      </c>
      <c r="H201" s="1">
        <v>2086.1080000000002</v>
      </c>
      <c r="I201" s="1">
        <v>-1835.299</v>
      </c>
    </row>
    <row r="202" spans="1:9" hidden="1" x14ac:dyDescent="0.25">
      <c r="A202" s="1" t="s">
        <v>125</v>
      </c>
      <c r="B202" s="1" t="s">
        <v>233</v>
      </c>
      <c r="C202" s="1" t="s">
        <v>143</v>
      </c>
      <c r="D202" s="1">
        <v>278.91000000000003</v>
      </c>
      <c r="E202" s="1">
        <v>0</v>
      </c>
      <c r="F202" s="1">
        <v>-83.36</v>
      </c>
      <c r="G202" s="1">
        <v>-550.14400000000001</v>
      </c>
      <c r="H202" s="1">
        <v>1673.461</v>
      </c>
      <c r="I202" s="1">
        <v>-1673.461</v>
      </c>
    </row>
    <row r="203" spans="1:9" hidden="1" x14ac:dyDescent="0.25">
      <c r="A203" s="1" t="s">
        <v>125</v>
      </c>
      <c r="B203" s="1" t="s">
        <v>233</v>
      </c>
      <c r="C203" s="1" t="s">
        <v>3</v>
      </c>
      <c r="D203" s="1">
        <v>305.88</v>
      </c>
      <c r="E203" s="1">
        <v>0</v>
      </c>
      <c r="F203" s="1">
        <v>-83.36</v>
      </c>
      <c r="G203" s="1">
        <v>-550.14400000000001</v>
      </c>
      <c r="H203" s="1">
        <v>1584.49</v>
      </c>
      <c r="I203" s="1">
        <v>-1835.299</v>
      </c>
    </row>
    <row r="204" spans="1:9" hidden="1" x14ac:dyDescent="0.25">
      <c r="A204" s="1" t="s">
        <v>125</v>
      </c>
      <c r="B204" s="1" t="s">
        <v>234</v>
      </c>
      <c r="C204" s="1" t="s">
        <v>143</v>
      </c>
      <c r="D204" s="1">
        <v>322.35000000000002</v>
      </c>
      <c r="E204" s="1">
        <v>27.28</v>
      </c>
      <c r="F204" s="1">
        <v>0</v>
      </c>
      <c r="G204" s="1">
        <v>180.047</v>
      </c>
      <c r="H204" s="1">
        <v>1934.1130000000001</v>
      </c>
      <c r="I204" s="1">
        <v>-1934.1130000000001</v>
      </c>
    </row>
    <row r="205" spans="1:9" hidden="1" x14ac:dyDescent="0.25">
      <c r="A205" s="1" t="s">
        <v>125</v>
      </c>
      <c r="B205" s="1" t="s">
        <v>234</v>
      </c>
      <c r="C205" s="1" t="s">
        <v>3</v>
      </c>
      <c r="D205" s="1">
        <v>353.88</v>
      </c>
      <c r="E205" s="1">
        <v>27.28</v>
      </c>
      <c r="F205" s="1">
        <v>0</v>
      </c>
      <c r="G205" s="1">
        <v>180.047</v>
      </c>
      <c r="H205" s="1">
        <v>2123.2739999999999</v>
      </c>
      <c r="I205" s="1">
        <v>-2041.192</v>
      </c>
    </row>
    <row r="206" spans="1:9" hidden="1" x14ac:dyDescent="0.25">
      <c r="A206" s="1" t="s">
        <v>125</v>
      </c>
      <c r="B206" s="1" t="s">
        <v>235</v>
      </c>
      <c r="C206" s="1" t="s">
        <v>143</v>
      </c>
      <c r="D206" s="1">
        <v>322.35000000000002</v>
      </c>
      <c r="E206" s="1">
        <v>-27.28</v>
      </c>
      <c r="F206" s="1">
        <v>0</v>
      </c>
      <c r="G206" s="1">
        <v>-180.047</v>
      </c>
      <c r="H206" s="1">
        <v>1934.1130000000001</v>
      </c>
      <c r="I206" s="1">
        <v>-1934.1130000000001</v>
      </c>
    </row>
    <row r="207" spans="1:9" hidden="1" x14ac:dyDescent="0.25">
      <c r="A207" s="1" t="s">
        <v>125</v>
      </c>
      <c r="B207" s="1" t="s">
        <v>235</v>
      </c>
      <c r="C207" s="1" t="s">
        <v>3</v>
      </c>
      <c r="D207" s="1">
        <v>353.88</v>
      </c>
      <c r="E207" s="1">
        <v>-27.28</v>
      </c>
      <c r="F207" s="1">
        <v>0</v>
      </c>
      <c r="G207" s="1">
        <v>-180.047</v>
      </c>
      <c r="H207" s="1">
        <v>2123.2739999999999</v>
      </c>
      <c r="I207" s="1">
        <v>-2205.357</v>
      </c>
    </row>
    <row r="208" spans="1:9" hidden="1" x14ac:dyDescent="0.25">
      <c r="A208" s="1" t="s">
        <v>125</v>
      </c>
      <c r="B208" s="1" t="s">
        <v>236</v>
      </c>
      <c r="C208" s="1" t="s">
        <v>143</v>
      </c>
      <c r="D208" s="1">
        <v>255.52</v>
      </c>
      <c r="E208" s="1">
        <v>27.28</v>
      </c>
      <c r="F208" s="1">
        <v>0</v>
      </c>
      <c r="G208" s="1">
        <v>180.047</v>
      </c>
      <c r="H208" s="1">
        <v>1533.11</v>
      </c>
      <c r="I208" s="1">
        <v>-1533.11</v>
      </c>
    </row>
    <row r="209" spans="1:9" hidden="1" x14ac:dyDescent="0.25">
      <c r="A209" s="1" t="s">
        <v>125</v>
      </c>
      <c r="B209" s="1" t="s">
        <v>236</v>
      </c>
      <c r="C209" s="1" t="s">
        <v>3</v>
      </c>
      <c r="D209" s="1">
        <v>280.04000000000002</v>
      </c>
      <c r="E209" s="1">
        <v>27.28</v>
      </c>
      <c r="F209" s="1">
        <v>0</v>
      </c>
      <c r="G209" s="1">
        <v>180.047</v>
      </c>
      <c r="H209" s="1">
        <v>1680.2360000000001</v>
      </c>
      <c r="I209" s="1">
        <v>-1598.153</v>
      </c>
    </row>
    <row r="210" spans="1:9" hidden="1" x14ac:dyDescent="0.25">
      <c r="A210" s="1" t="s">
        <v>125</v>
      </c>
      <c r="B210" s="1" t="s">
        <v>237</v>
      </c>
      <c r="C210" s="1" t="s">
        <v>143</v>
      </c>
      <c r="D210" s="1">
        <v>255.52</v>
      </c>
      <c r="E210" s="1">
        <v>-27.28</v>
      </c>
      <c r="F210" s="1">
        <v>0</v>
      </c>
      <c r="G210" s="1">
        <v>-180.047</v>
      </c>
      <c r="H210" s="1">
        <v>1533.11</v>
      </c>
      <c r="I210" s="1">
        <v>-1533.11</v>
      </c>
    </row>
    <row r="211" spans="1:9" hidden="1" x14ac:dyDescent="0.25">
      <c r="A211" s="1" t="s">
        <v>125</v>
      </c>
      <c r="B211" s="1" t="s">
        <v>237</v>
      </c>
      <c r="C211" s="1" t="s">
        <v>3</v>
      </c>
      <c r="D211" s="1">
        <v>280.04000000000002</v>
      </c>
      <c r="E211" s="1">
        <v>-27.28</v>
      </c>
      <c r="F211" s="1">
        <v>0</v>
      </c>
      <c r="G211" s="1">
        <v>-180.047</v>
      </c>
      <c r="H211" s="1">
        <v>1680.2360000000001</v>
      </c>
      <c r="I211" s="1">
        <v>-1762.319</v>
      </c>
    </row>
    <row r="212" spans="1:9" hidden="1" x14ac:dyDescent="0.25">
      <c r="A212" s="1" t="s">
        <v>125</v>
      </c>
      <c r="B212" s="1" t="s">
        <v>238</v>
      </c>
      <c r="C212" s="1" t="s">
        <v>143</v>
      </c>
      <c r="D212" s="1">
        <v>322.35000000000002</v>
      </c>
      <c r="E212" s="1">
        <v>0</v>
      </c>
      <c r="F212" s="1">
        <v>25.01</v>
      </c>
      <c r="G212" s="1">
        <v>165.04300000000001</v>
      </c>
      <c r="H212" s="1">
        <v>1934.1130000000001</v>
      </c>
      <c r="I212" s="1">
        <v>-1934.1130000000001</v>
      </c>
    </row>
    <row r="213" spans="1:9" hidden="1" x14ac:dyDescent="0.25">
      <c r="A213" s="1" t="s">
        <v>125</v>
      </c>
      <c r="B213" s="1" t="s">
        <v>238</v>
      </c>
      <c r="C213" s="1" t="s">
        <v>3</v>
      </c>
      <c r="D213" s="1">
        <v>353.88</v>
      </c>
      <c r="E213" s="1">
        <v>0</v>
      </c>
      <c r="F213" s="1">
        <v>25.01</v>
      </c>
      <c r="G213" s="1">
        <v>165.04300000000001</v>
      </c>
      <c r="H213" s="1">
        <v>2198.5169999999998</v>
      </c>
      <c r="I213" s="1">
        <v>-2123.2739999999999</v>
      </c>
    </row>
    <row r="214" spans="1:9" hidden="1" x14ac:dyDescent="0.25">
      <c r="A214" s="1" t="s">
        <v>125</v>
      </c>
      <c r="B214" s="1" t="s">
        <v>239</v>
      </c>
      <c r="C214" s="1" t="s">
        <v>143</v>
      </c>
      <c r="D214" s="1">
        <v>322.35000000000002</v>
      </c>
      <c r="E214" s="1">
        <v>0</v>
      </c>
      <c r="F214" s="1">
        <v>-25.01</v>
      </c>
      <c r="G214" s="1">
        <v>-165.04300000000001</v>
      </c>
      <c r="H214" s="1">
        <v>1934.1130000000001</v>
      </c>
      <c r="I214" s="1">
        <v>-1934.1130000000001</v>
      </c>
    </row>
    <row r="215" spans="1:9" hidden="1" x14ac:dyDescent="0.25">
      <c r="A215" s="1" t="s">
        <v>125</v>
      </c>
      <c r="B215" s="1" t="s">
        <v>239</v>
      </c>
      <c r="C215" s="1" t="s">
        <v>3</v>
      </c>
      <c r="D215" s="1">
        <v>353.88</v>
      </c>
      <c r="E215" s="1">
        <v>0</v>
      </c>
      <c r="F215" s="1">
        <v>-25.01</v>
      </c>
      <c r="G215" s="1">
        <v>-165.04300000000001</v>
      </c>
      <c r="H215" s="1">
        <v>2048.0320000000002</v>
      </c>
      <c r="I215" s="1">
        <v>-2123.2739999999999</v>
      </c>
    </row>
    <row r="216" spans="1:9" hidden="1" x14ac:dyDescent="0.25">
      <c r="A216" s="1" t="s">
        <v>125</v>
      </c>
      <c r="B216" s="1" t="s">
        <v>240</v>
      </c>
      <c r="C216" s="1" t="s">
        <v>143</v>
      </c>
      <c r="D216" s="1">
        <v>255.52</v>
      </c>
      <c r="E216" s="1">
        <v>0</v>
      </c>
      <c r="F216" s="1">
        <v>25.01</v>
      </c>
      <c r="G216" s="1">
        <v>165.04300000000001</v>
      </c>
      <c r="H216" s="1">
        <v>1533.11</v>
      </c>
      <c r="I216" s="1">
        <v>-1533.11</v>
      </c>
    </row>
    <row r="217" spans="1:9" hidden="1" x14ac:dyDescent="0.25">
      <c r="A217" s="1" t="s">
        <v>125</v>
      </c>
      <c r="B217" s="1" t="s">
        <v>240</v>
      </c>
      <c r="C217" s="1" t="s">
        <v>3</v>
      </c>
      <c r="D217" s="1">
        <v>280.04000000000002</v>
      </c>
      <c r="E217" s="1">
        <v>0</v>
      </c>
      <c r="F217" s="1">
        <v>25.01</v>
      </c>
      <c r="G217" s="1">
        <v>165.04300000000001</v>
      </c>
      <c r="H217" s="1">
        <v>1755.4780000000001</v>
      </c>
      <c r="I217" s="1">
        <v>-1680.2360000000001</v>
      </c>
    </row>
    <row r="218" spans="1:9" hidden="1" x14ac:dyDescent="0.25">
      <c r="A218" s="1" t="s">
        <v>125</v>
      </c>
      <c r="B218" s="1" t="s">
        <v>241</v>
      </c>
      <c r="C218" s="1" t="s">
        <v>143</v>
      </c>
      <c r="D218" s="1">
        <v>255.52</v>
      </c>
      <c r="E218" s="1">
        <v>0</v>
      </c>
      <c r="F218" s="1">
        <v>-25.01</v>
      </c>
      <c r="G218" s="1">
        <v>-165.04300000000001</v>
      </c>
      <c r="H218" s="1">
        <v>1533.11</v>
      </c>
      <c r="I218" s="1">
        <v>-1533.11</v>
      </c>
    </row>
    <row r="219" spans="1:9" hidden="1" x14ac:dyDescent="0.25">
      <c r="A219" s="1" t="s">
        <v>125</v>
      </c>
      <c r="B219" s="1" t="s">
        <v>241</v>
      </c>
      <c r="C219" s="1" t="s">
        <v>3</v>
      </c>
      <c r="D219" s="1">
        <v>280.04000000000002</v>
      </c>
      <c r="E219" s="1">
        <v>0</v>
      </c>
      <c r="F219" s="1">
        <v>-25.01</v>
      </c>
      <c r="G219" s="1">
        <v>-165.04300000000001</v>
      </c>
      <c r="H219" s="1">
        <v>1604.9929999999999</v>
      </c>
      <c r="I219" s="1">
        <v>-1680.2360000000001</v>
      </c>
    </row>
    <row r="220" spans="1:9" hidden="1" x14ac:dyDescent="0.25">
      <c r="A220" s="1" t="s">
        <v>125</v>
      </c>
      <c r="B220" s="1" t="s">
        <v>242</v>
      </c>
      <c r="C220" s="1" t="s">
        <v>143</v>
      </c>
      <c r="D220" s="1">
        <v>210.53</v>
      </c>
      <c r="E220" s="1">
        <v>90.93</v>
      </c>
      <c r="F220" s="1">
        <v>0</v>
      </c>
      <c r="G220" s="1">
        <v>600.15700000000004</v>
      </c>
      <c r="H220" s="1">
        <v>1263.1590000000001</v>
      </c>
      <c r="I220" s="1">
        <v>-1263.1590000000001</v>
      </c>
    </row>
    <row r="221" spans="1:9" hidden="1" x14ac:dyDescent="0.25">
      <c r="A221" s="1" t="s">
        <v>125</v>
      </c>
      <c r="B221" s="1" t="s">
        <v>242</v>
      </c>
      <c r="C221" s="1" t="s">
        <v>3</v>
      </c>
      <c r="D221" s="1">
        <v>232.6</v>
      </c>
      <c r="E221" s="1">
        <v>90.93</v>
      </c>
      <c r="F221" s="1">
        <v>0</v>
      </c>
      <c r="G221" s="1">
        <v>600.15700000000004</v>
      </c>
      <c r="H221" s="1">
        <v>1395.5719999999999</v>
      </c>
      <c r="I221" s="1">
        <v>-1121.962</v>
      </c>
    </row>
    <row r="222" spans="1:9" hidden="1" x14ac:dyDescent="0.25">
      <c r="A222" s="1" t="s">
        <v>125</v>
      </c>
      <c r="B222" s="1" t="s">
        <v>243</v>
      </c>
      <c r="C222" s="1" t="s">
        <v>143</v>
      </c>
      <c r="D222" s="1">
        <v>210.53</v>
      </c>
      <c r="E222" s="1">
        <v>-90.93</v>
      </c>
      <c r="F222" s="1">
        <v>0</v>
      </c>
      <c r="G222" s="1">
        <v>-600.15700000000004</v>
      </c>
      <c r="H222" s="1">
        <v>1263.1590000000001</v>
      </c>
      <c r="I222" s="1">
        <v>-1263.1590000000001</v>
      </c>
    </row>
    <row r="223" spans="1:9" hidden="1" x14ac:dyDescent="0.25">
      <c r="A223" s="1" t="s">
        <v>125</v>
      </c>
      <c r="B223" s="1" t="s">
        <v>243</v>
      </c>
      <c r="C223" s="1" t="s">
        <v>3</v>
      </c>
      <c r="D223" s="1">
        <v>232.6</v>
      </c>
      <c r="E223" s="1">
        <v>-90.93</v>
      </c>
      <c r="F223" s="1">
        <v>0</v>
      </c>
      <c r="G223" s="1">
        <v>-600.15700000000004</v>
      </c>
      <c r="H223" s="1">
        <v>1395.5719999999999</v>
      </c>
      <c r="I223" s="1">
        <v>-1669.182</v>
      </c>
    </row>
    <row r="224" spans="1:9" hidden="1" x14ac:dyDescent="0.25">
      <c r="A224" s="1" t="s">
        <v>125</v>
      </c>
      <c r="B224" s="1" t="s">
        <v>244</v>
      </c>
      <c r="C224" s="1" t="s">
        <v>143</v>
      </c>
      <c r="D224" s="1">
        <v>190.48</v>
      </c>
      <c r="E224" s="1">
        <v>90.93</v>
      </c>
      <c r="F224" s="1">
        <v>0</v>
      </c>
      <c r="G224" s="1">
        <v>600.15700000000004</v>
      </c>
      <c r="H224" s="1">
        <v>1142.8579999999999</v>
      </c>
      <c r="I224" s="1">
        <v>-1142.8579999999999</v>
      </c>
    </row>
    <row r="225" spans="1:9" hidden="1" x14ac:dyDescent="0.25">
      <c r="A225" s="1" t="s">
        <v>125</v>
      </c>
      <c r="B225" s="1" t="s">
        <v>244</v>
      </c>
      <c r="C225" s="1" t="s">
        <v>3</v>
      </c>
      <c r="D225" s="1">
        <v>210.44</v>
      </c>
      <c r="E225" s="1">
        <v>90.93</v>
      </c>
      <c r="F225" s="1">
        <v>0</v>
      </c>
      <c r="G225" s="1">
        <v>600.15700000000004</v>
      </c>
      <c r="H225" s="1">
        <v>1262.6600000000001</v>
      </c>
      <c r="I225" s="1">
        <v>-989.05100000000004</v>
      </c>
    </row>
    <row r="226" spans="1:9" hidden="1" x14ac:dyDescent="0.25">
      <c r="A226" s="1" t="s">
        <v>125</v>
      </c>
      <c r="B226" s="1" t="s">
        <v>245</v>
      </c>
      <c r="C226" s="1" t="s">
        <v>143</v>
      </c>
      <c r="D226" s="1">
        <v>190.48</v>
      </c>
      <c r="E226" s="1">
        <v>-90.93</v>
      </c>
      <c r="F226" s="1">
        <v>0</v>
      </c>
      <c r="G226" s="1">
        <v>-600.15700000000004</v>
      </c>
      <c r="H226" s="1">
        <v>1142.8579999999999</v>
      </c>
      <c r="I226" s="1">
        <v>-1142.8579999999999</v>
      </c>
    </row>
    <row r="227" spans="1:9" hidden="1" x14ac:dyDescent="0.25">
      <c r="A227" s="1" t="s">
        <v>125</v>
      </c>
      <c r="B227" s="1" t="s">
        <v>245</v>
      </c>
      <c r="C227" s="1" t="s">
        <v>3</v>
      </c>
      <c r="D227" s="1">
        <v>210.44</v>
      </c>
      <c r="E227" s="1">
        <v>-90.93</v>
      </c>
      <c r="F227" s="1">
        <v>0</v>
      </c>
      <c r="G227" s="1">
        <v>-600.15700000000004</v>
      </c>
      <c r="H227" s="1">
        <v>1262.6600000000001</v>
      </c>
      <c r="I227" s="1">
        <v>-1536.27</v>
      </c>
    </row>
    <row r="228" spans="1:9" hidden="1" x14ac:dyDescent="0.25">
      <c r="A228" s="1" t="s">
        <v>125</v>
      </c>
      <c r="B228" s="1" t="s">
        <v>246</v>
      </c>
      <c r="C228" s="1" t="s">
        <v>143</v>
      </c>
      <c r="D228" s="1">
        <v>210.53</v>
      </c>
      <c r="E228" s="1">
        <v>0</v>
      </c>
      <c r="F228" s="1">
        <v>83.36</v>
      </c>
      <c r="G228" s="1">
        <v>550.14400000000001</v>
      </c>
      <c r="H228" s="1">
        <v>1263.1590000000001</v>
      </c>
      <c r="I228" s="1">
        <v>-1263.1590000000001</v>
      </c>
    </row>
    <row r="229" spans="1:9" hidden="1" x14ac:dyDescent="0.25">
      <c r="A229" s="1" t="s">
        <v>125</v>
      </c>
      <c r="B229" s="1" t="s">
        <v>246</v>
      </c>
      <c r="C229" s="1" t="s">
        <v>3</v>
      </c>
      <c r="D229" s="1">
        <v>232.6</v>
      </c>
      <c r="E229" s="1">
        <v>0</v>
      </c>
      <c r="F229" s="1">
        <v>83.36</v>
      </c>
      <c r="G229" s="1">
        <v>550.14400000000001</v>
      </c>
      <c r="H229" s="1">
        <v>1646.3810000000001</v>
      </c>
      <c r="I229" s="1">
        <v>-1395.5719999999999</v>
      </c>
    </row>
    <row r="230" spans="1:9" hidden="1" x14ac:dyDescent="0.25">
      <c r="A230" s="1" t="s">
        <v>125</v>
      </c>
      <c r="B230" s="1" t="s">
        <v>247</v>
      </c>
      <c r="C230" s="1" t="s">
        <v>143</v>
      </c>
      <c r="D230" s="1">
        <v>210.53</v>
      </c>
      <c r="E230" s="1">
        <v>0</v>
      </c>
      <c r="F230" s="1">
        <v>-83.36</v>
      </c>
      <c r="G230" s="1">
        <v>-550.14400000000001</v>
      </c>
      <c r="H230" s="1">
        <v>1263.1590000000001</v>
      </c>
      <c r="I230" s="1">
        <v>-1263.1590000000001</v>
      </c>
    </row>
    <row r="231" spans="1:9" hidden="1" x14ac:dyDescent="0.25">
      <c r="A231" s="1" t="s">
        <v>125</v>
      </c>
      <c r="B231" s="1" t="s">
        <v>247</v>
      </c>
      <c r="C231" s="1" t="s">
        <v>3</v>
      </c>
      <c r="D231" s="1">
        <v>232.6</v>
      </c>
      <c r="E231" s="1">
        <v>0</v>
      </c>
      <c r="F231" s="1">
        <v>-83.36</v>
      </c>
      <c r="G231" s="1">
        <v>-550.14400000000001</v>
      </c>
      <c r="H231" s="1">
        <v>1144.7629999999999</v>
      </c>
      <c r="I231" s="1">
        <v>-1395.5719999999999</v>
      </c>
    </row>
    <row r="232" spans="1:9" hidden="1" x14ac:dyDescent="0.25">
      <c r="A232" s="1" t="s">
        <v>125</v>
      </c>
      <c r="B232" s="1" t="s">
        <v>248</v>
      </c>
      <c r="C232" s="1" t="s">
        <v>143</v>
      </c>
      <c r="D232" s="1">
        <v>190.48</v>
      </c>
      <c r="E232" s="1">
        <v>0</v>
      </c>
      <c r="F232" s="1">
        <v>83.36</v>
      </c>
      <c r="G232" s="1">
        <v>550.14400000000001</v>
      </c>
      <c r="H232" s="1">
        <v>1142.8579999999999</v>
      </c>
      <c r="I232" s="1">
        <v>-1142.8579999999999</v>
      </c>
    </row>
    <row r="233" spans="1:9" hidden="1" x14ac:dyDescent="0.25">
      <c r="A233" s="1" t="s">
        <v>125</v>
      </c>
      <c r="B233" s="1" t="s">
        <v>248</v>
      </c>
      <c r="C233" s="1" t="s">
        <v>3</v>
      </c>
      <c r="D233" s="1">
        <v>210.44</v>
      </c>
      <c r="E233" s="1">
        <v>0</v>
      </c>
      <c r="F233" s="1">
        <v>83.36</v>
      </c>
      <c r="G233" s="1">
        <v>550.14400000000001</v>
      </c>
      <c r="H233" s="1">
        <v>1513.4690000000001</v>
      </c>
      <c r="I233" s="1">
        <v>-1262.6600000000001</v>
      </c>
    </row>
    <row r="234" spans="1:9" hidden="1" x14ac:dyDescent="0.25">
      <c r="A234" s="1" t="s">
        <v>125</v>
      </c>
      <c r="B234" s="1" t="s">
        <v>249</v>
      </c>
      <c r="C234" s="1" t="s">
        <v>143</v>
      </c>
      <c r="D234" s="1">
        <v>190.48</v>
      </c>
      <c r="E234" s="1">
        <v>0</v>
      </c>
      <c r="F234" s="1">
        <v>-83.36</v>
      </c>
      <c r="G234" s="1">
        <v>-550.14400000000001</v>
      </c>
      <c r="H234" s="1">
        <v>1142.8579999999999</v>
      </c>
      <c r="I234" s="1">
        <v>-1142.8579999999999</v>
      </c>
    </row>
    <row r="235" spans="1:9" hidden="1" x14ac:dyDescent="0.25">
      <c r="A235" s="1" t="s">
        <v>125</v>
      </c>
      <c r="B235" s="1" t="s">
        <v>249</v>
      </c>
      <c r="C235" s="1" t="s">
        <v>3</v>
      </c>
      <c r="D235" s="1">
        <v>210.44</v>
      </c>
      <c r="E235" s="1">
        <v>0</v>
      </c>
      <c r="F235" s="1">
        <v>-83.36</v>
      </c>
      <c r="G235" s="1">
        <v>-550.14400000000001</v>
      </c>
      <c r="H235" s="1">
        <v>1011.852</v>
      </c>
      <c r="I235" s="1">
        <v>-1262.6600000000001</v>
      </c>
    </row>
    <row r="236" spans="1:9" hidden="1" x14ac:dyDescent="0.25">
      <c r="A236" s="1" t="s">
        <v>125</v>
      </c>
      <c r="B236" s="1" t="s">
        <v>250</v>
      </c>
      <c r="C236" s="1" t="s">
        <v>143</v>
      </c>
      <c r="D236" s="1">
        <v>233.92</v>
      </c>
      <c r="E236" s="1">
        <v>27.28</v>
      </c>
      <c r="F236" s="1">
        <v>0</v>
      </c>
      <c r="G236" s="1">
        <v>180.047</v>
      </c>
      <c r="H236" s="1">
        <v>1403.51</v>
      </c>
      <c r="I236" s="1">
        <v>-1403.51</v>
      </c>
    </row>
    <row r="237" spans="1:9" hidden="1" x14ac:dyDescent="0.25">
      <c r="A237" s="1" t="s">
        <v>125</v>
      </c>
      <c r="B237" s="1" t="s">
        <v>250</v>
      </c>
      <c r="C237" s="1" t="s">
        <v>3</v>
      </c>
      <c r="D237" s="1">
        <v>258.44</v>
      </c>
      <c r="E237" s="1">
        <v>27.28</v>
      </c>
      <c r="F237" s="1">
        <v>0</v>
      </c>
      <c r="G237" s="1">
        <v>180.047</v>
      </c>
      <c r="H237" s="1">
        <v>1550.636</v>
      </c>
      <c r="I237" s="1">
        <v>-1468.5530000000001</v>
      </c>
    </row>
    <row r="238" spans="1:9" hidden="1" x14ac:dyDescent="0.25">
      <c r="A238" s="1" t="s">
        <v>125</v>
      </c>
      <c r="B238" s="1" t="s">
        <v>251</v>
      </c>
      <c r="C238" s="1" t="s">
        <v>143</v>
      </c>
      <c r="D238" s="1">
        <v>233.92</v>
      </c>
      <c r="E238" s="1">
        <v>-27.28</v>
      </c>
      <c r="F238" s="1">
        <v>0</v>
      </c>
      <c r="G238" s="1">
        <v>-180.047</v>
      </c>
      <c r="H238" s="1">
        <v>1403.51</v>
      </c>
      <c r="I238" s="1">
        <v>-1403.51</v>
      </c>
    </row>
    <row r="239" spans="1:9" hidden="1" x14ac:dyDescent="0.25">
      <c r="A239" s="1" t="s">
        <v>125</v>
      </c>
      <c r="B239" s="1" t="s">
        <v>251</v>
      </c>
      <c r="C239" s="1" t="s">
        <v>3</v>
      </c>
      <c r="D239" s="1">
        <v>258.44</v>
      </c>
      <c r="E239" s="1">
        <v>-27.28</v>
      </c>
      <c r="F239" s="1">
        <v>0</v>
      </c>
      <c r="G239" s="1">
        <v>-180.047</v>
      </c>
      <c r="H239" s="1">
        <v>1550.636</v>
      </c>
      <c r="I239" s="1">
        <v>-1632.7190000000001</v>
      </c>
    </row>
    <row r="240" spans="1:9" hidden="1" x14ac:dyDescent="0.25">
      <c r="A240" s="1" t="s">
        <v>125</v>
      </c>
      <c r="B240" s="1" t="s">
        <v>252</v>
      </c>
      <c r="C240" s="1" t="s">
        <v>143</v>
      </c>
      <c r="D240" s="1">
        <v>167.08</v>
      </c>
      <c r="E240" s="1">
        <v>27.28</v>
      </c>
      <c r="F240" s="1">
        <v>0</v>
      </c>
      <c r="G240" s="1">
        <v>180.047</v>
      </c>
      <c r="H240" s="1">
        <v>1002.5069999999999</v>
      </c>
      <c r="I240" s="1">
        <v>-1002.5069999999999</v>
      </c>
    </row>
    <row r="241" spans="1:9" hidden="1" x14ac:dyDescent="0.25">
      <c r="A241" s="1" t="s">
        <v>125</v>
      </c>
      <c r="B241" s="1" t="s">
        <v>252</v>
      </c>
      <c r="C241" s="1" t="s">
        <v>3</v>
      </c>
      <c r="D241" s="1">
        <v>184.6</v>
      </c>
      <c r="E241" s="1">
        <v>27.28</v>
      </c>
      <c r="F241" s="1">
        <v>0</v>
      </c>
      <c r="G241" s="1">
        <v>180.047</v>
      </c>
      <c r="H241" s="1">
        <v>1107.597</v>
      </c>
      <c r="I241" s="1">
        <v>-1025.5139999999999</v>
      </c>
    </row>
    <row r="242" spans="1:9" hidden="1" x14ac:dyDescent="0.25">
      <c r="A242" s="1" t="s">
        <v>125</v>
      </c>
      <c r="B242" s="1" t="s">
        <v>253</v>
      </c>
      <c r="C242" s="1" t="s">
        <v>143</v>
      </c>
      <c r="D242" s="1">
        <v>167.08</v>
      </c>
      <c r="E242" s="1">
        <v>-27.28</v>
      </c>
      <c r="F242" s="1">
        <v>0</v>
      </c>
      <c r="G242" s="1">
        <v>-180.047</v>
      </c>
      <c r="H242" s="1">
        <v>1002.5069999999999</v>
      </c>
      <c r="I242" s="1">
        <v>-1002.5069999999999</v>
      </c>
    </row>
    <row r="243" spans="1:9" hidden="1" x14ac:dyDescent="0.25">
      <c r="A243" s="1" t="s">
        <v>125</v>
      </c>
      <c r="B243" s="1" t="s">
        <v>253</v>
      </c>
      <c r="C243" s="1" t="s">
        <v>3</v>
      </c>
      <c r="D243" s="1">
        <v>184.6</v>
      </c>
      <c r="E243" s="1">
        <v>-27.28</v>
      </c>
      <c r="F243" s="1">
        <v>0</v>
      </c>
      <c r="G243" s="1">
        <v>-180.047</v>
      </c>
      <c r="H243" s="1">
        <v>1107.597</v>
      </c>
      <c r="I243" s="1">
        <v>-1189.68</v>
      </c>
    </row>
    <row r="244" spans="1:9" hidden="1" x14ac:dyDescent="0.25">
      <c r="A244" s="1" t="s">
        <v>125</v>
      </c>
      <c r="B244" s="1" t="s">
        <v>254</v>
      </c>
      <c r="C244" s="1" t="s">
        <v>143</v>
      </c>
      <c r="D244" s="1">
        <v>233.92</v>
      </c>
      <c r="E244" s="1">
        <v>0</v>
      </c>
      <c r="F244" s="1">
        <v>25.01</v>
      </c>
      <c r="G244" s="1">
        <v>165.04300000000001</v>
      </c>
      <c r="H244" s="1">
        <v>1403.51</v>
      </c>
      <c r="I244" s="1">
        <v>-1403.51</v>
      </c>
    </row>
    <row r="245" spans="1:9" hidden="1" x14ac:dyDescent="0.25">
      <c r="A245" s="1" t="s">
        <v>125</v>
      </c>
      <c r="B245" s="1" t="s">
        <v>254</v>
      </c>
      <c r="C245" s="1" t="s">
        <v>3</v>
      </c>
      <c r="D245" s="1">
        <v>258.44</v>
      </c>
      <c r="E245" s="1">
        <v>0</v>
      </c>
      <c r="F245" s="1">
        <v>25.01</v>
      </c>
      <c r="G245" s="1">
        <v>165.04300000000001</v>
      </c>
      <c r="H245" s="1">
        <v>1625.8779999999999</v>
      </c>
      <c r="I245" s="1">
        <v>-1550.636</v>
      </c>
    </row>
    <row r="246" spans="1:9" hidden="1" x14ac:dyDescent="0.25">
      <c r="A246" s="1" t="s">
        <v>125</v>
      </c>
      <c r="B246" s="1" t="s">
        <v>255</v>
      </c>
      <c r="C246" s="1" t="s">
        <v>143</v>
      </c>
      <c r="D246" s="1">
        <v>233.92</v>
      </c>
      <c r="E246" s="1">
        <v>0</v>
      </c>
      <c r="F246" s="1">
        <v>-25.01</v>
      </c>
      <c r="G246" s="1">
        <v>-165.04300000000001</v>
      </c>
      <c r="H246" s="1">
        <v>1403.51</v>
      </c>
      <c r="I246" s="1">
        <v>-1403.51</v>
      </c>
    </row>
    <row r="247" spans="1:9" hidden="1" x14ac:dyDescent="0.25">
      <c r="A247" s="1" t="s">
        <v>125</v>
      </c>
      <c r="B247" s="1" t="s">
        <v>255</v>
      </c>
      <c r="C247" s="1" t="s">
        <v>3</v>
      </c>
      <c r="D247" s="1">
        <v>258.44</v>
      </c>
      <c r="E247" s="1">
        <v>0</v>
      </c>
      <c r="F247" s="1">
        <v>-25.01</v>
      </c>
      <c r="G247" s="1">
        <v>-165.04300000000001</v>
      </c>
      <c r="H247" s="1">
        <v>1475.393</v>
      </c>
      <c r="I247" s="1">
        <v>-1550.636</v>
      </c>
    </row>
    <row r="248" spans="1:9" hidden="1" x14ac:dyDescent="0.25">
      <c r="A248" s="1" t="s">
        <v>125</v>
      </c>
      <c r="B248" s="1" t="s">
        <v>256</v>
      </c>
      <c r="C248" s="1" t="s">
        <v>143</v>
      </c>
      <c r="D248" s="1">
        <v>167.08</v>
      </c>
      <c r="E248" s="1">
        <v>0</v>
      </c>
      <c r="F248" s="1">
        <v>25.01</v>
      </c>
      <c r="G248" s="1">
        <v>165.04300000000001</v>
      </c>
      <c r="H248" s="1">
        <v>1002.5069999999999</v>
      </c>
      <c r="I248" s="1">
        <v>-1002.5069999999999</v>
      </c>
    </row>
    <row r="249" spans="1:9" hidden="1" x14ac:dyDescent="0.25">
      <c r="A249" s="1" t="s">
        <v>125</v>
      </c>
      <c r="B249" s="1" t="s">
        <v>256</v>
      </c>
      <c r="C249" s="1" t="s">
        <v>3</v>
      </c>
      <c r="D249" s="1">
        <v>184.6</v>
      </c>
      <c r="E249" s="1">
        <v>0</v>
      </c>
      <c r="F249" s="1">
        <v>25.01</v>
      </c>
      <c r="G249" s="1">
        <v>165.04300000000001</v>
      </c>
      <c r="H249" s="1">
        <v>1182.8399999999999</v>
      </c>
      <c r="I249" s="1">
        <v>-1107.597</v>
      </c>
    </row>
    <row r="250" spans="1:9" hidden="1" x14ac:dyDescent="0.25">
      <c r="A250" s="1" t="s">
        <v>125</v>
      </c>
      <c r="B250" s="1" t="s">
        <v>257</v>
      </c>
      <c r="C250" s="1" t="s">
        <v>143</v>
      </c>
      <c r="D250" s="1">
        <v>167.08</v>
      </c>
      <c r="E250" s="1">
        <v>0</v>
      </c>
      <c r="F250" s="1">
        <v>-25.01</v>
      </c>
      <c r="G250" s="1">
        <v>-165.04300000000001</v>
      </c>
      <c r="H250" s="1">
        <v>1002.5069999999999</v>
      </c>
      <c r="I250" s="1">
        <v>-1002.5069999999999</v>
      </c>
    </row>
    <row r="251" spans="1:9" hidden="1" x14ac:dyDescent="0.25">
      <c r="A251" s="1" t="s">
        <v>125</v>
      </c>
      <c r="B251" s="1" t="s">
        <v>257</v>
      </c>
      <c r="C251" s="1" t="s">
        <v>3</v>
      </c>
      <c r="D251" s="1">
        <v>184.6</v>
      </c>
      <c r="E251" s="1">
        <v>0</v>
      </c>
      <c r="F251" s="1">
        <v>-25.01</v>
      </c>
      <c r="G251" s="1">
        <v>-165.04300000000001</v>
      </c>
      <c r="H251" s="1">
        <v>1032.354</v>
      </c>
      <c r="I251" s="1">
        <v>-1107.597</v>
      </c>
    </row>
    <row r="252" spans="1:9" hidden="1" x14ac:dyDescent="0.25">
      <c r="A252" s="1" t="s">
        <v>126</v>
      </c>
      <c r="B252" s="1" t="s">
        <v>2</v>
      </c>
      <c r="C252" s="1" t="s">
        <v>143</v>
      </c>
      <c r="D252" s="1">
        <v>468.91</v>
      </c>
      <c r="E252" s="1">
        <v>0</v>
      </c>
      <c r="F252" s="1">
        <v>0</v>
      </c>
      <c r="G252" s="1">
        <v>0</v>
      </c>
      <c r="H252" s="1">
        <v>2813.4720000000002</v>
      </c>
      <c r="I252" s="1">
        <v>-2813.4720000000002</v>
      </c>
    </row>
    <row r="253" spans="1:9" hidden="1" x14ac:dyDescent="0.25">
      <c r="A253" s="1" t="s">
        <v>126</v>
      </c>
      <c r="B253" s="1" t="s">
        <v>2</v>
      </c>
      <c r="C253" s="1" t="s">
        <v>3</v>
      </c>
      <c r="D253" s="1">
        <v>492.27</v>
      </c>
      <c r="E253" s="1">
        <v>0</v>
      </c>
      <c r="F253" s="1">
        <v>0</v>
      </c>
      <c r="G253" s="1">
        <v>0</v>
      </c>
      <c r="H253" s="1">
        <v>2953.5920000000001</v>
      </c>
      <c r="I253" s="1">
        <v>-2953.5920000000001</v>
      </c>
    </row>
    <row r="254" spans="1:9" hidden="1" x14ac:dyDescent="0.25">
      <c r="A254" s="1" t="s">
        <v>126</v>
      </c>
      <c r="B254" s="1" t="s">
        <v>144</v>
      </c>
      <c r="C254" s="1" t="s">
        <v>143</v>
      </c>
      <c r="D254" s="1">
        <v>86.4</v>
      </c>
      <c r="E254" s="1">
        <v>0</v>
      </c>
      <c r="F254" s="1">
        <v>0</v>
      </c>
      <c r="G254" s="1">
        <v>0</v>
      </c>
      <c r="H254" s="1">
        <v>518.4</v>
      </c>
      <c r="I254" s="1">
        <v>-518.4</v>
      </c>
    </row>
    <row r="255" spans="1:9" x14ac:dyDescent="0.25">
      <c r="A255" s="1" t="s">
        <v>126</v>
      </c>
      <c r="B255" s="1" t="s">
        <v>144</v>
      </c>
      <c r="C255" s="1" t="s">
        <v>3</v>
      </c>
      <c r="D255" s="1">
        <v>86.4</v>
      </c>
      <c r="E255" s="1">
        <v>0</v>
      </c>
      <c r="F255" s="1">
        <v>0</v>
      </c>
      <c r="G255" s="1">
        <v>0</v>
      </c>
      <c r="H255" s="1">
        <v>518.4</v>
      </c>
      <c r="I255" s="1">
        <v>-518.4</v>
      </c>
    </row>
    <row r="256" spans="1:9" hidden="1" x14ac:dyDescent="0.25">
      <c r="A256" s="1" t="s">
        <v>126</v>
      </c>
      <c r="B256" s="1" t="s">
        <v>12</v>
      </c>
      <c r="C256" s="1" t="s">
        <v>143</v>
      </c>
      <c r="D256" s="1">
        <v>0</v>
      </c>
      <c r="E256" s="1">
        <v>-177.77</v>
      </c>
      <c r="F256" s="1">
        <v>0</v>
      </c>
      <c r="G256" s="1">
        <v>1173.2660000000001</v>
      </c>
      <c r="H256" s="1">
        <v>0</v>
      </c>
      <c r="I256" s="1">
        <v>-299.06700000000001</v>
      </c>
    </row>
    <row r="257" spans="1:9" hidden="1" x14ac:dyDescent="0.25">
      <c r="A257" s="1" t="s">
        <v>126</v>
      </c>
      <c r="B257" s="1" t="s">
        <v>12</v>
      </c>
      <c r="C257" s="1" t="s">
        <v>3</v>
      </c>
      <c r="D257" s="1">
        <v>0</v>
      </c>
      <c r="E257" s="1">
        <v>-177.77</v>
      </c>
      <c r="F257" s="1">
        <v>0</v>
      </c>
      <c r="G257" s="1">
        <v>1173.2660000000001</v>
      </c>
      <c r="H257" s="1">
        <v>0</v>
      </c>
      <c r="I257" s="1">
        <v>-835.30700000000002</v>
      </c>
    </row>
    <row r="258" spans="1:9" hidden="1" x14ac:dyDescent="0.25">
      <c r="A258" s="1" t="s">
        <v>126</v>
      </c>
      <c r="B258" s="1" t="s">
        <v>13</v>
      </c>
      <c r="C258" s="1" t="s">
        <v>143</v>
      </c>
      <c r="D258" s="1">
        <v>0</v>
      </c>
      <c r="E258" s="1">
        <v>-177.77</v>
      </c>
      <c r="F258" s="1">
        <v>0</v>
      </c>
      <c r="G258" s="1">
        <v>959.94500000000005</v>
      </c>
      <c r="H258" s="1">
        <v>0</v>
      </c>
      <c r="I258" s="1">
        <v>-299.06700000000001</v>
      </c>
    </row>
    <row r="259" spans="1:9" hidden="1" x14ac:dyDescent="0.25">
      <c r="A259" s="1" t="s">
        <v>126</v>
      </c>
      <c r="B259" s="1" t="s">
        <v>13</v>
      </c>
      <c r="C259" s="1" t="s">
        <v>3</v>
      </c>
      <c r="D259" s="1">
        <v>0</v>
      </c>
      <c r="E259" s="1">
        <v>-177.77</v>
      </c>
      <c r="F259" s="1">
        <v>0</v>
      </c>
      <c r="G259" s="1">
        <v>959.94500000000005</v>
      </c>
      <c r="H259" s="1">
        <v>0</v>
      </c>
      <c r="I259" s="1">
        <v>-835.30700000000002</v>
      </c>
    </row>
    <row r="260" spans="1:9" hidden="1" x14ac:dyDescent="0.25">
      <c r="A260" s="1" t="s">
        <v>126</v>
      </c>
      <c r="B260" s="1" t="s">
        <v>14</v>
      </c>
      <c r="C260" s="1" t="s">
        <v>143</v>
      </c>
      <c r="D260" s="1">
        <v>0</v>
      </c>
      <c r="E260" s="1">
        <v>0</v>
      </c>
      <c r="F260" s="1">
        <v>-177.77</v>
      </c>
      <c r="G260" s="1">
        <v>-1173.2660000000001</v>
      </c>
      <c r="H260" s="1">
        <v>299.06700000000001</v>
      </c>
      <c r="I260" s="1">
        <v>0</v>
      </c>
    </row>
    <row r="261" spans="1:9" hidden="1" x14ac:dyDescent="0.25">
      <c r="A261" s="1" t="s">
        <v>126</v>
      </c>
      <c r="B261" s="1" t="s">
        <v>14</v>
      </c>
      <c r="C261" s="1" t="s">
        <v>3</v>
      </c>
      <c r="D261" s="1">
        <v>0</v>
      </c>
      <c r="E261" s="1">
        <v>0</v>
      </c>
      <c r="F261" s="1">
        <v>-177.77</v>
      </c>
      <c r="G261" s="1">
        <v>-1173.2660000000001</v>
      </c>
      <c r="H261" s="1">
        <v>835.30700000000002</v>
      </c>
      <c r="I261" s="1">
        <v>0</v>
      </c>
    </row>
    <row r="262" spans="1:9" hidden="1" x14ac:dyDescent="0.25">
      <c r="A262" s="1" t="s">
        <v>126</v>
      </c>
      <c r="B262" s="1" t="s">
        <v>15</v>
      </c>
      <c r="C262" s="1" t="s">
        <v>143</v>
      </c>
      <c r="D262" s="1">
        <v>0</v>
      </c>
      <c r="E262" s="1">
        <v>0</v>
      </c>
      <c r="F262" s="1">
        <v>-177.77</v>
      </c>
      <c r="G262" s="1">
        <v>-959.94500000000005</v>
      </c>
      <c r="H262" s="1">
        <v>299.06700000000001</v>
      </c>
      <c r="I262" s="1">
        <v>0</v>
      </c>
    </row>
    <row r="263" spans="1:9" hidden="1" x14ac:dyDescent="0.25">
      <c r="A263" s="1" t="s">
        <v>126</v>
      </c>
      <c r="B263" s="1" t="s">
        <v>15</v>
      </c>
      <c r="C263" s="1" t="s">
        <v>3</v>
      </c>
      <c r="D263" s="1">
        <v>0</v>
      </c>
      <c r="E263" s="1">
        <v>0</v>
      </c>
      <c r="F263" s="1">
        <v>-177.77</v>
      </c>
      <c r="G263" s="1">
        <v>-959.94500000000005</v>
      </c>
      <c r="H263" s="1">
        <v>835.30700000000002</v>
      </c>
      <c r="I263" s="1">
        <v>0</v>
      </c>
    </row>
    <row r="264" spans="1:9" hidden="1" x14ac:dyDescent="0.25">
      <c r="A264" s="1" t="s">
        <v>126</v>
      </c>
      <c r="B264" s="1" t="s">
        <v>145</v>
      </c>
      <c r="C264" s="1" t="s">
        <v>143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</row>
    <row r="265" spans="1:9" hidden="1" x14ac:dyDescent="0.25">
      <c r="A265" s="1" t="s">
        <v>126</v>
      </c>
      <c r="B265" s="1" t="s">
        <v>145</v>
      </c>
      <c r="C265" s="1" t="s">
        <v>3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</row>
    <row r="266" spans="1:9" hidden="1" x14ac:dyDescent="0.25">
      <c r="A266" s="1" t="s">
        <v>126</v>
      </c>
      <c r="B266" s="1" t="s">
        <v>146</v>
      </c>
      <c r="C266" s="1" t="s">
        <v>143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</row>
    <row r="267" spans="1:9" hidden="1" x14ac:dyDescent="0.25">
      <c r="A267" s="1" t="s">
        <v>126</v>
      </c>
      <c r="B267" s="1" t="s">
        <v>146</v>
      </c>
      <c r="C267" s="1" t="s">
        <v>3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</row>
    <row r="268" spans="1:9" hidden="1" x14ac:dyDescent="0.25">
      <c r="A268" s="1" t="s">
        <v>126</v>
      </c>
      <c r="B268" s="1" t="s">
        <v>147</v>
      </c>
      <c r="C268" s="1" t="s">
        <v>143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</row>
    <row r="269" spans="1:9" hidden="1" x14ac:dyDescent="0.25">
      <c r="A269" s="1" t="s">
        <v>126</v>
      </c>
      <c r="B269" s="1" t="s">
        <v>147</v>
      </c>
      <c r="C269" s="1" t="s">
        <v>3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</row>
    <row r="270" spans="1:9" hidden="1" x14ac:dyDescent="0.25">
      <c r="A270" s="1" t="s">
        <v>126</v>
      </c>
      <c r="B270" s="1" t="s">
        <v>148</v>
      </c>
      <c r="C270" s="1" t="s">
        <v>143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126</v>
      </c>
      <c r="B271" s="1" t="s">
        <v>148</v>
      </c>
      <c r="C271" s="1" t="s">
        <v>3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126</v>
      </c>
      <c r="B272" s="1" t="s">
        <v>149</v>
      </c>
      <c r="C272" s="1" t="s">
        <v>143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</row>
    <row r="273" spans="1:9" hidden="1" x14ac:dyDescent="0.25">
      <c r="A273" s="1" t="s">
        <v>126</v>
      </c>
      <c r="B273" s="1" t="s">
        <v>149</v>
      </c>
      <c r="C273" s="1" t="s">
        <v>3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</row>
    <row r="274" spans="1:9" hidden="1" x14ac:dyDescent="0.25">
      <c r="A274" s="1" t="s">
        <v>126</v>
      </c>
      <c r="B274" s="1" t="s">
        <v>150</v>
      </c>
      <c r="C274" s="1" t="s">
        <v>143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</row>
    <row r="275" spans="1:9" hidden="1" x14ac:dyDescent="0.25">
      <c r="A275" s="1" t="s">
        <v>126</v>
      </c>
      <c r="B275" s="1" t="s">
        <v>150</v>
      </c>
      <c r="C275" s="1" t="s">
        <v>3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</row>
    <row r="276" spans="1:9" hidden="1" x14ac:dyDescent="0.25">
      <c r="A276" s="1" t="s">
        <v>126</v>
      </c>
      <c r="B276" s="1" t="s">
        <v>16</v>
      </c>
      <c r="C276" s="1" t="s">
        <v>143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</row>
    <row r="277" spans="1:9" hidden="1" x14ac:dyDescent="0.25">
      <c r="A277" s="1" t="s">
        <v>126</v>
      </c>
      <c r="B277" s="1" t="s">
        <v>16</v>
      </c>
      <c r="C277" s="1" t="s">
        <v>3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</row>
    <row r="278" spans="1:9" hidden="1" x14ac:dyDescent="0.25">
      <c r="A278" s="1" t="s">
        <v>126</v>
      </c>
      <c r="B278" s="1" t="s">
        <v>151</v>
      </c>
      <c r="C278" s="1" t="s">
        <v>143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</row>
    <row r="279" spans="1:9" hidden="1" x14ac:dyDescent="0.25">
      <c r="A279" s="1" t="s">
        <v>126</v>
      </c>
      <c r="B279" s="1" t="s">
        <v>151</v>
      </c>
      <c r="C279" s="1" t="s">
        <v>3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</row>
    <row r="280" spans="1:9" hidden="1" x14ac:dyDescent="0.25">
      <c r="A280" s="1" t="s">
        <v>126</v>
      </c>
      <c r="B280" s="1" t="s">
        <v>152</v>
      </c>
      <c r="C280" s="1" t="s">
        <v>143</v>
      </c>
      <c r="D280" s="1">
        <v>0</v>
      </c>
      <c r="E280" s="1">
        <v>-32.35</v>
      </c>
      <c r="F280" s="1">
        <v>0</v>
      </c>
      <c r="G280" s="1">
        <v>194.12700000000001</v>
      </c>
      <c r="H280" s="1">
        <v>0</v>
      </c>
      <c r="I280" s="1">
        <v>-7.1999999999999995E-2</v>
      </c>
    </row>
    <row r="281" spans="1:9" hidden="1" x14ac:dyDescent="0.25">
      <c r="A281" s="1" t="s">
        <v>126</v>
      </c>
      <c r="B281" s="1" t="s">
        <v>152</v>
      </c>
      <c r="C281" s="1" t="s">
        <v>3</v>
      </c>
      <c r="D281" s="1">
        <v>0</v>
      </c>
      <c r="E281" s="1">
        <v>-32.35</v>
      </c>
      <c r="F281" s="1">
        <v>0</v>
      </c>
      <c r="G281" s="1">
        <v>194.12700000000001</v>
      </c>
      <c r="H281" s="1">
        <v>0</v>
      </c>
      <c r="I281" s="1">
        <v>-97.68</v>
      </c>
    </row>
    <row r="282" spans="1:9" hidden="1" x14ac:dyDescent="0.25">
      <c r="A282" s="1" t="s">
        <v>126</v>
      </c>
      <c r="B282" s="1" t="s">
        <v>153</v>
      </c>
      <c r="C282" s="1" t="s">
        <v>143</v>
      </c>
      <c r="D282" s="1">
        <v>0</v>
      </c>
      <c r="E282" s="1">
        <v>0</v>
      </c>
      <c r="F282" s="1">
        <v>-32.35</v>
      </c>
      <c r="G282" s="1">
        <v>-194.12700000000001</v>
      </c>
      <c r="H282" s="1">
        <v>7.1999999999999995E-2</v>
      </c>
      <c r="I282" s="1">
        <v>0</v>
      </c>
    </row>
    <row r="283" spans="1:9" hidden="1" x14ac:dyDescent="0.25">
      <c r="A283" s="1" t="s">
        <v>126</v>
      </c>
      <c r="B283" s="1" t="s">
        <v>153</v>
      </c>
      <c r="C283" s="1" t="s">
        <v>3</v>
      </c>
      <c r="D283" s="1">
        <v>0</v>
      </c>
      <c r="E283" s="1">
        <v>0</v>
      </c>
      <c r="F283" s="1">
        <v>-32.35</v>
      </c>
      <c r="G283" s="1">
        <v>-194.12700000000001</v>
      </c>
      <c r="H283" s="1">
        <v>97.68</v>
      </c>
      <c r="I283" s="1">
        <v>0</v>
      </c>
    </row>
    <row r="284" spans="1:9" hidden="1" x14ac:dyDescent="0.25">
      <c r="A284" s="1" t="s">
        <v>126</v>
      </c>
      <c r="B284" s="1" t="s">
        <v>154</v>
      </c>
      <c r="C284" s="1" t="s">
        <v>143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</row>
    <row r="285" spans="1:9" hidden="1" x14ac:dyDescent="0.25">
      <c r="A285" s="1" t="s">
        <v>126</v>
      </c>
      <c r="B285" s="1" t="s">
        <v>154</v>
      </c>
      <c r="C285" s="1" t="s">
        <v>3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</row>
    <row r="286" spans="1:9" hidden="1" x14ac:dyDescent="0.25">
      <c r="A286" s="1" t="s">
        <v>126</v>
      </c>
      <c r="B286" s="1" t="s">
        <v>155</v>
      </c>
      <c r="C286" s="1" t="s">
        <v>143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</row>
    <row r="287" spans="1:9" hidden="1" x14ac:dyDescent="0.25">
      <c r="A287" s="1" t="s">
        <v>126</v>
      </c>
      <c r="B287" s="1" t="s">
        <v>155</v>
      </c>
      <c r="C287" s="1" t="s">
        <v>3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</row>
    <row r="288" spans="1:9" hidden="1" x14ac:dyDescent="0.25">
      <c r="A288" s="1" t="s">
        <v>126</v>
      </c>
      <c r="B288" s="1" t="s">
        <v>156</v>
      </c>
      <c r="C288" s="1" t="s">
        <v>143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</row>
    <row r="289" spans="1:9" hidden="1" x14ac:dyDescent="0.25">
      <c r="A289" s="1" t="s">
        <v>126</v>
      </c>
      <c r="B289" s="1" t="s">
        <v>156</v>
      </c>
      <c r="C289" s="1" t="s">
        <v>3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</row>
    <row r="290" spans="1:9" hidden="1" x14ac:dyDescent="0.25">
      <c r="A290" s="1" t="s">
        <v>126</v>
      </c>
      <c r="B290" s="1" t="s">
        <v>4</v>
      </c>
      <c r="C290" s="1" t="s">
        <v>143</v>
      </c>
      <c r="D290" s="1">
        <v>0</v>
      </c>
      <c r="E290" s="1">
        <v>145.57</v>
      </c>
      <c r="F290" s="1">
        <v>0</v>
      </c>
      <c r="G290" s="1">
        <v>961.47</v>
      </c>
      <c r="H290" s="1">
        <v>0</v>
      </c>
      <c r="I290" s="1">
        <v>228.00800000000001</v>
      </c>
    </row>
    <row r="291" spans="1:9" hidden="1" x14ac:dyDescent="0.25">
      <c r="A291" s="1" t="s">
        <v>126</v>
      </c>
      <c r="B291" s="1" t="s">
        <v>4</v>
      </c>
      <c r="C291" s="1" t="s">
        <v>3</v>
      </c>
      <c r="D291" s="1">
        <v>0</v>
      </c>
      <c r="E291" s="1">
        <v>145.57</v>
      </c>
      <c r="F291" s="1">
        <v>0</v>
      </c>
      <c r="G291" s="1">
        <v>961.47</v>
      </c>
      <c r="H291" s="1">
        <v>0</v>
      </c>
      <c r="I291" s="1">
        <v>666.04499999999996</v>
      </c>
    </row>
    <row r="292" spans="1:9" hidden="1" x14ac:dyDescent="0.25">
      <c r="A292" s="1" t="s">
        <v>126</v>
      </c>
      <c r="B292" s="1" t="s">
        <v>5</v>
      </c>
      <c r="C292" s="1" t="s">
        <v>143</v>
      </c>
      <c r="D292" s="1">
        <v>0</v>
      </c>
      <c r="E292" s="1">
        <v>0</v>
      </c>
      <c r="F292" s="1">
        <v>145.57</v>
      </c>
      <c r="G292" s="1">
        <v>961.47</v>
      </c>
      <c r="H292" s="1">
        <v>228.00800000000001</v>
      </c>
      <c r="I292" s="1">
        <v>0</v>
      </c>
    </row>
    <row r="293" spans="1:9" hidden="1" x14ac:dyDescent="0.25">
      <c r="A293" s="1" t="s">
        <v>126</v>
      </c>
      <c r="B293" s="1" t="s">
        <v>5</v>
      </c>
      <c r="C293" s="1" t="s">
        <v>3</v>
      </c>
      <c r="D293" s="1">
        <v>0</v>
      </c>
      <c r="E293" s="1">
        <v>0</v>
      </c>
      <c r="F293" s="1">
        <v>145.57</v>
      </c>
      <c r="G293" s="1">
        <v>961.47</v>
      </c>
      <c r="H293" s="1">
        <v>666.04499999999996</v>
      </c>
      <c r="I293" s="1">
        <v>0</v>
      </c>
    </row>
    <row r="294" spans="1:9" hidden="1" x14ac:dyDescent="0.25">
      <c r="A294" s="1" t="s">
        <v>126</v>
      </c>
      <c r="B294" s="1" t="s">
        <v>6</v>
      </c>
      <c r="C294" s="1" t="s">
        <v>143</v>
      </c>
      <c r="D294" s="1">
        <v>70.34</v>
      </c>
      <c r="E294" s="1">
        <v>0</v>
      </c>
      <c r="F294" s="1">
        <v>0</v>
      </c>
      <c r="G294" s="1">
        <v>0</v>
      </c>
      <c r="H294" s="1">
        <v>422.02100000000002</v>
      </c>
      <c r="I294" s="1">
        <v>-422.02100000000002</v>
      </c>
    </row>
    <row r="295" spans="1:9" hidden="1" x14ac:dyDescent="0.25">
      <c r="A295" s="1" t="s">
        <v>126</v>
      </c>
      <c r="B295" s="1" t="s">
        <v>6</v>
      </c>
      <c r="C295" s="1" t="s">
        <v>3</v>
      </c>
      <c r="D295" s="1">
        <v>73.84</v>
      </c>
      <c r="E295" s="1">
        <v>0</v>
      </c>
      <c r="F295" s="1">
        <v>0</v>
      </c>
      <c r="G295" s="1">
        <v>0</v>
      </c>
      <c r="H295" s="1">
        <v>443.03899999999999</v>
      </c>
      <c r="I295" s="1">
        <v>-443.03899999999999</v>
      </c>
    </row>
    <row r="296" spans="1:9" hidden="1" x14ac:dyDescent="0.25">
      <c r="A296" s="1" t="s">
        <v>126</v>
      </c>
      <c r="B296" s="1" t="s">
        <v>7</v>
      </c>
      <c r="C296" s="1" t="s">
        <v>143</v>
      </c>
      <c r="D296" s="1">
        <v>0</v>
      </c>
      <c r="E296" s="1">
        <v>174.68</v>
      </c>
      <c r="F296" s="1">
        <v>0</v>
      </c>
      <c r="G296" s="1">
        <v>1153.7639999999999</v>
      </c>
      <c r="H296" s="1">
        <v>0</v>
      </c>
      <c r="I296" s="1">
        <v>273.61</v>
      </c>
    </row>
    <row r="297" spans="1:9" hidden="1" x14ac:dyDescent="0.25">
      <c r="A297" s="1" t="s">
        <v>126</v>
      </c>
      <c r="B297" s="1" t="s">
        <v>7</v>
      </c>
      <c r="C297" s="1" t="s">
        <v>3</v>
      </c>
      <c r="D297" s="1">
        <v>0</v>
      </c>
      <c r="E297" s="1">
        <v>174.68</v>
      </c>
      <c r="F297" s="1">
        <v>0</v>
      </c>
      <c r="G297" s="1">
        <v>1153.7639999999999</v>
      </c>
      <c r="H297" s="1">
        <v>0</v>
      </c>
      <c r="I297" s="1">
        <v>799.25400000000002</v>
      </c>
    </row>
    <row r="298" spans="1:9" hidden="1" x14ac:dyDescent="0.25">
      <c r="A298" s="1" t="s">
        <v>126</v>
      </c>
      <c r="B298" s="1" t="s">
        <v>157</v>
      </c>
      <c r="C298" s="1" t="s">
        <v>143</v>
      </c>
      <c r="D298" s="1">
        <v>0</v>
      </c>
      <c r="E298" s="1">
        <v>-174.68</v>
      </c>
      <c r="F298" s="1">
        <v>0</v>
      </c>
      <c r="G298" s="1">
        <v>-1153.7639999999999</v>
      </c>
      <c r="H298" s="1">
        <v>0</v>
      </c>
      <c r="I298" s="1">
        <v>-273.61</v>
      </c>
    </row>
    <row r="299" spans="1:9" hidden="1" x14ac:dyDescent="0.25">
      <c r="A299" s="1" t="s">
        <v>126</v>
      </c>
      <c r="B299" s="1" t="s">
        <v>157</v>
      </c>
      <c r="C299" s="1" t="s">
        <v>3</v>
      </c>
      <c r="D299" s="1">
        <v>0</v>
      </c>
      <c r="E299" s="1">
        <v>-174.68</v>
      </c>
      <c r="F299" s="1">
        <v>0</v>
      </c>
      <c r="G299" s="1">
        <v>-1153.7639999999999</v>
      </c>
      <c r="H299" s="1">
        <v>0</v>
      </c>
      <c r="I299" s="1">
        <v>-799.25400000000002</v>
      </c>
    </row>
    <row r="300" spans="1:9" hidden="1" x14ac:dyDescent="0.25">
      <c r="A300" s="1" t="s">
        <v>126</v>
      </c>
      <c r="B300" s="1" t="s">
        <v>8</v>
      </c>
      <c r="C300" s="1" t="s">
        <v>143</v>
      </c>
      <c r="D300" s="1">
        <v>0</v>
      </c>
      <c r="E300" s="1">
        <v>0</v>
      </c>
      <c r="F300" s="1">
        <v>160.13</v>
      </c>
      <c r="G300" s="1">
        <v>1057.617</v>
      </c>
      <c r="H300" s="1">
        <v>250.809</v>
      </c>
      <c r="I300" s="1">
        <v>0</v>
      </c>
    </row>
    <row r="301" spans="1:9" hidden="1" x14ac:dyDescent="0.25">
      <c r="A301" s="1" t="s">
        <v>126</v>
      </c>
      <c r="B301" s="1" t="s">
        <v>8</v>
      </c>
      <c r="C301" s="1" t="s">
        <v>3</v>
      </c>
      <c r="D301" s="1">
        <v>0</v>
      </c>
      <c r="E301" s="1">
        <v>0</v>
      </c>
      <c r="F301" s="1">
        <v>160.13</v>
      </c>
      <c r="G301" s="1">
        <v>1057.617</v>
      </c>
      <c r="H301" s="1">
        <v>732.65</v>
      </c>
      <c r="I301" s="1">
        <v>0</v>
      </c>
    </row>
    <row r="302" spans="1:9" hidden="1" x14ac:dyDescent="0.25">
      <c r="A302" s="1" t="s">
        <v>126</v>
      </c>
      <c r="B302" s="1" t="s">
        <v>158</v>
      </c>
      <c r="C302" s="1" t="s">
        <v>143</v>
      </c>
      <c r="D302" s="1">
        <v>0</v>
      </c>
      <c r="E302" s="1">
        <v>0</v>
      </c>
      <c r="F302" s="1">
        <v>-160.13</v>
      </c>
      <c r="G302" s="1">
        <v>-1057.617</v>
      </c>
      <c r="H302" s="1">
        <v>-250.809</v>
      </c>
      <c r="I302" s="1">
        <v>0</v>
      </c>
    </row>
    <row r="303" spans="1:9" hidden="1" x14ac:dyDescent="0.25">
      <c r="A303" s="1" t="s">
        <v>126</v>
      </c>
      <c r="B303" s="1" t="s">
        <v>158</v>
      </c>
      <c r="C303" s="1" t="s">
        <v>3</v>
      </c>
      <c r="D303" s="1">
        <v>0</v>
      </c>
      <c r="E303" s="1">
        <v>0</v>
      </c>
      <c r="F303" s="1">
        <v>-160.13</v>
      </c>
      <c r="G303" s="1">
        <v>-1057.617</v>
      </c>
      <c r="H303" s="1">
        <v>-732.65</v>
      </c>
      <c r="I303" s="1">
        <v>0</v>
      </c>
    </row>
    <row r="304" spans="1:9" hidden="1" x14ac:dyDescent="0.25">
      <c r="A304" s="1" t="s">
        <v>126</v>
      </c>
      <c r="B304" s="1" t="s">
        <v>159</v>
      </c>
      <c r="C304" s="1" t="s">
        <v>143</v>
      </c>
      <c r="D304" s="1">
        <v>656.48</v>
      </c>
      <c r="E304" s="1">
        <v>0</v>
      </c>
      <c r="F304" s="1">
        <v>0</v>
      </c>
      <c r="G304" s="1">
        <v>0</v>
      </c>
      <c r="H304" s="1">
        <v>3938.8609999999999</v>
      </c>
      <c r="I304" s="1">
        <v>-3938.8609999999999</v>
      </c>
    </row>
    <row r="305" spans="1:9" hidden="1" x14ac:dyDescent="0.25">
      <c r="A305" s="1" t="s">
        <v>126</v>
      </c>
      <c r="B305" s="1" t="s">
        <v>159</v>
      </c>
      <c r="C305" s="1" t="s">
        <v>3</v>
      </c>
      <c r="D305" s="1">
        <v>689.17</v>
      </c>
      <c r="E305" s="1">
        <v>0</v>
      </c>
      <c r="F305" s="1">
        <v>0</v>
      </c>
      <c r="G305" s="1">
        <v>0</v>
      </c>
      <c r="H305" s="1">
        <v>4135.0280000000002</v>
      </c>
      <c r="I305" s="1">
        <v>-4135.0280000000002</v>
      </c>
    </row>
    <row r="306" spans="1:9" hidden="1" x14ac:dyDescent="0.25">
      <c r="A306" s="1" t="s">
        <v>126</v>
      </c>
      <c r="B306" s="1" t="s">
        <v>160</v>
      </c>
      <c r="C306" s="1" t="s">
        <v>143</v>
      </c>
      <c r="D306" s="1">
        <v>700.93</v>
      </c>
      <c r="E306" s="1">
        <v>0</v>
      </c>
      <c r="F306" s="1">
        <v>0</v>
      </c>
      <c r="G306" s="1">
        <v>0</v>
      </c>
      <c r="H306" s="1">
        <v>4205.607</v>
      </c>
      <c r="I306" s="1">
        <v>-4205.607</v>
      </c>
    </row>
    <row r="307" spans="1:9" hidden="1" x14ac:dyDescent="0.25">
      <c r="A307" s="1" t="s">
        <v>126</v>
      </c>
      <c r="B307" s="1" t="s">
        <v>160</v>
      </c>
      <c r="C307" s="1" t="s">
        <v>3</v>
      </c>
      <c r="D307" s="1">
        <v>728.96</v>
      </c>
      <c r="E307" s="1">
        <v>0</v>
      </c>
      <c r="F307" s="1">
        <v>0</v>
      </c>
      <c r="G307" s="1">
        <v>0</v>
      </c>
      <c r="H307" s="1">
        <v>4373.75</v>
      </c>
      <c r="I307" s="1">
        <v>-4373.75</v>
      </c>
    </row>
    <row r="308" spans="1:9" hidden="1" x14ac:dyDescent="0.25">
      <c r="A308" s="1" t="s">
        <v>126</v>
      </c>
      <c r="B308" s="1" t="s">
        <v>161</v>
      </c>
      <c r="C308" s="1" t="s">
        <v>143</v>
      </c>
      <c r="D308" s="1">
        <v>605.89</v>
      </c>
      <c r="E308" s="1">
        <v>0</v>
      </c>
      <c r="F308" s="1">
        <v>0</v>
      </c>
      <c r="G308" s="1">
        <v>0</v>
      </c>
      <c r="H308" s="1">
        <v>3635.3670000000002</v>
      </c>
      <c r="I308" s="1">
        <v>-3635.3670000000002</v>
      </c>
    </row>
    <row r="309" spans="1:9" hidden="1" x14ac:dyDescent="0.25">
      <c r="A309" s="1" t="s">
        <v>126</v>
      </c>
      <c r="B309" s="1" t="s">
        <v>161</v>
      </c>
      <c r="C309" s="1" t="s">
        <v>3</v>
      </c>
      <c r="D309" s="1">
        <v>633.91999999999996</v>
      </c>
      <c r="E309" s="1">
        <v>0</v>
      </c>
      <c r="F309" s="1">
        <v>0</v>
      </c>
      <c r="G309" s="1">
        <v>0</v>
      </c>
      <c r="H309" s="1">
        <v>3803.51</v>
      </c>
      <c r="I309" s="1">
        <v>-3803.51</v>
      </c>
    </row>
    <row r="310" spans="1:9" hidden="1" x14ac:dyDescent="0.25">
      <c r="A310" s="1" t="s">
        <v>126</v>
      </c>
      <c r="B310" s="1" t="s">
        <v>162</v>
      </c>
      <c r="C310" s="1" t="s">
        <v>143</v>
      </c>
      <c r="D310" s="1">
        <v>627</v>
      </c>
      <c r="E310" s="1">
        <v>-177.77</v>
      </c>
      <c r="F310" s="1">
        <v>0</v>
      </c>
      <c r="G310" s="1">
        <v>1173.2660000000001</v>
      </c>
      <c r="H310" s="1">
        <v>3761.973</v>
      </c>
      <c r="I310" s="1">
        <v>-4061.0390000000002</v>
      </c>
    </row>
    <row r="311" spans="1:9" hidden="1" x14ac:dyDescent="0.25">
      <c r="A311" s="1" t="s">
        <v>126</v>
      </c>
      <c r="B311" s="1" t="s">
        <v>162</v>
      </c>
      <c r="C311" s="1" t="s">
        <v>3</v>
      </c>
      <c r="D311" s="1">
        <v>656.07</v>
      </c>
      <c r="E311" s="1">
        <v>-177.77</v>
      </c>
      <c r="F311" s="1">
        <v>0</v>
      </c>
      <c r="G311" s="1">
        <v>1173.2660000000001</v>
      </c>
      <c r="H311" s="1">
        <v>3936.422</v>
      </c>
      <c r="I311" s="1">
        <v>-4771.7290000000003</v>
      </c>
    </row>
    <row r="312" spans="1:9" hidden="1" x14ac:dyDescent="0.25">
      <c r="A312" s="1" t="s">
        <v>126</v>
      </c>
      <c r="B312" s="1" t="s">
        <v>163</v>
      </c>
      <c r="C312" s="1" t="s">
        <v>143</v>
      </c>
      <c r="D312" s="1">
        <v>627</v>
      </c>
      <c r="E312" s="1">
        <v>-177.77</v>
      </c>
      <c r="F312" s="1">
        <v>0</v>
      </c>
      <c r="G312" s="1">
        <v>959.94500000000005</v>
      </c>
      <c r="H312" s="1">
        <v>3761.973</v>
      </c>
      <c r="I312" s="1">
        <v>-4061.0390000000002</v>
      </c>
    </row>
    <row r="313" spans="1:9" hidden="1" x14ac:dyDescent="0.25">
      <c r="A313" s="1" t="s">
        <v>126</v>
      </c>
      <c r="B313" s="1" t="s">
        <v>163</v>
      </c>
      <c r="C313" s="1" t="s">
        <v>3</v>
      </c>
      <c r="D313" s="1">
        <v>656.07</v>
      </c>
      <c r="E313" s="1">
        <v>-177.77</v>
      </c>
      <c r="F313" s="1">
        <v>0</v>
      </c>
      <c r="G313" s="1">
        <v>959.94500000000005</v>
      </c>
      <c r="H313" s="1">
        <v>3936.422</v>
      </c>
      <c r="I313" s="1">
        <v>-4771.7290000000003</v>
      </c>
    </row>
    <row r="314" spans="1:9" hidden="1" x14ac:dyDescent="0.25">
      <c r="A314" s="1" t="s">
        <v>126</v>
      </c>
      <c r="B314" s="1" t="s">
        <v>164</v>
      </c>
      <c r="C314" s="1" t="s">
        <v>143</v>
      </c>
      <c r="D314" s="1">
        <v>627</v>
      </c>
      <c r="E314" s="1">
        <v>177.77</v>
      </c>
      <c r="F314" s="1">
        <v>0</v>
      </c>
      <c r="G314" s="1">
        <v>-1173.2660000000001</v>
      </c>
      <c r="H314" s="1">
        <v>3761.973</v>
      </c>
      <c r="I314" s="1">
        <v>-3462.9059999999999</v>
      </c>
    </row>
    <row r="315" spans="1:9" hidden="1" x14ac:dyDescent="0.25">
      <c r="A315" s="1" t="s">
        <v>126</v>
      </c>
      <c r="B315" s="1" t="s">
        <v>164</v>
      </c>
      <c r="C315" s="1" t="s">
        <v>3</v>
      </c>
      <c r="D315" s="1">
        <v>656.07</v>
      </c>
      <c r="E315" s="1">
        <v>177.77</v>
      </c>
      <c r="F315" s="1">
        <v>0</v>
      </c>
      <c r="G315" s="1">
        <v>-1173.2660000000001</v>
      </c>
      <c r="H315" s="1">
        <v>3936.422</v>
      </c>
      <c r="I315" s="1">
        <v>-3101.114</v>
      </c>
    </row>
    <row r="316" spans="1:9" hidden="1" x14ac:dyDescent="0.25">
      <c r="A316" s="1" t="s">
        <v>126</v>
      </c>
      <c r="B316" s="1" t="s">
        <v>165</v>
      </c>
      <c r="C316" s="1" t="s">
        <v>143</v>
      </c>
      <c r="D316" s="1">
        <v>627</v>
      </c>
      <c r="E316" s="1">
        <v>177.77</v>
      </c>
      <c r="F316" s="1">
        <v>0</v>
      </c>
      <c r="G316" s="1">
        <v>-959.94500000000005</v>
      </c>
      <c r="H316" s="1">
        <v>3761.973</v>
      </c>
      <c r="I316" s="1">
        <v>-3462.9059999999999</v>
      </c>
    </row>
    <row r="317" spans="1:9" hidden="1" x14ac:dyDescent="0.25">
      <c r="A317" s="1" t="s">
        <v>126</v>
      </c>
      <c r="B317" s="1" t="s">
        <v>165</v>
      </c>
      <c r="C317" s="1" t="s">
        <v>3</v>
      </c>
      <c r="D317" s="1">
        <v>656.07</v>
      </c>
      <c r="E317" s="1">
        <v>177.77</v>
      </c>
      <c r="F317" s="1">
        <v>0</v>
      </c>
      <c r="G317" s="1">
        <v>-959.94500000000005</v>
      </c>
      <c r="H317" s="1">
        <v>3936.422</v>
      </c>
      <c r="I317" s="1">
        <v>-3101.114</v>
      </c>
    </row>
    <row r="318" spans="1:9" hidden="1" x14ac:dyDescent="0.25">
      <c r="A318" s="1" t="s">
        <v>126</v>
      </c>
      <c r="B318" s="1" t="s">
        <v>166</v>
      </c>
      <c r="C318" s="1" t="s">
        <v>143</v>
      </c>
      <c r="D318" s="1">
        <v>627</v>
      </c>
      <c r="E318" s="1">
        <v>0</v>
      </c>
      <c r="F318" s="1">
        <v>-177.77</v>
      </c>
      <c r="G318" s="1">
        <v>-1173.2660000000001</v>
      </c>
      <c r="H318" s="1">
        <v>4061.0390000000002</v>
      </c>
      <c r="I318" s="1">
        <v>-3761.973</v>
      </c>
    </row>
    <row r="319" spans="1:9" hidden="1" x14ac:dyDescent="0.25">
      <c r="A319" s="1" t="s">
        <v>126</v>
      </c>
      <c r="B319" s="1" t="s">
        <v>166</v>
      </c>
      <c r="C319" s="1" t="s">
        <v>3</v>
      </c>
      <c r="D319" s="1">
        <v>656.07</v>
      </c>
      <c r="E319" s="1">
        <v>0</v>
      </c>
      <c r="F319" s="1">
        <v>-177.77</v>
      </c>
      <c r="G319" s="1">
        <v>-1173.2660000000001</v>
      </c>
      <c r="H319" s="1">
        <v>4771.7290000000003</v>
      </c>
      <c r="I319" s="1">
        <v>-3936.422</v>
      </c>
    </row>
    <row r="320" spans="1:9" hidden="1" x14ac:dyDescent="0.25">
      <c r="A320" s="1" t="s">
        <v>126</v>
      </c>
      <c r="B320" s="1" t="s">
        <v>167</v>
      </c>
      <c r="C320" s="1" t="s">
        <v>143</v>
      </c>
      <c r="D320" s="1">
        <v>627</v>
      </c>
      <c r="E320" s="1">
        <v>0</v>
      </c>
      <c r="F320" s="1">
        <v>-177.77</v>
      </c>
      <c r="G320" s="1">
        <v>-959.94500000000005</v>
      </c>
      <c r="H320" s="1">
        <v>4061.0390000000002</v>
      </c>
      <c r="I320" s="1">
        <v>-3761.973</v>
      </c>
    </row>
    <row r="321" spans="1:9" hidden="1" x14ac:dyDescent="0.25">
      <c r="A321" s="1" t="s">
        <v>126</v>
      </c>
      <c r="B321" s="1" t="s">
        <v>167</v>
      </c>
      <c r="C321" s="1" t="s">
        <v>3</v>
      </c>
      <c r="D321" s="1">
        <v>656.07</v>
      </c>
      <c r="E321" s="1">
        <v>0</v>
      </c>
      <c r="F321" s="1">
        <v>-177.77</v>
      </c>
      <c r="G321" s="1">
        <v>-959.94500000000005</v>
      </c>
      <c r="H321" s="1">
        <v>4771.7290000000003</v>
      </c>
      <c r="I321" s="1">
        <v>-3936.422</v>
      </c>
    </row>
    <row r="322" spans="1:9" hidden="1" x14ac:dyDescent="0.25">
      <c r="A322" s="1" t="s">
        <v>126</v>
      </c>
      <c r="B322" s="1" t="s">
        <v>168</v>
      </c>
      <c r="C322" s="1" t="s">
        <v>143</v>
      </c>
      <c r="D322" s="1">
        <v>627</v>
      </c>
      <c r="E322" s="1">
        <v>0</v>
      </c>
      <c r="F322" s="1">
        <v>177.77</v>
      </c>
      <c r="G322" s="1">
        <v>1173.2660000000001</v>
      </c>
      <c r="H322" s="1">
        <v>3462.9059999999999</v>
      </c>
      <c r="I322" s="1">
        <v>-3761.973</v>
      </c>
    </row>
    <row r="323" spans="1:9" hidden="1" x14ac:dyDescent="0.25">
      <c r="A323" s="1" t="s">
        <v>126</v>
      </c>
      <c r="B323" s="1" t="s">
        <v>168</v>
      </c>
      <c r="C323" s="1" t="s">
        <v>3</v>
      </c>
      <c r="D323" s="1">
        <v>656.07</v>
      </c>
      <c r="E323" s="1">
        <v>0</v>
      </c>
      <c r="F323" s="1">
        <v>177.77</v>
      </c>
      <c r="G323" s="1">
        <v>1173.2660000000001</v>
      </c>
      <c r="H323" s="1">
        <v>3101.114</v>
      </c>
      <c r="I323" s="1">
        <v>-3936.422</v>
      </c>
    </row>
    <row r="324" spans="1:9" hidden="1" x14ac:dyDescent="0.25">
      <c r="A324" s="1" t="s">
        <v>126</v>
      </c>
      <c r="B324" s="1" t="s">
        <v>169</v>
      </c>
      <c r="C324" s="1" t="s">
        <v>143</v>
      </c>
      <c r="D324" s="1">
        <v>627</v>
      </c>
      <c r="E324" s="1">
        <v>0</v>
      </c>
      <c r="F324" s="1">
        <v>177.77</v>
      </c>
      <c r="G324" s="1">
        <v>959.94500000000005</v>
      </c>
      <c r="H324" s="1">
        <v>3462.9059999999999</v>
      </c>
      <c r="I324" s="1">
        <v>-3761.973</v>
      </c>
    </row>
    <row r="325" spans="1:9" hidden="1" x14ac:dyDescent="0.25">
      <c r="A325" s="1" t="s">
        <v>126</v>
      </c>
      <c r="B325" s="1" t="s">
        <v>169</v>
      </c>
      <c r="C325" s="1" t="s">
        <v>3</v>
      </c>
      <c r="D325" s="1">
        <v>656.07</v>
      </c>
      <c r="E325" s="1">
        <v>0</v>
      </c>
      <c r="F325" s="1">
        <v>177.77</v>
      </c>
      <c r="G325" s="1">
        <v>959.94500000000005</v>
      </c>
      <c r="H325" s="1">
        <v>3101.114</v>
      </c>
      <c r="I325" s="1">
        <v>-3936.422</v>
      </c>
    </row>
    <row r="326" spans="1:9" hidden="1" x14ac:dyDescent="0.25">
      <c r="A326" s="1" t="s">
        <v>126</v>
      </c>
      <c r="B326" s="1" t="s">
        <v>170</v>
      </c>
      <c r="C326" s="1" t="s">
        <v>143</v>
      </c>
      <c r="D326" s="1">
        <v>584.79</v>
      </c>
      <c r="E326" s="1">
        <v>-177.77</v>
      </c>
      <c r="F326" s="1">
        <v>0</v>
      </c>
      <c r="G326" s="1">
        <v>1173.2660000000001</v>
      </c>
      <c r="H326" s="1">
        <v>3508.76</v>
      </c>
      <c r="I326" s="1">
        <v>-3807.8270000000002</v>
      </c>
    </row>
    <row r="327" spans="1:9" hidden="1" x14ac:dyDescent="0.25">
      <c r="A327" s="1" t="s">
        <v>126</v>
      </c>
      <c r="B327" s="1" t="s">
        <v>170</v>
      </c>
      <c r="C327" s="1" t="s">
        <v>3</v>
      </c>
      <c r="D327" s="1">
        <v>611.77</v>
      </c>
      <c r="E327" s="1">
        <v>-177.77</v>
      </c>
      <c r="F327" s="1">
        <v>0</v>
      </c>
      <c r="G327" s="1">
        <v>1173.2660000000001</v>
      </c>
      <c r="H327" s="1">
        <v>3670.5990000000002</v>
      </c>
      <c r="I327" s="1">
        <v>-4505.9059999999999</v>
      </c>
    </row>
    <row r="328" spans="1:9" hidden="1" x14ac:dyDescent="0.25">
      <c r="A328" s="1" t="s">
        <v>126</v>
      </c>
      <c r="B328" s="1" t="s">
        <v>171</v>
      </c>
      <c r="C328" s="1" t="s">
        <v>143</v>
      </c>
      <c r="D328" s="1">
        <v>584.79</v>
      </c>
      <c r="E328" s="1">
        <v>-177.77</v>
      </c>
      <c r="F328" s="1">
        <v>0</v>
      </c>
      <c r="G328" s="1">
        <v>959.94500000000005</v>
      </c>
      <c r="H328" s="1">
        <v>3508.76</v>
      </c>
      <c r="I328" s="1">
        <v>-3807.8270000000002</v>
      </c>
    </row>
    <row r="329" spans="1:9" hidden="1" x14ac:dyDescent="0.25">
      <c r="A329" s="1" t="s">
        <v>126</v>
      </c>
      <c r="B329" s="1" t="s">
        <v>171</v>
      </c>
      <c r="C329" s="1" t="s">
        <v>3</v>
      </c>
      <c r="D329" s="1">
        <v>611.77</v>
      </c>
      <c r="E329" s="1">
        <v>-177.77</v>
      </c>
      <c r="F329" s="1">
        <v>0</v>
      </c>
      <c r="G329" s="1">
        <v>959.94500000000005</v>
      </c>
      <c r="H329" s="1">
        <v>3670.5990000000002</v>
      </c>
      <c r="I329" s="1">
        <v>-4505.9059999999999</v>
      </c>
    </row>
    <row r="330" spans="1:9" hidden="1" x14ac:dyDescent="0.25">
      <c r="A330" s="1" t="s">
        <v>126</v>
      </c>
      <c r="B330" s="1" t="s">
        <v>172</v>
      </c>
      <c r="C330" s="1" t="s">
        <v>143</v>
      </c>
      <c r="D330" s="1">
        <v>584.79</v>
      </c>
      <c r="E330" s="1">
        <v>177.77</v>
      </c>
      <c r="F330" s="1">
        <v>0</v>
      </c>
      <c r="G330" s="1">
        <v>-1173.2660000000001</v>
      </c>
      <c r="H330" s="1">
        <v>3508.76</v>
      </c>
      <c r="I330" s="1">
        <v>-3209.694</v>
      </c>
    </row>
    <row r="331" spans="1:9" hidden="1" x14ac:dyDescent="0.25">
      <c r="A331" s="1" t="s">
        <v>126</v>
      </c>
      <c r="B331" s="1" t="s">
        <v>172</v>
      </c>
      <c r="C331" s="1" t="s">
        <v>3</v>
      </c>
      <c r="D331" s="1">
        <v>611.77</v>
      </c>
      <c r="E331" s="1">
        <v>177.77</v>
      </c>
      <c r="F331" s="1">
        <v>0</v>
      </c>
      <c r="G331" s="1">
        <v>-1173.2660000000001</v>
      </c>
      <c r="H331" s="1">
        <v>3670.5990000000002</v>
      </c>
      <c r="I331" s="1">
        <v>-2835.2910000000002</v>
      </c>
    </row>
    <row r="332" spans="1:9" hidden="1" x14ac:dyDescent="0.25">
      <c r="A332" s="1" t="s">
        <v>126</v>
      </c>
      <c r="B332" s="1" t="s">
        <v>173</v>
      </c>
      <c r="C332" s="1" t="s">
        <v>143</v>
      </c>
      <c r="D332" s="1">
        <v>584.79</v>
      </c>
      <c r="E332" s="1">
        <v>177.77</v>
      </c>
      <c r="F332" s="1">
        <v>0</v>
      </c>
      <c r="G332" s="1">
        <v>-959.94500000000005</v>
      </c>
      <c r="H332" s="1">
        <v>3508.76</v>
      </c>
      <c r="I332" s="1">
        <v>-3209.694</v>
      </c>
    </row>
    <row r="333" spans="1:9" hidden="1" x14ac:dyDescent="0.25">
      <c r="A333" s="1" t="s">
        <v>126</v>
      </c>
      <c r="B333" s="1" t="s">
        <v>173</v>
      </c>
      <c r="C333" s="1" t="s">
        <v>3</v>
      </c>
      <c r="D333" s="1">
        <v>611.77</v>
      </c>
      <c r="E333" s="1">
        <v>177.77</v>
      </c>
      <c r="F333" s="1">
        <v>0</v>
      </c>
      <c r="G333" s="1">
        <v>-959.94500000000005</v>
      </c>
      <c r="H333" s="1">
        <v>3670.5990000000002</v>
      </c>
      <c r="I333" s="1">
        <v>-2835.2910000000002</v>
      </c>
    </row>
    <row r="334" spans="1:9" hidden="1" x14ac:dyDescent="0.25">
      <c r="A334" s="1" t="s">
        <v>126</v>
      </c>
      <c r="B334" s="1" t="s">
        <v>174</v>
      </c>
      <c r="C334" s="1" t="s">
        <v>143</v>
      </c>
      <c r="D334" s="1">
        <v>584.79</v>
      </c>
      <c r="E334" s="1">
        <v>0</v>
      </c>
      <c r="F334" s="1">
        <v>-177.77</v>
      </c>
      <c r="G334" s="1">
        <v>-1173.2660000000001</v>
      </c>
      <c r="H334" s="1">
        <v>3807.8270000000002</v>
      </c>
      <c r="I334" s="1">
        <v>-3508.76</v>
      </c>
    </row>
    <row r="335" spans="1:9" hidden="1" x14ac:dyDescent="0.25">
      <c r="A335" s="1" t="s">
        <v>126</v>
      </c>
      <c r="B335" s="1" t="s">
        <v>174</v>
      </c>
      <c r="C335" s="1" t="s">
        <v>3</v>
      </c>
      <c r="D335" s="1">
        <v>611.77</v>
      </c>
      <c r="E335" s="1">
        <v>0</v>
      </c>
      <c r="F335" s="1">
        <v>-177.77</v>
      </c>
      <c r="G335" s="1">
        <v>-1173.2660000000001</v>
      </c>
      <c r="H335" s="1">
        <v>4505.9059999999999</v>
      </c>
      <c r="I335" s="1">
        <v>-3670.5990000000002</v>
      </c>
    </row>
    <row r="336" spans="1:9" hidden="1" x14ac:dyDescent="0.25">
      <c r="A336" s="1" t="s">
        <v>126</v>
      </c>
      <c r="B336" s="1" t="s">
        <v>175</v>
      </c>
      <c r="C336" s="1" t="s">
        <v>143</v>
      </c>
      <c r="D336" s="1">
        <v>584.79</v>
      </c>
      <c r="E336" s="1">
        <v>0</v>
      </c>
      <c r="F336" s="1">
        <v>-177.77</v>
      </c>
      <c r="G336" s="1">
        <v>-959.94500000000005</v>
      </c>
      <c r="H336" s="1">
        <v>3807.8270000000002</v>
      </c>
      <c r="I336" s="1">
        <v>-3508.76</v>
      </c>
    </row>
    <row r="337" spans="1:9" hidden="1" x14ac:dyDescent="0.25">
      <c r="A337" s="1" t="s">
        <v>126</v>
      </c>
      <c r="B337" s="1" t="s">
        <v>175</v>
      </c>
      <c r="C337" s="1" t="s">
        <v>3</v>
      </c>
      <c r="D337" s="1">
        <v>611.77</v>
      </c>
      <c r="E337" s="1">
        <v>0</v>
      </c>
      <c r="F337" s="1">
        <v>-177.77</v>
      </c>
      <c r="G337" s="1">
        <v>-959.94500000000005</v>
      </c>
      <c r="H337" s="1">
        <v>4505.9059999999999</v>
      </c>
      <c r="I337" s="1">
        <v>-3670.5990000000002</v>
      </c>
    </row>
    <row r="338" spans="1:9" hidden="1" x14ac:dyDescent="0.25">
      <c r="A338" s="1" t="s">
        <v>126</v>
      </c>
      <c r="B338" s="1" t="s">
        <v>176</v>
      </c>
      <c r="C338" s="1" t="s">
        <v>143</v>
      </c>
      <c r="D338" s="1">
        <v>584.79</v>
      </c>
      <c r="E338" s="1">
        <v>0</v>
      </c>
      <c r="F338" s="1">
        <v>177.77</v>
      </c>
      <c r="G338" s="1">
        <v>1173.2660000000001</v>
      </c>
      <c r="H338" s="1">
        <v>3209.694</v>
      </c>
      <c r="I338" s="1">
        <v>-3508.76</v>
      </c>
    </row>
    <row r="339" spans="1:9" hidden="1" x14ac:dyDescent="0.25">
      <c r="A339" s="1" t="s">
        <v>126</v>
      </c>
      <c r="B339" s="1" t="s">
        <v>176</v>
      </c>
      <c r="C339" s="1" t="s">
        <v>3</v>
      </c>
      <c r="D339" s="1">
        <v>611.77</v>
      </c>
      <c r="E339" s="1">
        <v>0</v>
      </c>
      <c r="F339" s="1">
        <v>177.77</v>
      </c>
      <c r="G339" s="1">
        <v>1173.2660000000001</v>
      </c>
      <c r="H339" s="1">
        <v>2835.2910000000002</v>
      </c>
      <c r="I339" s="1">
        <v>-3670.5990000000002</v>
      </c>
    </row>
    <row r="340" spans="1:9" hidden="1" x14ac:dyDescent="0.25">
      <c r="A340" s="1" t="s">
        <v>126</v>
      </c>
      <c r="B340" s="1" t="s">
        <v>177</v>
      </c>
      <c r="C340" s="1" t="s">
        <v>143</v>
      </c>
      <c r="D340" s="1">
        <v>584.79</v>
      </c>
      <c r="E340" s="1">
        <v>0</v>
      </c>
      <c r="F340" s="1">
        <v>177.77</v>
      </c>
      <c r="G340" s="1">
        <v>959.94500000000005</v>
      </c>
      <c r="H340" s="1">
        <v>3209.694</v>
      </c>
      <c r="I340" s="1">
        <v>-3508.76</v>
      </c>
    </row>
    <row r="341" spans="1:9" hidden="1" x14ac:dyDescent="0.25">
      <c r="A341" s="1" t="s">
        <v>126</v>
      </c>
      <c r="B341" s="1" t="s">
        <v>177</v>
      </c>
      <c r="C341" s="1" t="s">
        <v>3</v>
      </c>
      <c r="D341" s="1">
        <v>611.77</v>
      </c>
      <c r="E341" s="1">
        <v>0</v>
      </c>
      <c r="F341" s="1">
        <v>177.77</v>
      </c>
      <c r="G341" s="1">
        <v>959.94500000000005</v>
      </c>
      <c r="H341" s="1">
        <v>2835.2910000000002</v>
      </c>
      <c r="I341" s="1">
        <v>-3670.5990000000002</v>
      </c>
    </row>
    <row r="342" spans="1:9" hidden="1" x14ac:dyDescent="0.25">
      <c r="A342" s="1" t="s">
        <v>126</v>
      </c>
      <c r="B342" s="1" t="s">
        <v>178</v>
      </c>
      <c r="C342" s="1" t="s">
        <v>143</v>
      </c>
      <c r="D342" s="1">
        <v>676.23</v>
      </c>
      <c r="E342" s="1">
        <v>-53.33</v>
      </c>
      <c r="F342" s="1">
        <v>0</v>
      </c>
      <c r="G342" s="1">
        <v>351.98</v>
      </c>
      <c r="H342" s="1">
        <v>4057.3870000000002</v>
      </c>
      <c r="I342" s="1">
        <v>-4147.107</v>
      </c>
    </row>
    <row r="343" spans="1:9" hidden="1" x14ac:dyDescent="0.25">
      <c r="A343" s="1" t="s">
        <v>126</v>
      </c>
      <c r="B343" s="1" t="s">
        <v>178</v>
      </c>
      <c r="C343" s="1" t="s">
        <v>3</v>
      </c>
      <c r="D343" s="1">
        <v>707.76</v>
      </c>
      <c r="E343" s="1">
        <v>-53.33</v>
      </c>
      <c r="F343" s="1">
        <v>0</v>
      </c>
      <c r="G343" s="1">
        <v>351.98</v>
      </c>
      <c r="H343" s="1">
        <v>4246.549</v>
      </c>
      <c r="I343" s="1">
        <v>-4497.1409999999996</v>
      </c>
    </row>
    <row r="344" spans="1:9" hidden="1" x14ac:dyDescent="0.25">
      <c r="A344" s="1" t="s">
        <v>126</v>
      </c>
      <c r="B344" s="1" t="s">
        <v>179</v>
      </c>
      <c r="C344" s="1" t="s">
        <v>143</v>
      </c>
      <c r="D344" s="1">
        <v>676.23</v>
      </c>
      <c r="E344" s="1">
        <v>-53.33</v>
      </c>
      <c r="F344" s="1">
        <v>0</v>
      </c>
      <c r="G344" s="1">
        <v>287.98399999999998</v>
      </c>
      <c r="H344" s="1">
        <v>4057.3870000000002</v>
      </c>
      <c r="I344" s="1">
        <v>-4147.107</v>
      </c>
    </row>
    <row r="345" spans="1:9" hidden="1" x14ac:dyDescent="0.25">
      <c r="A345" s="1" t="s">
        <v>126</v>
      </c>
      <c r="B345" s="1" t="s">
        <v>179</v>
      </c>
      <c r="C345" s="1" t="s">
        <v>3</v>
      </c>
      <c r="D345" s="1">
        <v>707.76</v>
      </c>
      <c r="E345" s="1">
        <v>-53.33</v>
      </c>
      <c r="F345" s="1">
        <v>0</v>
      </c>
      <c r="G345" s="1">
        <v>287.98399999999998</v>
      </c>
      <c r="H345" s="1">
        <v>4246.549</v>
      </c>
      <c r="I345" s="1">
        <v>-4497.1409999999996</v>
      </c>
    </row>
    <row r="346" spans="1:9" hidden="1" x14ac:dyDescent="0.25">
      <c r="A346" s="1" t="s">
        <v>126</v>
      </c>
      <c r="B346" s="1" t="s">
        <v>180</v>
      </c>
      <c r="C346" s="1" t="s">
        <v>143</v>
      </c>
      <c r="D346" s="1">
        <v>676.23</v>
      </c>
      <c r="E346" s="1">
        <v>53.33</v>
      </c>
      <c r="F346" s="1">
        <v>0</v>
      </c>
      <c r="G346" s="1">
        <v>-351.98</v>
      </c>
      <c r="H346" s="1">
        <v>4057.3870000000002</v>
      </c>
      <c r="I346" s="1">
        <v>-3967.6669999999999</v>
      </c>
    </row>
    <row r="347" spans="1:9" hidden="1" x14ac:dyDescent="0.25">
      <c r="A347" s="1" t="s">
        <v>126</v>
      </c>
      <c r="B347" s="1" t="s">
        <v>180</v>
      </c>
      <c r="C347" s="1" t="s">
        <v>3</v>
      </c>
      <c r="D347" s="1">
        <v>707.76</v>
      </c>
      <c r="E347" s="1">
        <v>53.33</v>
      </c>
      <c r="F347" s="1">
        <v>0</v>
      </c>
      <c r="G347" s="1">
        <v>-351.98</v>
      </c>
      <c r="H347" s="1">
        <v>4246.549</v>
      </c>
      <c r="I347" s="1">
        <v>-3995.9569999999999</v>
      </c>
    </row>
    <row r="348" spans="1:9" hidden="1" x14ac:dyDescent="0.25">
      <c r="A348" s="1" t="s">
        <v>126</v>
      </c>
      <c r="B348" s="1" t="s">
        <v>181</v>
      </c>
      <c r="C348" s="1" t="s">
        <v>143</v>
      </c>
      <c r="D348" s="1">
        <v>676.23</v>
      </c>
      <c r="E348" s="1">
        <v>53.33</v>
      </c>
      <c r="F348" s="1">
        <v>0</v>
      </c>
      <c r="G348" s="1">
        <v>-287.98399999999998</v>
      </c>
      <c r="H348" s="1">
        <v>4057.3870000000002</v>
      </c>
      <c r="I348" s="1">
        <v>-3967.6669999999999</v>
      </c>
    </row>
    <row r="349" spans="1:9" hidden="1" x14ac:dyDescent="0.25">
      <c r="A349" s="1" t="s">
        <v>126</v>
      </c>
      <c r="B349" s="1" t="s">
        <v>181</v>
      </c>
      <c r="C349" s="1" t="s">
        <v>3</v>
      </c>
      <c r="D349" s="1">
        <v>707.76</v>
      </c>
      <c r="E349" s="1">
        <v>53.33</v>
      </c>
      <c r="F349" s="1">
        <v>0</v>
      </c>
      <c r="G349" s="1">
        <v>-287.98399999999998</v>
      </c>
      <c r="H349" s="1">
        <v>4246.549</v>
      </c>
      <c r="I349" s="1">
        <v>-3995.9569999999999</v>
      </c>
    </row>
    <row r="350" spans="1:9" hidden="1" x14ac:dyDescent="0.25">
      <c r="A350" s="1" t="s">
        <v>126</v>
      </c>
      <c r="B350" s="1" t="s">
        <v>182</v>
      </c>
      <c r="C350" s="1" t="s">
        <v>143</v>
      </c>
      <c r="D350" s="1">
        <v>676.23</v>
      </c>
      <c r="E350" s="1">
        <v>0</v>
      </c>
      <c r="F350" s="1">
        <v>-53.33</v>
      </c>
      <c r="G350" s="1">
        <v>-351.98</v>
      </c>
      <c r="H350" s="1">
        <v>4147.107</v>
      </c>
      <c r="I350" s="1">
        <v>-4057.3870000000002</v>
      </c>
    </row>
    <row r="351" spans="1:9" hidden="1" x14ac:dyDescent="0.25">
      <c r="A351" s="1" t="s">
        <v>126</v>
      </c>
      <c r="B351" s="1" t="s">
        <v>182</v>
      </c>
      <c r="C351" s="1" t="s">
        <v>3</v>
      </c>
      <c r="D351" s="1">
        <v>707.76</v>
      </c>
      <c r="E351" s="1">
        <v>0</v>
      </c>
      <c r="F351" s="1">
        <v>-53.33</v>
      </c>
      <c r="G351" s="1">
        <v>-351.98</v>
      </c>
      <c r="H351" s="1">
        <v>4497.1409999999996</v>
      </c>
      <c r="I351" s="1">
        <v>-4246.549</v>
      </c>
    </row>
    <row r="352" spans="1:9" hidden="1" x14ac:dyDescent="0.25">
      <c r="A352" s="1" t="s">
        <v>126</v>
      </c>
      <c r="B352" s="1" t="s">
        <v>183</v>
      </c>
      <c r="C352" s="1" t="s">
        <v>143</v>
      </c>
      <c r="D352" s="1">
        <v>676.23</v>
      </c>
      <c r="E352" s="1">
        <v>0</v>
      </c>
      <c r="F352" s="1">
        <v>-53.33</v>
      </c>
      <c r="G352" s="1">
        <v>-287.98399999999998</v>
      </c>
      <c r="H352" s="1">
        <v>4147.107</v>
      </c>
      <c r="I352" s="1">
        <v>-4057.3870000000002</v>
      </c>
    </row>
    <row r="353" spans="1:9" hidden="1" x14ac:dyDescent="0.25">
      <c r="A353" s="1" t="s">
        <v>126</v>
      </c>
      <c r="B353" s="1" t="s">
        <v>183</v>
      </c>
      <c r="C353" s="1" t="s">
        <v>3</v>
      </c>
      <c r="D353" s="1">
        <v>707.76</v>
      </c>
      <c r="E353" s="1">
        <v>0</v>
      </c>
      <c r="F353" s="1">
        <v>-53.33</v>
      </c>
      <c r="G353" s="1">
        <v>-287.98399999999998</v>
      </c>
      <c r="H353" s="1">
        <v>4497.1409999999996</v>
      </c>
      <c r="I353" s="1">
        <v>-4246.549</v>
      </c>
    </row>
    <row r="354" spans="1:9" hidden="1" x14ac:dyDescent="0.25">
      <c r="A354" s="1" t="s">
        <v>126</v>
      </c>
      <c r="B354" s="1" t="s">
        <v>184</v>
      </c>
      <c r="C354" s="1" t="s">
        <v>143</v>
      </c>
      <c r="D354" s="1">
        <v>676.23</v>
      </c>
      <c r="E354" s="1">
        <v>0</v>
      </c>
      <c r="F354" s="1">
        <v>53.33</v>
      </c>
      <c r="G354" s="1">
        <v>351.98</v>
      </c>
      <c r="H354" s="1">
        <v>3967.6669999999999</v>
      </c>
      <c r="I354" s="1">
        <v>-4057.3870000000002</v>
      </c>
    </row>
    <row r="355" spans="1:9" hidden="1" x14ac:dyDescent="0.25">
      <c r="A355" s="1" t="s">
        <v>126</v>
      </c>
      <c r="B355" s="1" t="s">
        <v>184</v>
      </c>
      <c r="C355" s="1" t="s">
        <v>3</v>
      </c>
      <c r="D355" s="1">
        <v>707.76</v>
      </c>
      <c r="E355" s="1">
        <v>0</v>
      </c>
      <c r="F355" s="1">
        <v>53.33</v>
      </c>
      <c r="G355" s="1">
        <v>351.98</v>
      </c>
      <c r="H355" s="1">
        <v>3995.9569999999999</v>
      </c>
      <c r="I355" s="1">
        <v>-4246.549</v>
      </c>
    </row>
    <row r="356" spans="1:9" hidden="1" x14ac:dyDescent="0.25">
      <c r="A356" s="1" t="s">
        <v>126</v>
      </c>
      <c r="B356" s="1" t="s">
        <v>185</v>
      </c>
      <c r="C356" s="1" t="s">
        <v>143</v>
      </c>
      <c r="D356" s="1">
        <v>676.23</v>
      </c>
      <c r="E356" s="1">
        <v>0</v>
      </c>
      <c r="F356" s="1">
        <v>53.33</v>
      </c>
      <c r="G356" s="1">
        <v>287.98399999999998</v>
      </c>
      <c r="H356" s="1">
        <v>3967.6669999999999</v>
      </c>
      <c r="I356" s="1">
        <v>-4057.3870000000002</v>
      </c>
    </row>
    <row r="357" spans="1:9" hidden="1" x14ac:dyDescent="0.25">
      <c r="A357" s="1" t="s">
        <v>126</v>
      </c>
      <c r="B357" s="1" t="s">
        <v>185</v>
      </c>
      <c r="C357" s="1" t="s">
        <v>3</v>
      </c>
      <c r="D357" s="1">
        <v>707.76</v>
      </c>
      <c r="E357" s="1">
        <v>0</v>
      </c>
      <c r="F357" s="1">
        <v>53.33</v>
      </c>
      <c r="G357" s="1">
        <v>287.98399999999998</v>
      </c>
      <c r="H357" s="1">
        <v>3995.9569999999999</v>
      </c>
      <c r="I357" s="1">
        <v>-4246.549</v>
      </c>
    </row>
    <row r="358" spans="1:9" hidden="1" x14ac:dyDescent="0.25">
      <c r="A358" s="1" t="s">
        <v>126</v>
      </c>
      <c r="B358" s="1" t="s">
        <v>186</v>
      </c>
      <c r="C358" s="1" t="s">
        <v>143</v>
      </c>
      <c r="D358" s="1">
        <v>535.55999999999995</v>
      </c>
      <c r="E358" s="1">
        <v>-53.33</v>
      </c>
      <c r="F358" s="1">
        <v>0</v>
      </c>
      <c r="G358" s="1">
        <v>351.98</v>
      </c>
      <c r="H358" s="1">
        <v>3213.346</v>
      </c>
      <c r="I358" s="1">
        <v>-3303.0659999999998</v>
      </c>
    </row>
    <row r="359" spans="1:9" hidden="1" x14ac:dyDescent="0.25">
      <c r="A359" s="1" t="s">
        <v>126</v>
      </c>
      <c r="B359" s="1" t="s">
        <v>186</v>
      </c>
      <c r="C359" s="1" t="s">
        <v>3</v>
      </c>
      <c r="D359" s="1">
        <v>560.08000000000004</v>
      </c>
      <c r="E359" s="1">
        <v>-53.33</v>
      </c>
      <c r="F359" s="1">
        <v>0</v>
      </c>
      <c r="G359" s="1">
        <v>351.98</v>
      </c>
      <c r="H359" s="1">
        <v>3360.471</v>
      </c>
      <c r="I359" s="1">
        <v>-3611.0639999999999</v>
      </c>
    </row>
    <row r="360" spans="1:9" hidden="1" x14ac:dyDescent="0.25">
      <c r="A360" s="1" t="s">
        <v>126</v>
      </c>
      <c r="B360" s="1" t="s">
        <v>187</v>
      </c>
      <c r="C360" s="1" t="s">
        <v>143</v>
      </c>
      <c r="D360" s="1">
        <v>535.55999999999995</v>
      </c>
      <c r="E360" s="1">
        <v>-53.33</v>
      </c>
      <c r="F360" s="1">
        <v>0</v>
      </c>
      <c r="G360" s="1">
        <v>287.98399999999998</v>
      </c>
      <c r="H360" s="1">
        <v>3213.346</v>
      </c>
      <c r="I360" s="1">
        <v>-3303.0659999999998</v>
      </c>
    </row>
    <row r="361" spans="1:9" hidden="1" x14ac:dyDescent="0.25">
      <c r="A361" s="1" t="s">
        <v>126</v>
      </c>
      <c r="B361" s="1" t="s">
        <v>187</v>
      </c>
      <c r="C361" s="1" t="s">
        <v>3</v>
      </c>
      <c r="D361" s="1">
        <v>560.08000000000004</v>
      </c>
      <c r="E361" s="1">
        <v>-53.33</v>
      </c>
      <c r="F361" s="1">
        <v>0</v>
      </c>
      <c r="G361" s="1">
        <v>287.98399999999998</v>
      </c>
      <c r="H361" s="1">
        <v>3360.471</v>
      </c>
      <c r="I361" s="1">
        <v>-3611.0639999999999</v>
      </c>
    </row>
    <row r="362" spans="1:9" hidden="1" x14ac:dyDescent="0.25">
      <c r="A362" s="1" t="s">
        <v>126</v>
      </c>
      <c r="B362" s="1" t="s">
        <v>188</v>
      </c>
      <c r="C362" s="1" t="s">
        <v>143</v>
      </c>
      <c r="D362" s="1">
        <v>535.55999999999995</v>
      </c>
      <c r="E362" s="1">
        <v>53.33</v>
      </c>
      <c r="F362" s="1">
        <v>0</v>
      </c>
      <c r="G362" s="1">
        <v>-351.98</v>
      </c>
      <c r="H362" s="1">
        <v>3213.346</v>
      </c>
      <c r="I362" s="1">
        <v>-3123.6260000000002</v>
      </c>
    </row>
    <row r="363" spans="1:9" hidden="1" x14ac:dyDescent="0.25">
      <c r="A363" s="1" t="s">
        <v>126</v>
      </c>
      <c r="B363" s="1" t="s">
        <v>188</v>
      </c>
      <c r="C363" s="1" t="s">
        <v>3</v>
      </c>
      <c r="D363" s="1">
        <v>560.08000000000004</v>
      </c>
      <c r="E363" s="1">
        <v>53.33</v>
      </c>
      <c r="F363" s="1">
        <v>0</v>
      </c>
      <c r="G363" s="1">
        <v>-351.98</v>
      </c>
      <c r="H363" s="1">
        <v>3360.471</v>
      </c>
      <c r="I363" s="1">
        <v>-3109.8789999999999</v>
      </c>
    </row>
    <row r="364" spans="1:9" hidden="1" x14ac:dyDescent="0.25">
      <c r="A364" s="1" t="s">
        <v>126</v>
      </c>
      <c r="B364" s="1" t="s">
        <v>189</v>
      </c>
      <c r="C364" s="1" t="s">
        <v>143</v>
      </c>
      <c r="D364" s="1">
        <v>535.55999999999995</v>
      </c>
      <c r="E364" s="1">
        <v>53.33</v>
      </c>
      <c r="F364" s="1">
        <v>0</v>
      </c>
      <c r="G364" s="1">
        <v>-287.98399999999998</v>
      </c>
      <c r="H364" s="1">
        <v>3213.346</v>
      </c>
      <c r="I364" s="1">
        <v>-3123.6260000000002</v>
      </c>
    </row>
    <row r="365" spans="1:9" hidden="1" x14ac:dyDescent="0.25">
      <c r="A365" s="1" t="s">
        <v>126</v>
      </c>
      <c r="B365" s="1" t="s">
        <v>189</v>
      </c>
      <c r="C365" s="1" t="s">
        <v>3</v>
      </c>
      <c r="D365" s="1">
        <v>560.08000000000004</v>
      </c>
      <c r="E365" s="1">
        <v>53.33</v>
      </c>
      <c r="F365" s="1">
        <v>0</v>
      </c>
      <c r="G365" s="1">
        <v>-287.98399999999998</v>
      </c>
      <c r="H365" s="1">
        <v>3360.471</v>
      </c>
      <c r="I365" s="1">
        <v>-3109.8789999999999</v>
      </c>
    </row>
    <row r="366" spans="1:9" hidden="1" x14ac:dyDescent="0.25">
      <c r="A366" s="1" t="s">
        <v>126</v>
      </c>
      <c r="B366" s="1" t="s">
        <v>190</v>
      </c>
      <c r="C366" s="1" t="s">
        <v>143</v>
      </c>
      <c r="D366" s="1">
        <v>535.55999999999995</v>
      </c>
      <c r="E366" s="1">
        <v>0</v>
      </c>
      <c r="F366" s="1">
        <v>-53.33</v>
      </c>
      <c r="G366" s="1">
        <v>-351.98</v>
      </c>
      <c r="H366" s="1">
        <v>3303.0659999999998</v>
      </c>
      <c r="I366" s="1">
        <v>-3213.346</v>
      </c>
    </row>
    <row r="367" spans="1:9" hidden="1" x14ac:dyDescent="0.25">
      <c r="A367" s="1" t="s">
        <v>126</v>
      </c>
      <c r="B367" s="1" t="s">
        <v>190</v>
      </c>
      <c r="C367" s="1" t="s">
        <v>3</v>
      </c>
      <c r="D367" s="1">
        <v>560.08000000000004</v>
      </c>
      <c r="E367" s="1">
        <v>0</v>
      </c>
      <c r="F367" s="1">
        <v>-53.33</v>
      </c>
      <c r="G367" s="1">
        <v>-351.98</v>
      </c>
      <c r="H367" s="1">
        <v>3611.0639999999999</v>
      </c>
      <c r="I367" s="1">
        <v>-3360.471</v>
      </c>
    </row>
    <row r="368" spans="1:9" hidden="1" x14ac:dyDescent="0.25">
      <c r="A368" s="1" t="s">
        <v>126</v>
      </c>
      <c r="B368" s="1" t="s">
        <v>191</v>
      </c>
      <c r="C368" s="1" t="s">
        <v>143</v>
      </c>
      <c r="D368" s="1">
        <v>535.55999999999995</v>
      </c>
      <c r="E368" s="1">
        <v>0</v>
      </c>
      <c r="F368" s="1">
        <v>-53.33</v>
      </c>
      <c r="G368" s="1">
        <v>-287.98399999999998</v>
      </c>
      <c r="H368" s="1">
        <v>3303.0659999999998</v>
      </c>
      <c r="I368" s="1">
        <v>-3213.346</v>
      </c>
    </row>
    <row r="369" spans="1:9" hidden="1" x14ac:dyDescent="0.25">
      <c r="A369" s="1" t="s">
        <v>126</v>
      </c>
      <c r="B369" s="1" t="s">
        <v>191</v>
      </c>
      <c r="C369" s="1" t="s">
        <v>3</v>
      </c>
      <c r="D369" s="1">
        <v>560.08000000000004</v>
      </c>
      <c r="E369" s="1">
        <v>0</v>
      </c>
      <c r="F369" s="1">
        <v>-53.33</v>
      </c>
      <c r="G369" s="1">
        <v>-287.98399999999998</v>
      </c>
      <c r="H369" s="1">
        <v>3611.0639999999999</v>
      </c>
      <c r="I369" s="1">
        <v>-3360.471</v>
      </c>
    </row>
    <row r="370" spans="1:9" hidden="1" x14ac:dyDescent="0.25">
      <c r="A370" s="1" t="s">
        <v>126</v>
      </c>
      <c r="B370" s="1" t="s">
        <v>192</v>
      </c>
      <c r="C370" s="1" t="s">
        <v>143</v>
      </c>
      <c r="D370" s="1">
        <v>535.55999999999995</v>
      </c>
      <c r="E370" s="1">
        <v>0</v>
      </c>
      <c r="F370" s="1">
        <v>53.33</v>
      </c>
      <c r="G370" s="1">
        <v>351.98</v>
      </c>
      <c r="H370" s="1">
        <v>3123.6260000000002</v>
      </c>
      <c r="I370" s="1">
        <v>-3213.346</v>
      </c>
    </row>
    <row r="371" spans="1:9" hidden="1" x14ac:dyDescent="0.25">
      <c r="A371" s="1" t="s">
        <v>126</v>
      </c>
      <c r="B371" s="1" t="s">
        <v>192</v>
      </c>
      <c r="C371" s="1" t="s">
        <v>3</v>
      </c>
      <c r="D371" s="1">
        <v>560.08000000000004</v>
      </c>
      <c r="E371" s="1">
        <v>0</v>
      </c>
      <c r="F371" s="1">
        <v>53.33</v>
      </c>
      <c r="G371" s="1">
        <v>351.98</v>
      </c>
      <c r="H371" s="1">
        <v>3109.8789999999999</v>
      </c>
      <c r="I371" s="1">
        <v>-3360.471</v>
      </c>
    </row>
    <row r="372" spans="1:9" hidden="1" x14ac:dyDescent="0.25">
      <c r="A372" s="1" t="s">
        <v>126</v>
      </c>
      <c r="B372" s="1" t="s">
        <v>193</v>
      </c>
      <c r="C372" s="1" t="s">
        <v>143</v>
      </c>
      <c r="D372" s="1">
        <v>535.55999999999995</v>
      </c>
      <c r="E372" s="1">
        <v>0</v>
      </c>
      <c r="F372" s="1">
        <v>53.33</v>
      </c>
      <c r="G372" s="1">
        <v>287.98399999999998</v>
      </c>
      <c r="H372" s="1">
        <v>3123.6260000000002</v>
      </c>
      <c r="I372" s="1">
        <v>-3213.346</v>
      </c>
    </row>
    <row r="373" spans="1:9" hidden="1" x14ac:dyDescent="0.25">
      <c r="A373" s="1" t="s">
        <v>126</v>
      </c>
      <c r="B373" s="1" t="s">
        <v>193</v>
      </c>
      <c r="C373" s="1" t="s">
        <v>3</v>
      </c>
      <c r="D373" s="1">
        <v>560.08000000000004</v>
      </c>
      <c r="E373" s="1">
        <v>0</v>
      </c>
      <c r="F373" s="1">
        <v>53.33</v>
      </c>
      <c r="G373" s="1">
        <v>287.98399999999998</v>
      </c>
      <c r="H373" s="1">
        <v>3109.8789999999999</v>
      </c>
      <c r="I373" s="1">
        <v>-3360.471</v>
      </c>
    </row>
    <row r="374" spans="1:9" hidden="1" x14ac:dyDescent="0.25">
      <c r="A374" s="1" t="s">
        <v>126</v>
      </c>
      <c r="B374" s="1" t="s">
        <v>194</v>
      </c>
      <c r="C374" s="1" t="s">
        <v>143</v>
      </c>
      <c r="D374" s="1">
        <v>443.12</v>
      </c>
      <c r="E374" s="1">
        <v>-177.77</v>
      </c>
      <c r="F374" s="1">
        <v>0</v>
      </c>
      <c r="G374" s="1">
        <v>1173.2660000000001</v>
      </c>
      <c r="H374" s="1">
        <v>2658.7310000000002</v>
      </c>
      <c r="I374" s="1">
        <v>-2957.7979999999998</v>
      </c>
    </row>
    <row r="375" spans="1:9" hidden="1" x14ac:dyDescent="0.25">
      <c r="A375" s="1" t="s">
        <v>126</v>
      </c>
      <c r="B375" s="1" t="s">
        <v>194</v>
      </c>
      <c r="C375" s="1" t="s">
        <v>3</v>
      </c>
      <c r="D375" s="1">
        <v>465.19</v>
      </c>
      <c r="E375" s="1">
        <v>-177.77</v>
      </c>
      <c r="F375" s="1">
        <v>0</v>
      </c>
      <c r="G375" s="1">
        <v>1173.2660000000001</v>
      </c>
      <c r="H375" s="1">
        <v>2791.1439999999998</v>
      </c>
      <c r="I375" s="1">
        <v>-3626.4520000000002</v>
      </c>
    </row>
    <row r="376" spans="1:9" hidden="1" x14ac:dyDescent="0.25">
      <c r="A376" s="1" t="s">
        <v>126</v>
      </c>
      <c r="B376" s="1" t="s">
        <v>195</v>
      </c>
      <c r="C376" s="1" t="s">
        <v>143</v>
      </c>
      <c r="D376" s="1">
        <v>443.12</v>
      </c>
      <c r="E376" s="1">
        <v>-177.77</v>
      </c>
      <c r="F376" s="1">
        <v>0</v>
      </c>
      <c r="G376" s="1">
        <v>959.94500000000005</v>
      </c>
      <c r="H376" s="1">
        <v>2658.7310000000002</v>
      </c>
      <c r="I376" s="1">
        <v>-2957.7979999999998</v>
      </c>
    </row>
    <row r="377" spans="1:9" hidden="1" x14ac:dyDescent="0.25">
      <c r="A377" s="1" t="s">
        <v>126</v>
      </c>
      <c r="B377" s="1" t="s">
        <v>195</v>
      </c>
      <c r="C377" s="1" t="s">
        <v>3</v>
      </c>
      <c r="D377" s="1">
        <v>465.19</v>
      </c>
      <c r="E377" s="1">
        <v>-177.77</v>
      </c>
      <c r="F377" s="1">
        <v>0</v>
      </c>
      <c r="G377" s="1">
        <v>959.94500000000005</v>
      </c>
      <c r="H377" s="1">
        <v>2791.1439999999998</v>
      </c>
      <c r="I377" s="1">
        <v>-3626.4520000000002</v>
      </c>
    </row>
    <row r="378" spans="1:9" hidden="1" x14ac:dyDescent="0.25">
      <c r="A378" s="1" t="s">
        <v>126</v>
      </c>
      <c r="B378" s="1" t="s">
        <v>196</v>
      </c>
      <c r="C378" s="1" t="s">
        <v>143</v>
      </c>
      <c r="D378" s="1">
        <v>443.12</v>
      </c>
      <c r="E378" s="1">
        <v>177.77</v>
      </c>
      <c r="F378" s="1">
        <v>0</v>
      </c>
      <c r="G378" s="1">
        <v>-1173.2660000000001</v>
      </c>
      <c r="H378" s="1">
        <v>2658.7310000000002</v>
      </c>
      <c r="I378" s="1">
        <v>-2359.665</v>
      </c>
    </row>
    <row r="379" spans="1:9" hidden="1" x14ac:dyDescent="0.25">
      <c r="A379" s="1" t="s">
        <v>126</v>
      </c>
      <c r="B379" s="1" t="s">
        <v>196</v>
      </c>
      <c r="C379" s="1" t="s">
        <v>3</v>
      </c>
      <c r="D379" s="1">
        <v>465.19</v>
      </c>
      <c r="E379" s="1">
        <v>177.77</v>
      </c>
      <c r="F379" s="1">
        <v>0</v>
      </c>
      <c r="G379" s="1">
        <v>-1173.2660000000001</v>
      </c>
      <c r="H379" s="1">
        <v>2791.1439999999998</v>
      </c>
      <c r="I379" s="1">
        <v>-1955.837</v>
      </c>
    </row>
    <row r="380" spans="1:9" hidden="1" x14ac:dyDescent="0.25">
      <c r="A380" s="1" t="s">
        <v>126</v>
      </c>
      <c r="B380" s="1" t="s">
        <v>197</v>
      </c>
      <c r="C380" s="1" t="s">
        <v>143</v>
      </c>
      <c r="D380" s="1">
        <v>443.12</v>
      </c>
      <c r="E380" s="1">
        <v>177.77</v>
      </c>
      <c r="F380" s="1">
        <v>0</v>
      </c>
      <c r="G380" s="1">
        <v>-959.94500000000005</v>
      </c>
      <c r="H380" s="1">
        <v>2658.7310000000002</v>
      </c>
      <c r="I380" s="1">
        <v>-2359.665</v>
      </c>
    </row>
    <row r="381" spans="1:9" hidden="1" x14ac:dyDescent="0.25">
      <c r="A381" s="1" t="s">
        <v>126</v>
      </c>
      <c r="B381" s="1" t="s">
        <v>197</v>
      </c>
      <c r="C381" s="1" t="s">
        <v>3</v>
      </c>
      <c r="D381" s="1">
        <v>465.19</v>
      </c>
      <c r="E381" s="1">
        <v>177.77</v>
      </c>
      <c r="F381" s="1">
        <v>0</v>
      </c>
      <c r="G381" s="1">
        <v>-959.94500000000005</v>
      </c>
      <c r="H381" s="1">
        <v>2791.1439999999998</v>
      </c>
      <c r="I381" s="1">
        <v>-1955.837</v>
      </c>
    </row>
    <row r="382" spans="1:9" hidden="1" x14ac:dyDescent="0.25">
      <c r="A382" s="1" t="s">
        <v>126</v>
      </c>
      <c r="B382" s="1" t="s">
        <v>198</v>
      </c>
      <c r="C382" s="1" t="s">
        <v>143</v>
      </c>
      <c r="D382" s="1">
        <v>443.12</v>
      </c>
      <c r="E382" s="1">
        <v>0</v>
      </c>
      <c r="F382" s="1">
        <v>-177.77</v>
      </c>
      <c r="G382" s="1">
        <v>-1173.2660000000001</v>
      </c>
      <c r="H382" s="1">
        <v>2957.7979999999998</v>
      </c>
      <c r="I382" s="1">
        <v>-2658.7310000000002</v>
      </c>
    </row>
    <row r="383" spans="1:9" hidden="1" x14ac:dyDescent="0.25">
      <c r="A383" s="1" t="s">
        <v>126</v>
      </c>
      <c r="B383" s="1" t="s">
        <v>198</v>
      </c>
      <c r="C383" s="1" t="s">
        <v>3</v>
      </c>
      <c r="D383" s="1">
        <v>465.19</v>
      </c>
      <c r="E383" s="1">
        <v>0</v>
      </c>
      <c r="F383" s="1">
        <v>-177.77</v>
      </c>
      <c r="G383" s="1">
        <v>-1173.2660000000001</v>
      </c>
      <c r="H383" s="1">
        <v>3626.4520000000002</v>
      </c>
      <c r="I383" s="1">
        <v>-2791.1439999999998</v>
      </c>
    </row>
    <row r="384" spans="1:9" hidden="1" x14ac:dyDescent="0.25">
      <c r="A384" s="1" t="s">
        <v>126</v>
      </c>
      <c r="B384" s="1" t="s">
        <v>199</v>
      </c>
      <c r="C384" s="1" t="s">
        <v>143</v>
      </c>
      <c r="D384" s="1">
        <v>443.12</v>
      </c>
      <c r="E384" s="1">
        <v>0</v>
      </c>
      <c r="F384" s="1">
        <v>-177.77</v>
      </c>
      <c r="G384" s="1">
        <v>-959.94500000000005</v>
      </c>
      <c r="H384" s="1">
        <v>2957.7979999999998</v>
      </c>
      <c r="I384" s="1">
        <v>-2658.7310000000002</v>
      </c>
    </row>
    <row r="385" spans="1:9" hidden="1" x14ac:dyDescent="0.25">
      <c r="A385" s="1" t="s">
        <v>126</v>
      </c>
      <c r="B385" s="1" t="s">
        <v>199</v>
      </c>
      <c r="C385" s="1" t="s">
        <v>3</v>
      </c>
      <c r="D385" s="1">
        <v>465.19</v>
      </c>
      <c r="E385" s="1">
        <v>0</v>
      </c>
      <c r="F385" s="1">
        <v>-177.77</v>
      </c>
      <c r="G385" s="1">
        <v>-959.94500000000005</v>
      </c>
      <c r="H385" s="1">
        <v>3626.4520000000002</v>
      </c>
      <c r="I385" s="1">
        <v>-2791.1439999999998</v>
      </c>
    </row>
    <row r="386" spans="1:9" hidden="1" x14ac:dyDescent="0.25">
      <c r="A386" s="1" t="s">
        <v>126</v>
      </c>
      <c r="B386" s="1" t="s">
        <v>200</v>
      </c>
      <c r="C386" s="1" t="s">
        <v>143</v>
      </c>
      <c r="D386" s="1">
        <v>443.12</v>
      </c>
      <c r="E386" s="1">
        <v>0</v>
      </c>
      <c r="F386" s="1">
        <v>177.77</v>
      </c>
      <c r="G386" s="1">
        <v>1173.2660000000001</v>
      </c>
      <c r="H386" s="1">
        <v>2359.665</v>
      </c>
      <c r="I386" s="1">
        <v>-2658.7310000000002</v>
      </c>
    </row>
    <row r="387" spans="1:9" hidden="1" x14ac:dyDescent="0.25">
      <c r="A387" s="1" t="s">
        <v>126</v>
      </c>
      <c r="B387" s="1" t="s">
        <v>200</v>
      </c>
      <c r="C387" s="1" t="s">
        <v>3</v>
      </c>
      <c r="D387" s="1">
        <v>465.19</v>
      </c>
      <c r="E387" s="1">
        <v>0</v>
      </c>
      <c r="F387" s="1">
        <v>177.77</v>
      </c>
      <c r="G387" s="1">
        <v>1173.2660000000001</v>
      </c>
      <c r="H387" s="1">
        <v>1955.837</v>
      </c>
      <c r="I387" s="1">
        <v>-2791.1439999999998</v>
      </c>
    </row>
    <row r="388" spans="1:9" hidden="1" x14ac:dyDescent="0.25">
      <c r="A388" s="1" t="s">
        <v>126</v>
      </c>
      <c r="B388" s="1" t="s">
        <v>201</v>
      </c>
      <c r="C388" s="1" t="s">
        <v>143</v>
      </c>
      <c r="D388" s="1">
        <v>443.12</v>
      </c>
      <c r="E388" s="1">
        <v>0</v>
      </c>
      <c r="F388" s="1">
        <v>177.77</v>
      </c>
      <c r="G388" s="1">
        <v>959.94500000000005</v>
      </c>
      <c r="H388" s="1">
        <v>2359.665</v>
      </c>
      <c r="I388" s="1">
        <v>-2658.7310000000002</v>
      </c>
    </row>
    <row r="389" spans="1:9" hidden="1" x14ac:dyDescent="0.25">
      <c r="A389" s="1" t="s">
        <v>126</v>
      </c>
      <c r="B389" s="1" t="s">
        <v>201</v>
      </c>
      <c r="C389" s="1" t="s">
        <v>3</v>
      </c>
      <c r="D389" s="1">
        <v>465.19</v>
      </c>
      <c r="E389" s="1">
        <v>0</v>
      </c>
      <c r="F389" s="1">
        <v>177.77</v>
      </c>
      <c r="G389" s="1">
        <v>959.94500000000005</v>
      </c>
      <c r="H389" s="1">
        <v>1955.837</v>
      </c>
      <c r="I389" s="1">
        <v>-2791.1439999999998</v>
      </c>
    </row>
    <row r="390" spans="1:9" hidden="1" x14ac:dyDescent="0.25">
      <c r="A390" s="1" t="s">
        <v>126</v>
      </c>
      <c r="B390" s="1" t="s">
        <v>202</v>
      </c>
      <c r="C390" s="1" t="s">
        <v>143</v>
      </c>
      <c r="D390" s="1">
        <v>400.92</v>
      </c>
      <c r="E390" s="1">
        <v>-177.77</v>
      </c>
      <c r="F390" s="1">
        <v>0</v>
      </c>
      <c r="G390" s="1">
        <v>1173.2660000000001</v>
      </c>
      <c r="H390" s="1">
        <v>2405.5189999999998</v>
      </c>
      <c r="I390" s="1">
        <v>-2704.585</v>
      </c>
    </row>
    <row r="391" spans="1:9" hidden="1" x14ac:dyDescent="0.25">
      <c r="A391" s="1" t="s">
        <v>126</v>
      </c>
      <c r="B391" s="1" t="s">
        <v>202</v>
      </c>
      <c r="C391" s="1" t="s">
        <v>3</v>
      </c>
      <c r="D391" s="1">
        <v>420.89</v>
      </c>
      <c r="E391" s="1">
        <v>-177.77</v>
      </c>
      <c r="F391" s="1">
        <v>0</v>
      </c>
      <c r="G391" s="1">
        <v>1173.2660000000001</v>
      </c>
      <c r="H391" s="1">
        <v>2525.3209999999999</v>
      </c>
      <c r="I391" s="1">
        <v>-3360.6280000000002</v>
      </c>
    </row>
    <row r="392" spans="1:9" hidden="1" x14ac:dyDescent="0.25">
      <c r="A392" s="1" t="s">
        <v>126</v>
      </c>
      <c r="B392" s="1" t="s">
        <v>203</v>
      </c>
      <c r="C392" s="1" t="s">
        <v>143</v>
      </c>
      <c r="D392" s="1">
        <v>400.92</v>
      </c>
      <c r="E392" s="1">
        <v>-177.77</v>
      </c>
      <c r="F392" s="1">
        <v>0</v>
      </c>
      <c r="G392" s="1">
        <v>959.94500000000005</v>
      </c>
      <c r="H392" s="1">
        <v>2405.5189999999998</v>
      </c>
      <c r="I392" s="1">
        <v>-2704.585</v>
      </c>
    </row>
    <row r="393" spans="1:9" hidden="1" x14ac:dyDescent="0.25">
      <c r="A393" s="1" t="s">
        <v>126</v>
      </c>
      <c r="B393" s="1" t="s">
        <v>203</v>
      </c>
      <c r="C393" s="1" t="s">
        <v>3</v>
      </c>
      <c r="D393" s="1">
        <v>420.89</v>
      </c>
      <c r="E393" s="1">
        <v>-177.77</v>
      </c>
      <c r="F393" s="1">
        <v>0</v>
      </c>
      <c r="G393" s="1">
        <v>959.94500000000005</v>
      </c>
      <c r="H393" s="1">
        <v>2525.3209999999999</v>
      </c>
      <c r="I393" s="1">
        <v>-3360.6280000000002</v>
      </c>
    </row>
    <row r="394" spans="1:9" hidden="1" x14ac:dyDescent="0.25">
      <c r="A394" s="1" t="s">
        <v>126</v>
      </c>
      <c r="B394" s="1" t="s">
        <v>204</v>
      </c>
      <c r="C394" s="1" t="s">
        <v>143</v>
      </c>
      <c r="D394" s="1">
        <v>400.92</v>
      </c>
      <c r="E394" s="1">
        <v>177.77</v>
      </c>
      <c r="F394" s="1">
        <v>0</v>
      </c>
      <c r="G394" s="1">
        <v>-1173.2660000000001</v>
      </c>
      <c r="H394" s="1">
        <v>2405.5189999999998</v>
      </c>
      <c r="I394" s="1">
        <v>-2106.4520000000002</v>
      </c>
    </row>
    <row r="395" spans="1:9" hidden="1" x14ac:dyDescent="0.25">
      <c r="A395" s="1" t="s">
        <v>126</v>
      </c>
      <c r="B395" s="1" t="s">
        <v>204</v>
      </c>
      <c r="C395" s="1" t="s">
        <v>3</v>
      </c>
      <c r="D395" s="1">
        <v>420.89</v>
      </c>
      <c r="E395" s="1">
        <v>177.77</v>
      </c>
      <c r="F395" s="1">
        <v>0</v>
      </c>
      <c r="G395" s="1">
        <v>-1173.2660000000001</v>
      </c>
      <c r="H395" s="1">
        <v>2525.3209999999999</v>
      </c>
      <c r="I395" s="1">
        <v>-1690.0129999999999</v>
      </c>
    </row>
    <row r="396" spans="1:9" hidden="1" x14ac:dyDescent="0.25">
      <c r="A396" s="1" t="s">
        <v>126</v>
      </c>
      <c r="B396" s="1" t="s">
        <v>205</v>
      </c>
      <c r="C396" s="1" t="s">
        <v>143</v>
      </c>
      <c r="D396" s="1">
        <v>400.92</v>
      </c>
      <c r="E396" s="1">
        <v>177.77</v>
      </c>
      <c r="F396" s="1">
        <v>0</v>
      </c>
      <c r="G396" s="1">
        <v>-959.94500000000005</v>
      </c>
      <c r="H396" s="1">
        <v>2405.5189999999998</v>
      </c>
      <c r="I396" s="1">
        <v>-2106.4520000000002</v>
      </c>
    </row>
    <row r="397" spans="1:9" hidden="1" x14ac:dyDescent="0.25">
      <c r="A397" s="1" t="s">
        <v>126</v>
      </c>
      <c r="B397" s="1" t="s">
        <v>205</v>
      </c>
      <c r="C397" s="1" t="s">
        <v>3</v>
      </c>
      <c r="D397" s="1">
        <v>420.89</v>
      </c>
      <c r="E397" s="1">
        <v>177.77</v>
      </c>
      <c r="F397" s="1">
        <v>0</v>
      </c>
      <c r="G397" s="1">
        <v>-959.94500000000005</v>
      </c>
      <c r="H397" s="1">
        <v>2525.3209999999999</v>
      </c>
      <c r="I397" s="1">
        <v>-1690.0129999999999</v>
      </c>
    </row>
    <row r="398" spans="1:9" hidden="1" x14ac:dyDescent="0.25">
      <c r="A398" s="1" t="s">
        <v>126</v>
      </c>
      <c r="B398" s="1" t="s">
        <v>206</v>
      </c>
      <c r="C398" s="1" t="s">
        <v>143</v>
      </c>
      <c r="D398" s="1">
        <v>400.92</v>
      </c>
      <c r="E398" s="1">
        <v>0</v>
      </c>
      <c r="F398" s="1">
        <v>-177.77</v>
      </c>
      <c r="G398" s="1">
        <v>-1173.2660000000001</v>
      </c>
      <c r="H398" s="1">
        <v>2704.585</v>
      </c>
      <c r="I398" s="1">
        <v>-2405.5189999999998</v>
      </c>
    </row>
    <row r="399" spans="1:9" hidden="1" x14ac:dyDescent="0.25">
      <c r="A399" s="1" t="s">
        <v>126</v>
      </c>
      <c r="B399" s="1" t="s">
        <v>206</v>
      </c>
      <c r="C399" s="1" t="s">
        <v>3</v>
      </c>
      <c r="D399" s="1">
        <v>420.89</v>
      </c>
      <c r="E399" s="1">
        <v>0</v>
      </c>
      <c r="F399" s="1">
        <v>-177.77</v>
      </c>
      <c r="G399" s="1">
        <v>-1173.2660000000001</v>
      </c>
      <c r="H399" s="1">
        <v>3360.6280000000002</v>
      </c>
      <c r="I399" s="1">
        <v>-2525.3209999999999</v>
      </c>
    </row>
    <row r="400" spans="1:9" hidden="1" x14ac:dyDescent="0.25">
      <c r="A400" s="1" t="s">
        <v>126</v>
      </c>
      <c r="B400" s="1" t="s">
        <v>207</v>
      </c>
      <c r="C400" s="1" t="s">
        <v>143</v>
      </c>
      <c r="D400" s="1">
        <v>400.92</v>
      </c>
      <c r="E400" s="1">
        <v>0</v>
      </c>
      <c r="F400" s="1">
        <v>-177.77</v>
      </c>
      <c r="G400" s="1">
        <v>-959.94500000000005</v>
      </c>
      <c r="H400" s="1">
        <v>2704.585</v>
      </c>
      <c r="I400" s="1">
        <v>-2405.5189999999998</v>
      </c>
    </row>
    <row r="401" spans="1:9" hidden="1" x14ac:dyDescent="0.25">
      <c r="A401" s="1" t="s">
        <v>126</v>
      </c>
      <c r="B401" s="1" t="s">
        <v>207</v>
      </c>
      <c r="C401" s="1" t="s">
        <v>3</v>
      </c>
      <c r="D401" s="1">
        <v>420.89</v>
      </c>
      <c r="E401" s="1">
        <v>0</v>
      </c>
      <c r="F401" s="1">
        <v>-177.77</v>
      </c>
      <c r="G401" s="1">
        <v>-959.94500000000005</v>
      </c>
      <c r="H401" s="1">
        <v>3360.6280000000002</v>
      </c>
      <c r="I401" s="1">
        <v>-2525.3209999999999</v>
      </c>
    </row>
    <row r="402" spans="1:9" hidden="1" x14ac:dyDescent="0.25">
      <c r="A402" s="1" t="s">
        <v>126</v>
      </c>
      <c r="B402" s="1" t="s">
        <v>208</v>
      </c>
      <c r="C402" s="1" t="s">
        <v>143</v>
      </c>
      <c r="D402" s="1">
        <v>400.92</v>
      </c>
      <c r="E402" s="1">
        <v>0</v>
      </c>
      <c r="F402" s="1">
        <v>177.77</v>
      </c>
      <c r="G402" s="1">
        <v>1173.2660000000001</v>
      </c>
      <c r="H402" s="1">
        <v>2106.4520000000002</v>
      </c>
      <c r="I402" s="1">
        <v>-2405.5189999999998</v>
      </c>
    </row>
    <row r="403" spans="1:9" hidden="1" x14ac:dyDescent="0.25">
      <c r="A403" s="1" t="s">
        <v>126</v>
      </c>
      <c r="B403" s="1" t="s">
        <v>208</v>
      </c>
      <c r="C403" s="1" t="s">
        <v>3</v>
      </c>
      <c r="D403" s="1">
        <v>420.89</v>
      </c>
      <c r="E403" s="1">
        <v>0</v>
      </c>
      <c r="F403" s="1">
        <v>177.77</v>
      </c>
      <c r="G403" s="1">
        <v>1173.2660000000001</v>
      </c>
      <c r="H403" s="1">
        <v>1690.0129999999999</v>
      </c>
      <c r="I403" s="1">
        <v>-2525.3209999999999</v>
      </c>
    </row>
    <row r="404" spans="1:9" hidden="1" x14ac:dyDescent="0.25">
      <c r="A404" s="1" t="s">
        <v>126</v>
      </c>
      <c r="B404" s="1" t="s">
        <v>209</v>
      </c>
      <c r="C404" s="1" t="s">
        <v>143</v>
      </c>
      <c r="D404" s="1">
        <v>400.92</v>
      </c>
      <c r="E404" s="1">
        <v>0</v>
      </c>
      <c r="F404" s="1">
        <v>177.77</v>
      </c>
      <c r="G404" s="1">
        <v>959.94500000000005</v>
      </c>
      <c r="H404" s="1">
        <v>2106.4520000000002</v>
      </c>
      <c r="I404" s="1">
        <v>-2405.5189999999998</v>
      </c>
    </row>
    <row r="405" spans="1:9" hidden="1" x14ac:dyDescent="0.25">
      <c r="A405" s="1" t="s">
        <v>126</v>
      </c>
      <c r="B405" s="1" t="s">
        <v>209</v>
      </c>
      <c r="C405" s="1" t="s">
        <v>3</v>
      </c>
      <c r="D405" s="1">
        <v>420.89</v>
      </c>
      <c r="E405" s="1">
        <v>0</v>
      </c>
      <c r="F405" s="1">
        <v>177.77</v>
      </c>
      <c r="G405" s="1">
        <v>959.94500000000005</v>
      </c>
      <c r="H405" s="1">
        <v>1690.0129999999999</v>
      </c>
      <c r="I405" s="1">
        <v>-2525.3209999999999</v>
      </c>
    </row>
    <row r="406" spans="1:9" hidden="1" x14ac:dyDescent="0.25">
      <c r="A406" s="1" t="s">
        <v>126</v>
      </c>
      <c r="B406" s="1" t="s">
        <v>210</v>
      </c>
      <c r="C406" s="1" t="s">
        <v>143</v>
      </c>
      <c r="D406" s="1">
        <v>492.36</v>
      </c>
      <c r="E406" s="1">
        <v>-53.33</v>
      </c>
      <c r="F406" s="1">
        <v>0</v>
      </c>
      <c r="G406" s="1">
        <v>351.98</v>
      </c>
      <c r="H406" s="1">
        <v>2954.1460000000002</v>
      </c>
      <c r="I406" s="1">
        <v>-3043.866</v>
      </c>
    </row>
    <row r="407" spans="1:9" hidden="1" x14ac:dyDescent="0.25">
      <c r="A407" s="1" t="s">
        <v>126</v>
      </c>
      <c r="B407" s="1" t="s">
        <v>210</v>
      </c>
      <c r="C407" s="1" t="s">
        <v>3</v>
      </c>
      <c r="D407" s="1">
        <v>516.88</v>
      </c>
      <c r="E407" s="1">
        <v>-53.33</v>
      </c>
      <c r="F407" s="1">
        <v>0</v>
      </c>
      <c r="G407" s="1">
        <v>351.98</v>
      </c>
      <c r="H407" s="1">
        <v>3101.2710000000002</v>
      </c>
      <c r="I407" s="1">
        <v>-3351.864</v>
      </c>
    </row>
    <row r="408" spans="1:9" hidden="1" x14ac:dyDescent="0.25">
      <c r="A408" s="1" t="s">
        <v>126</v>
      </c>
      <c r="B408" s="1" t="s">
        <v>211</v>
      </c>
      <c r="C408" s="1" t="s">
        <v>143</v>
      </c>
      <c r="D408" s="1">
        <v>492.36</v>
      </c>
      <c r="E408" s="1">
        <v>-53.33</v>
      </c>
      <c r="F408" s="1">
        <v>0</v>
      </c>
      <c r="G408" s="1">
        <v>287.98399999999998</v>
      </c>
      <c r="H408" s="1">
        <v>2954.1460000000002</v>
      </c>
      <c r="I408" s="1">
        <v>-3043.866</v>
      </c>
    </row>
    <row r="409" spans="1:9" hidden="1" x14ac:dyDescent="0.25">
      <c r="A409" s="1" t="s">
        <v>126</v>
      </c>
      <c r="B409" s="1" t="s">
        <v>211</v>
      </c>
      <c r="C409" s="1" t="s">
        <v>3</v>
      </c>
      <c r="D409" s="1">
        <v>516.88</v>
      </c>
      <c r="E409" s="1">
        <v>-53.33</v>
      </c>
      <c r="F409" s="1">
        <v>0</v>
      </c>
      <c r="G409" s="1">
        <v>287.98399999999998</v>
      </c>
      <c r="H409" s="1">
        <v>3101.2710000000002</v>
      </c>
      <c r="I409" s="1">
        <v>-3351.864</v>
      </c>
    </row>
    <row r="410" spans="1:9" hidden="1" x14ac:dyDescent="0.25">
      <c r="A410" s="1" t="s">
        <v>126</v>
      </c>
      <c r="B410" s="1" t="s">
        <v>212</v>
      </c>
      <c r="C410" s="1" t="s">
        <v>143</v>
      </c>
      <c r="D410" s="1">
        <v>492.36</v>
      </c>
      <c r="E410" s="1">
        <v>53.33</v>
      </c>
      <c r="F410" s="1">
        <v>0</v>
      </c>
      <c r="G410" s="1">
        <v>-351.98</v>
      </c>
      <c r="H410" s="1">
        <v>2954.1460000000002</v>
      </c>
      <c r="I410" s="1">
        <v>-2864.4259999999999</v>
      </c>
    </row>
    <row r="411" spans="1:9" hidden="1" x14ac:dyDescent="0.25">
      <c r="A411" s="1" t="s">
        <v>126</v>
      </c>
      <c r="B411" s="1" t="s">
        <v>212</v>
      </c>
      <c r="C411" s="1" t="s">
        <v>3</v>
      </c>
      <c r="D411" s="1">
        <v>516.88</v>
      </c>
      <c r="E411" s="1">
        <v>53.33</v>
      </c>
      <c r="F411" s="1">
        <v>0</v>
      </c>
      <c r="G411" s="1">
        <v>-351.98</v>
      </c>
      <c r="H411" s="1">
        <v>3101.2710000000002</v>
      </c>
      <c r="I411" s="1">
        <v>-2850.6790000000001</v>
      </c>
    </row>
    <row r="412" spans="1:9" hidden="1" x14ac:dyDescent="0.25">
      <c r="A412" s="1" t="s">
        <v>126</v>
      </c>
      <c r="B412" s="1" t="s">
        <v>213</v>
      </c>
      <c r="C412" s="1" t="s">
        <v>143</v>
      </c>
      <c r="D412" s="1">
        <v>492.36</v>
      </c>
      <c r="E412" s="1">
        <v>53.33</v>
      </c>
      <c r="F412" s="1">
        <v>0</v>
      </c>
      <c r="G412" s="1">
        <v>-287.98399999999998</v>
      </c>
      <c r="H412" s="1">
        <v>2954.1460000000002</v>
      </c>
      <c r="I412" s="1">
        <v>-2864.4259999999999</v>
      </c>
    </row>
    <row r="413" spans="1:9" hidden="1" x14ac:dyDescent="0.25">
      <c r="A413" s="1" t="s">
        <v>126</v>
      </c>
      <c r="B413" s="1" t="s">
        <v>213</v>
      </c>
      <c r="C413" s="1" t="s">
        <v>3</v>
      </c>
      <c r="D413" s="1">
        <v>516.88</v>
      </c>
      <c r="E413" s="1">
        <v>53.33</v>
      </c>
      <c r="F413" s="1">
        <v>0</v>
      </c>
      <c r="G413" s="1">
        <v>-287.98399999999998</v>
      </c>
      <c r="H413" s="1">
        <v>3101.2710000000002</v>
      </c>
      <c r="I413" s="1">
        <v>-2850.6790000000001</v>
      </c>
    </row>
    <row r="414" spans="1:9" hidden="1" x14ac:dyDescent="0.25">
      <c r="A414" s="1" t="s">
        <v>126</v>
      </c>
      <c r="B414" s="1" t="s">
        <v>214</v>
      </c>
      <c r="C414" s="1" t="s">
        <v>143</v>
      </c>
      <c r="D414" s="1">
        <v>492.36</v>
      </c>
      <c r="E414" s="1">
        <v>0</v>
      </c>
      <c r="F414" s="1">
        <v>-53.33</v>
      </c>
      <c r="G414" s="1">
        <v>-351.98</v>
      </c>
      <c r="H414" s="1">
        <v>3043.866</v>
      </c>
      <c r="I414" s="1">
        <v>-2954.1460000000002</v>
      </c>
    </row>
    <row r="415" spans="1:9" hidden="1" x14ac:dyDescent="0.25">
      <c r="A415" s="1" t="s">
        <v>126</v>
      </c>
      <c r="B415" s="1" t="s">
        <v>214</v>
      </c>
      <c r="C415" s="1" t="s">
        <v>3</v>
      </c>
      <c r="D415" s="1">
        <v>516.88</v>
      </c>
      <c r="E415" s="1">
        <v>0</v>
      </c>
      <c r="F415" s="1">
        <v>-53.33</v>
      </c>
      <c r="G415" s="1">
        <v>-351.98</v>
      </c>
      <c r="H415" s="1">
        <v>3351.864</v>
      </c>
      <c r="I415" s="1">
        <v>-3101.2710000000002</v>
      </c>
    </row>
    <row r="416" spans="1:9" hidden="1" x14ac:dyDescent="0.25">
      <c r="A416" s="1" t="s">
        <v>126</v>
      </c>
      <c r="B416" s="1" t="s">
        <v>215</v>
      </c>
      <c r="C416" s="1" t="s">
        <v>143</v>
      </c>
      <c r="D416" s="1">
        <v>492.36</v>
      </c>
      <c r="E416" s="1">
        <v>0</v>
      </c>
      <c r="F416" s="1">
        <v>-53.33</v>
      </c>
      <c r="G416" s="1">
        <v>-287.98399999999998</v>
      </c>
      <c r="H416" s="1">
        <v>3043.866</v>
      </c>
      <c r="I416" s="1">
        <v>-2954.1460000000002</v>
      </c>
    </row>
    <row r="417" spans="1:9" hidden="1" x14ac:dyDescent="0.25">
      <c r="A417" s="1" t="s">
        <v>126</v>
      </c>
      <c r="B417" s="1" t="s">
        <v>215</v>
      </c>
      <c r="C417" s="1" t="s">
        <v>3</v>
      </c>
      <c r="D417" s="1">
        <v>516.88</v>
      </c>
      <c r="E417" s="1">
        <v>0</v>
      </c>
      <c r="F417" s="1">
        <v>-53.33</v>
      </c>
      <c r="G417" s="1">
        <v>-287.98399999999998</v>
      </c>
      <c r="H417" s="1">
        <v>3351.864</v>
      </c>
      <c r="I417" s="1">
        <v>-3101.2710000000002</v>
      </c>
    </row>
    <row r="418" spans="1:9" hidden="1" x14ac:dyDescent="0.25">
      <c r="A418" s="1" t="s">
        <v>126</v>
      </c>
      <c r="B418" s="1" t="s">
        <v>216</v>
      </c>
      <c r="C418" s="1" t="s">
        <v>143</v>
      </c>
      <c r="D418" s="1">
        <v>492.36</v>
      </c>
      <c r="E418" s="1">
        <v>0</v>
      </c>
      <c r="F418" s="1">
        <v>53.33</v>
      </c>
      <c r="G418" s="1">
        <v>351.98</v>
      </c>
      <c r="H418" s="1">
        <v>2864.4259999999999</v>
      </c>
      <c r="I418" s="1">
        <v>-2954.1460000000002</v>
      </c>
    </row>
    <row r="419" spans="1:9" hidden="1" x14ac:dyDescent="0.25">
      <c r="A419" s="1" t="s">
        <v>126</v>
      </c>
      <c r="B419" s="1" t="s">
        <v>216</v>
      </c>
      <c r="C419" s="1" t="s">
        <v>3</v>
      </c>
      <c r="D419" s="1">
        <v>516.88</v>
      </c>
      <c r="E419" s="1">
        <v>0</v>
      </c>
      <c r="F419" s="1">
        <v>53.33</v>
      </c>
      <c r="G419" s="1">
        <v>351.98</v>
      </c>
      <c r="H419" s="1">
        <v>2850.6790000000001</v>
      </c>
      <c r="I419" s="1">
        <v>-3101.2710000000002</v>
      </c>
    </row>
    <row r="420" spans="1:9" hidden="1" x14ac:dyDescent="0.25">
      <c r="A420" s="1" t="s">
        <v>126</v>
      </c>
      <c r="B420" s="1" t="s">
        <v>217</v>
      </c>
      <c r="C420" s="1" t="s">
        <v>143</v>
      </c>
      <c r="D420" s="1">
        <v>492.36</v>
      </c>
      <c r="E420" s="1">
        <v>0</v>
      </c>
      <c r="F420" s="1">
        <v>53.33</v>
      </c>
      <c r="G420" s="1">
        <v>287.98399999999998</v>
      </c>
      <c r="H420" s="1">
        <v>2864.4259999999999</v>
      </c>
      <c r="I420" s="1">
        <v>-2954.1460000000002</v>
      </c>
    </row>
    <row r="421" spans="1:9" hidden="1" x14ac:dyDescent="0.25">
      <c r="A421" s="1" t="s">
        <v>126</v>
      </c>
      <c r="B421" s="1" t="s">
        <v>217</v>
      </c>
      <c r="C421" s="1" t="s">
        <v>3</v>
      </c>
      <c r="D421" s="1">
        <v>516.88</v>
      </c>
      <c r="E421" s="1">
        <v>0</v>
      </c>
      <c r="F421" s="1">
        <v>53.33</v>
      </c>
      <c r="G421" s="1">
        <v>287.98399999999998</v>
      </c>
      <c r="H421" s="1">
        <v>2850.6790000000001</v>
      </c>
      <c r="I421" s="1">
        <v>-3101.2710000000002</v>
      </c>
    </row>
    <row r="422" spans="1:9" hidden="1" x14ac:dyDescent="0.25">
      <c r="A422" s="1" t="s">
        <v>126</v>
      </c>
      <c r="B422" s="1" t="s">
        <v>218</v>
      </c>
      <c r="C422" s="1" t="s">
        <v>143</v>
      </c>
      <c r="D422" s="1">
        <v>351.68</v>
      </c>
      <c r="E422" s="1">
        <v>-53.33</v>
      </c>
      <c r="F422" s="1">
        <v>0</v>
      </c>
      <c r="G422" s="1">
        <v>351.98</v>
      </c>
      <c r="H422" s="1">
        <v>2110.1039999999998</v>
      </c>
      <c r="I422" s="1">
        <v>-2199.8240000000001</v>
      </c>
    </row>
    <row r="423" spans="1:9" hidden="1" x14ac:dyDescent="0.25">
      <c r="A423" s="1" t="s">
        <v>126</v>
      </c>
      <c r="B423" s="1" t="s">
        <v>218</v>
      </c>
      <c r="C423" s="1" t="s">
        <v>3</v>
      </c>
      <c r="D423" s="1">
        <v>369.2</v>
      </c>
      <c r="E423" s="1">
        <v>-53.33</v>
      </c>
      <c r="F423" s="1">
        <v>0</v>
      </c>
      <c r="G423" s="1">
        <v>351.98</v>
      </c>
      <c r="H423" s="1">
        <v>2215.194</v>
      </c>
      <c r="I423" s="1">
        <v>-2465.7860000000001</v>
      </c>
    </row>
    <row r="424" spans="1:9" hidden="1" x14ac:dyDescent="0.25">
      <c r="A424" s="1" t="s">
        <v>126</v>
      </c>
      <c r="B424" s="1" t="s">
        <v>219</v>
      </c>
      <c r="C424" s="1" t="s">
        <v>143</v>
      </c>
      <c r="D424" s="1">
        <v>351.68</v>
      </c>
      <c r="E424" s="1">
        <v>-53.33</v>
      </c>
      <c r="F424" s="1">
        <v>0</v>
      </c>
      <c r="G424" s="1">
        <v>287.98399999999998</v>
      </c>
      <c r="H424" s="1">
        <v>2110.1039999999998</v>
      </c>
      <c r="I424" s="1">
        <v>-2199.8240000000001</v>
      </c>
    </row>
    <row r="425" spans="1:9" hidden="1" x14ac:dyDescent="0.25">
      <c r="A425" s="1" t="s">
        <v>126</v>
      </c>
      <c r="B425" s="1" t="s">
        <v>219</v>
      </c>
      <c r="C425" s="1" t="s">
        <v>3</v>
      </c>
      <c r="D425" s="1">
        <v>369.2</v>
      </c>
      <c r="E425" s="1">
        <v>-53.33</v>
      </c>
      <c r="F425" s="1">
        <v>0</v>
      </c>
      <c r="G425" s="1">
        <v>287.98399999999998</v>
      </c>
      <c r="H425" s="1">
        <v>2215.194</v>
      </c>
      <c r="I425" s="1">
        <v>-2465.7860000000001</v>
      </c>
    </row>
    <row r="426" spans="1:9" hidden="1" x14ac:dyDescent="0.25">
      <c r="A426" s="1" t="s">
        <v>126</v>
      </c>
      <c r="B426" s="1" t="s">
        <v>220</v>
      </c>
      <c r="C426" s="1" t="s">
        <v>143</v>
      </c>
      <c r="D426" s="1">
        <v>351.68</v>
      </c>
      <c r="E426" s="1">
        <v>53.33</v>
      </c>
      <c r="F426" s="1">
        <v>0</v>
      </c>
      <c r="G426" s="1">
        <v>-351.98</v>
      </c>
      <c r="H426" s="1">
        <v>2110.1039999999998</v>
      </c>
      <c r="I426" s="1">
        <v>-2020.384</v>
      </c>
    </row>
    <row r="427" spans="1:9" hidden="1" x14ac:dyDescent="0.25">
      <c r="A427" s="1" t="s">
        <v>126</v>
      </c>
      <c r="B427" s="1" t="s">
        <v>220</v>
      </c>
      <c r="C427" s="1" t="s">
        <v>3</v>
      </c>
      <c r="D427" s="1">
        <v>369.2</v>
      </c>
      <c r="E427" s="1">
        <v>53.33</v>
      </c>
      <c r="F427" s="1">
        <v>0</v>
      </c>
      <c r="G427" s="1">
        <v>-351.98</v>
      </c>
      <c r="H427" s="1">
        <v>2215.194</v>
      </c>
      <c r="I427" s="1">
        <v>-1964.6020000000001</v>
      </c>
    </row>
    <row r="428" spans="1:9" hidden="1" x14ac:dyDescent="0.25">
      <c r="A428" s="1" t="s">
        <v>126</v>
      </c>
      <c r="B428" s="1" t="s">
        <v>221</v>
      </c>
      <c r="C428" s="1" t="s">
        <v>143</v>
      </c>
      <c r="D428" s="1">
        <v>351.68</v>
      </c>
      <c r="E428" s="1">
        <v>53.33</v>
      </c>
      <c r="F428" s="1">
        <v>0</v>
      </c>
      <c r="G428" s="1">
        <v>-287.98399999999998</v>
      </c>
      <c r="H428" s="1">
        <v>2110.1039999999998</v>
      </c>
      <c r="I428" s="1">
        <v>-2020.384</v>
      </c>
    </row>
    <row r="429" spans="1:9" hidden="1" x14ac:dyDescent="0.25">
      <c r="A429" s="1" t="s">
        <v>126</v>
      </c>
      <c r="B429" s="1" t="s">
        <v>221</v>
      </c>
      <c r="C429" s="1" t="s">
        <v>3</v>
      </c>
      <c r="D429" s="1">
        <v>369.2</v>
      </c>
      <c r="E429" s="1">
        <v>53.33</v>
      </c>
      <c r="F429" s="1">
        <v>0</v>
      </c>
      <c r="G429" s="1">
        <v>-287.98399999999998</v>
      </c>
      <c r="H429" s="1">
        <v>2215.194</v>
      </c>
      <c r="I429" s="1">
        <v>-1964.6020000000001</v>
      </c>
    </row>
    <row r="430" spans="1:9" hidden="1" x14ac:dyDescent="0.25">
      <c r="A430" s="1" t="s">
        <v>126</v>
      </c>
      <c r="B430" s="1" t="s">
        <v>222</v>
      </c>
      <c r="C430" s="1" t="s">
        <v>143</v>
      </c>
      <c r="D430" s="1">
        <v>351.68</v>
      </c>
      <c r="E430" s="1">
        <v>0</v>
      </c>
      <c r="F430" s="1">
        <v>-53.33</v>
      </c>
      <c r="G430" s="1">
        <v>-351.98</v>
      </c>
      <c r="H430" s="1">
        <v>2199.8240000000001</v>
      </c>
      <c r="I430" s="1">
        <v>-2110.1039999999998</v>
      </c>
    </row>
    <row r="431" spans="1:9" hidden="1" x14ac:dyDescent="0.25">
      <c r="A431" s="1" t="s">
        <v>126</v>
      </c>
      <c r="B431" s="1" t="s">
        <v>222</v>
      </c>
      <c r="C431" s="1" t="s">
        <v>3</v>
      </c>
      <c r="D431" s="1">
        <v>369.2</v>
      </c>
      <c r="E431" s="1">
        <v>0</v>
      </c>
      <c r="F431" s="1">
        <v>-53.33</v>
      </c>
      <c r="G431" s="1">
        <v>-351.98</v>
      </c>
      <c r="H431" s="1">
        <v>2465.7860000000001</v>
      </c>
      <c r="I431" s="1">
        <v>-2215.194</v>
      </c>
    </row>
    <row r="432" spans="1:9" hidden="1" x14ac:dyDescent="0.25">
      <c r="A432" s="1" t="s">
        <v>126</v>
      </c>
      <c r="B432" s="1" t="s">
        <v>223</v>
      </c>
      <c r="C432" s="1" t="s">
        <v>143</v>
      </c>
      <c r="D432" s="1">
        <v>351.68</v>
      </c>
      <c r="E432" s="1">
        <v>0</v>
      </c>
      <c r="F432" s="1">
        <v>-53.33</v>
      </c>
      <c r="G432" s="1">
        <v>-287.98399999999998</v>
      </c>
      <c r="H432" s="1">
        <v>2199.8240000000001</v>
      </c>
      <c r="I432" s="1">
        <v>-2110.1039999999998</v>
      </c>
    </row>
    <row r="433" spans="1:9" hidden="1" x14ac:dyDescent="0.25">
      <c r="A433" s="1" t="s">
        <v>126</v>
      </c>
      <c r="B433" s="1" t="s">
        <v>223</v>
      </c>
      <c r="C433" s="1" t="s">
        <v>3</v>
      </c>
      <c r="D433" s="1">
        <v>369.2</v>
      </c>
      <c r="E433" s="1">
        <v>0</v>
      </c>
      <c r="F433" s="1">
        <v>-53.33</v>
      </c>
      <c r="G433" s="1">
        <v>-287.98399999999998</v>
      </c>
      <c r="H433" s="1">
        <v>2465.7860000000001</v>
      </c>
      <c r="I433" s="1">
        <v>-2215.194</v>
      </c>
    </row>
    <row r="434" spans="1:9" hidden="1" x14ac:dyDescent="0.25">
      <c r="A434" s="1" t="s">
        <v>126</v>
      </c>
      <c r="B434" s="1" t="s">
        <v>224</v>
      </c>
      <c r="C434" s="1" t="s">
        <v>143</v>
      </c>
      <c r="D434" s="1">
        <v>351.68</v>
      </c>
      <c r="E434" s="1">
        <v>0</v>
      </c>
      <c r="F434" s="1">
        <v>53.33</v>
      </c>
      <c r="G434" s="1">
        <v>351.98</v>
      </c>
      <c r="H434" s="1">
        <v>2020.384</v>
      </c>
      <c r="I434" s="1">
        <v>-2110.1039999999998</v>
      </c>
    </row>
    <row r="435" spans="1:9" hidden="1" x14ac:dyDescent="0.25">
      <c r="A435" s="1" t="s">
        <v>126</v>
      </c>
      <c r="B435" s="1" t="s">
        <v>224</v>
      </c>
      <c r="C435" s="1" t="s">
        <v>3</v>
      </c>
      <c r="D435" s="1">
        <v>369.2</v>
      </c>
      <c r="E435" s="1">
        <v>0</v>
      </c>
      <c r="F435" s="1">
        <v>53.33</v>
      </c>
      <c r="G435" s="1">
        <v>351.98</v>
      </c>
      <c r="H435" s="1">
        <v>1964.6020000000001</v>
      </c>
      <c r="I435" s="1">
        <v>-2215.194</v>
      </c>
    </row>
    <row r="436" spans="1:9" hidden="1" x14ac:dyDescent="0.25">
      <c r="A436" s="1" t="s">
        <v>126</v>
      </c>
      <c r="B436" s="1" t="s">
        <v>225</v>
      </c>
      <c r="C436" s="1" t="s">
        <v>143</v>
      </c>
      <c r="D436" s="1">
        <v>351.68</v>
      </c>
      <c r="E436" s="1">
        <v>0</v>
      </c>
      <c r="F436" s="1">
        <v>53.33</v>
      </c>
      <c r="G436" s="1">
        <v>287.98399999999998</v>
      </c>
      <c r="H436" s="1">
        <v>2020.384</v>
      </c>
      <c r="I436" s="1">
        <v>-2110.1039999999998</v>
      </c>
    </row>
    <row r="437" spans="1:9" hidden="1" x14ac:dyDescent="0.25">
      <c r="A437" s="1" t="s">
        <v>126</v>
      </c>
      <c r="B437" s="1" t="s">
        <v>225</v>
      </c>
      <c r="C437" s="1" t="s">
        <v>3</v>
      </c>
      <c r="D437" s="1">
        <v>369.2</v>
      </c>
      <c r="E437" s="1">
        <v>0</v>
      </c>
      <c r="F437" s="1">
        <v>53.33</v>
      </c>
      <c r="G437" s="1">
        <v>287.98399999999998</v>
      </c>
      <c r="H437" s="1">
        <v>1964.6020000000001</v>
      </c>
      <c r="I437" s="1">
        <v>-2215.194</v>
      </c>
    </row>
    <row r="438" spans="1:9" hidden="1" x14ac:dyDescent="0.25">
      <c r="A438" s="1" t="s">
        <v>126</v>
      </c>
      <c r="B438" s="1" t="s">
        <v>226</v>
      </c>
      <c r="C438" s="1" t="s">
        <v>143</v>
      </c>
      <c r="D438" s="1">
        <v>627</v>
      </c>
      <c r="E438" s="1">
        <v>174.68</v>
      </c>
      <c r="F438" s="1">
        <v>0</v>
      </c>
      <c r="G438" s="1">
        <v>1153.7639999999999</v>
      </c>
      <c r="H438" s="1">
        <v>3761.973</v>
      </c>
      <c r="I438" s="1">
        <v>-3488.3629999999998</v>
      </c>
    </row>
    <row r="439" spans="1:9" hidden="1" x14ac:dyDescent="0.25">
      <c r="A439" s="1" t="s">
        <v>126</v>
      </c>
      <c r="B439" s="1" t="s">
        <v>226</v>
      </c>
      <c r="C439" s="1" t="s">
        <v>3</v>
      </c>
      <c r="D439" s="1">
        <v>656.07</v>
      </c>
      <c r="E439" s="1">
        <v>174.68</v>
      </c>
      <c r="F439" s="1">
        <v>0</v>
      </c>
      <c r="G439" s="1">
        <v>1153.7639999999999</v>
      </c>
      <c r="H439" s="1">
        <v>3936.422</v>
      </c>
      <c r="I439" s="1">
        <v>-3137.1680000000001</v>
      </c>
    </row>
    <row r="440" spans="1:9" hidden="1" x14ac:dyDescent="0.25">
      <c r="A440" s="1" t="s">
        <v>126</v>
      </c>
      <c r="B440" s="1" t="s">
        <v>227</v>
      </c>
      <c r="C440" s="1" t="s">
        <v>143</v>
      </c>
      <c r="D440" s="1">
        <v>627</v>
      </c>
      <c r="E440" s="1">
        <v>-174.68</v>
      </c>
      <c r="F440" s="1">
        <v>0</v>
      </c>
      <c r="G440" s="1">
        <v>-1153.7639999999999</v>
      </c>
      <c r="H440" s="1">
        <v>3761.973</v>
      </c>
      <c r="I440" s="1">
        <v>-4035.5819999999999</v>
      </c>
    </row>
    <row r="441" spans="1:9" hidden="1" x14ac:dyDescent="0.25">
      <c r="A441" s="1" t="s">
        <v>126</v>
      </c>
      <c r="B441" s="1" t="s">
        <v>227</v>
      </c>
      <c r="C441" s="1" t="s">
        <v>3</v>
      </c>
      <c r="D441" s="1">
        <v>656.07</v>
      </c>
      <c r="E441" s="1">
        <v>-174.68</v>
      </c>
      <c r="F441" s="1">
        <v>0</v>
      </c>
      <c r="G441" s="1">
        <v>-1153.7639999999999</v>
      </c>
      <c r="H441" s="1">
        <v>3936.422</v>
      </c>
      <c r="I441" s="1">
        <v>-4735.6760000000004</v>
      </c>
    </row>
    <row r="442" spans="1:9" hidden="1" x14ac:dyDescent="0.25">
      <c r="A442" s="1" t="s">
        <v>126</v>
      </c>
      <c r="B442" s="1" t="s">
        <v>228</v>
      </c>
      <c r="C442" s="1" t="s">
        <v>143</v>
      </c>
      <c r="D442" s="1">
        <v>584.79</v>
      </c>
      <c r="E442" s="1">
        <v>174.68</v>
      </c>
      <c r="F442" s="1">
        <v>0</v>
      </c>
      <c r="G442" s="1">
        <v>1153.7639999999999</v>
      </c>
      <c r="H442" s="1">
        <v>3508.76</v>
      </c>
      <c r="I442" s="1">
        <v>-3235.1509999999998</v>
      </c>
    </row>
    <row r="443" spans="1:9" hidden="1" x14ac:dyDescent="0.25">
      <c r="A443" s="1" t="s">
        <v>126</v>
      </c>
      <c r="B443" s="1" t="s">
        <v>228</v>
      </c>
      <c r="C443" s="1" t="s">
        <v>3</v>
      </c>
      <c r="D443" s="1">
        <v>611.77</v>
      </c>
      <c r="E443" s="1">
        <v>174.68</v>
      </c>
      <c r="F443" s="1">
        <v>0</v>
      </c>
      <c r="G443" s="1">
        <v>1153.7639999999999</v>
      </c>
      <c r="H443" s="1">
        <v>3670.5990000000002</v>
      </c>
      <c r="I443" s="1">
        <v>-2871.3440000000001</v>
      </c>
    </row>
    <row r="444" spans="1:9" hidden="1" x14ac:dyDescent="0.25">
      <c r="A444" s="1" t="s">
        <v>126</v>
      </c>
      <c r="B444" s="1" t="s">
        <v>229</v>
      </c>
      <c r="C444" s="1" t="s">
        <v>143</v>
      </c>
      <c r="D444" s="1">
        <v>584.79</v>
      </c>
      <c r="E444" s="1">
        <v>-174.68</v>
      </c>
      <c r="F444" s="1">
        <v>0</v>
      </c>
      <c r="G444" s="1">
        <v>-1153.7639999999999</v>
      </c>
      <c r="H444" s="1">
        <v>3508.76</v>
      </c>
      <c r="I444" s="1">
        <v>-3782.37</v>
      </c>
    </row>
    <row r="445" spans="1:9" hidden="1" x14ac:dyDescent="0.25">
      <c r="A445" s="1" t="s">
        <v>126</v>
      </c>
      <c r="B445" s="1" t="s">
        <v>229</v>
      </c>
      <c r="C445" s="1" t="s">
        <v>3</v>
      </c>
      <c r="D445" s="1">
        <v>611.77</v>
      </c>
      <c r="E445" s="1">
        <v>-174.68</v>
      </c>
      <c r="F445" s="1">
        <v>0</v>
      </c>
      <c r="G445" s="1">
        <v>-1153.7639999999999</v>
      </c>
      <c r="H445" s="1">
        <v>3670.598</v>
      </c>
      <c r="I445" s="1">
        <v>-4469.8530000000001</v>
      </c>
    </row>
    <row r="446" spans="1:9" hidden="1" x14ac:dyDescent="0.25">
      <c r="A446" s="1" t="s">
        <v>126</v>
      </c>
      <c r="B446" s="1" t="s">
        <v>230</v>
      </c>
      <c r="C446" s="1" t="s">
        <v>143</v>
      </c>
      <c r="D446" s="1">
        <v>627</v>
      </c>
      <c r="E446" s="1">
        <v>0</v>
      </c>
      <c r="F446" s="1">
        <v>160.13</v>
      </c>
      <c r="G446" s="1">
        <v>1057.617</v>
      </c>
      <c r="H446" s="1">
        <v>4012.7820000000002</v>
      </c>
      <c r="I446" s="1">
        <v>-3761.973</v>
      </c>
    </row>
    <row r="447" spans="1:9" hidden="1" x14ac:dyDescent="0.25">
      <c r="A447" s="1" t="s">
        <v>126</v>
      </c>
      <c r="B447" s="1" t="s">
        <v>230</v>
      </c>
      <c r="C447" s="1" t="s">
        <v>3</v>
      </c>
      <c r="D447" s="1">
        <v>656.07</v>
      </c>
      <c r="E447" s="1">
        <v>0</v>
      </c>
      <c r="F447" s="1">
        <v>160.13</v>
      </c>
      <c r="G447" s="1">
        <v>1057.617</v>
      </c>
      <c r="H447" s="1">
        <v>4669.0709999999999</v>
      </c>
      <c r="I447" s="1">
        <v>-3936.422</v>
      </c>
    </row>
    <row r="448" spans="1:9" hidden="1" x14ac:dyDescent="0.25">
      <c r="A448" s="1" t="s">
        <v>126</v>
      </c>
      <c r="B448" s="1" t="s">
        <v>231</v>
      </c>
      <c r="C448" s="1" t="s">
        <v>143</v>
      </c>
      <c r="D448" s="1">
        <v>627</v>
      </c>
      <c r="E448" s="1">
        <v>0</v>
      </c>
      <c r="F448" s="1">
        <v>-160.13</v>
      </c>
      <c r="G448" s="1">
        <v>-1057.617</v>
      </c>
      <c r="H448" s="1">
        <v>3511.1640000000002</v>
      </c>
      <c r="I448" s="1">
        <v>-3761.973</v>
      </c>
    </row>
    <row r="449" spans="1:9" hidden="1" x14ac:dyDescent="0.25">
      <c r="A449" s="1" t="s">
        <v>126</v>
      </c>
      <c r="B449" s="1" t="s">
        <v>231</v>
      </c>
      <c r="C449" s="1" t="s">
        <v>3</v>
      </c>
      <c r="D449" s="1">
        <v>656.07</v>
      </c>
      <c r="E449" s="1">
        <v>0</v>
      </c>
      <c r="F449" s="1">
        <v>-160.13</v>
      </c>
      <c r="G449" s="1">
        <v>-1057.617</v>
      </c>
      <c r="H449" s="1">
        <v>3203.7719999999999</v>
      </c>
      <c r="I449" s="1">
        <v>-3936.422</v>
      </c>
    </row>
    <row r="450" spans="1:9" hidden="1" x14ac:dyDescent="0.25">
      <c r="A450" s="1" t="s">
        <v>126</v>
      </c>
      <c r="B450" s="1" t="s">
        <v>232</v>
      </c>
      <c r="C450" s="1" t="s">
        <v>143</v>
      </c>
      <c r="D450" s="1">
        <v>584.79</v>
      </c>
      <c r="E450" s="1">
        <v>0</v>
      </c>
      <c r="F450" s="1">
        <v>160.13</v>
      </c>
      <c r="G450" s="1">
        <v>1057.617</v>
      </c>
      <c r="H450" s="1">
        <v>3759.569</v>
      </c>
      <c r="I450" s="1">
        <v>-3508.76</v>
      </c>
    </row>
    <row r="451" spans="1:9" hidden="1" x14ac:dyDescent="0.25">
      <c r="A451" s="1" t="s">
        <v>126</v>
      </c>
      <c r="B451" s="1" t="s">
        <v>232</v>
      </c>
      <c r="C451" s="1" t="s">
        <v>3</v>
      </c>
      <c r="D451" s="1">
        <v>611.77</v>
      </c>
      <c r="E451" s="1">
        <v>0</v>
      </c>
      <c r="F451" s="1">
        <v>160.13</v>
      </c>
      <c r="G451" s="1">
        <v>1057.617</v>
      </c>
      <c r="H451" s="1">
        <v>4403.2479999999996</v>
      </c>
      <c r="I451" s="1">
        <v>-3670.598</v>
      </c>
    </row>
    <row r="452" spans="1:9" hidden="1" x14ac:dyDescent="0.25">
      <c r="A452" s="1" t="s">
        <v>126</v>
      </c>
      <c r="B452" s="1" t="s">
        <v>233</v>
      </c>
      <c r="C452" s="1" t="s">
        <v>143</v>
      </c>
      <c r="D452" s="1">
        <v>584.79</v>
      </c>
      <c r="E452" s="1">
        <v>0</v>
      </c>
      <c r="F452" s="1">
        <v>-160.13</v>
      </c>
      <c r="G452" s="1">
        <v>-1057.617</v>
      </c>
      <c r="H452" s="1">
        <v>3257.951</v>
      </c>
      <c r="I452" s="1">
        <v>-3508.76</v>
      </c>
    </row>
    <row r="453" spans="1:9" hidden="1" x14ac:dyDescent="0.25">
      <c r="A453" s="1" t="s">
        <v>126</v>
      </c>
      <c r="B453" s="1" t="s">
        <v>233</v>
      </c>
      <c r="C453" s="1" t="s">
        <v>3</v>
      </c>
      <c r="D453" s="1">
        <v>611.77</v>
      </c>
      <c r="E453" s="1">
        <v>0</v>
      </c>
      <c r="F453" s="1">
        <v>-160.13</v>
      </c>
      <c r="G453" s="1">
        <v>-1057.617</v>
      </c>
      <c r="H453" s="1">
        <v>2937.9490000000001</v>
      </c>
      <c r="I453" s="1">
        <v>-3670.5990000000002</v>
      </c>
    </row>
    <row r="454" spans="1:9" hidden="1" x14ac:dyDescent="0.25">
      <c r="A454" s="1" t="s">
        <v>126</v>
      </c>
      <c r="B454" s="1" t="s">
        <v>234</v>
      </c>
      <c r="C454" s="1" t="s">
        <v>143</v>
      </c>
      <c r="D454" s="1">
        <v>676.23</v>
      </c>
      <c r="E454" s="1">
        <v>52.41</v>
      </c>
      <c r="F454" s="1">
        <v>0</v>
      </c>
      <c r="G454" s="1">
        <v>346.12900000000002</v>
      </c>
      <c r="H454" s="1">
        <v>4057.3870000000002</v>
      </c>
      <c r="I454" s="1">
        <v>-3975.3040000000001</v>
      </c>
    </row>
    <row r="455" spans="1:9" hidden="1" x14ac:dyDescent="0.25">
      <c r="A455" s="1" t="s">
        <v>126</v>
      </c>
      <c r="B455" s="1" t="s">
        <v>234</v>
      </c>
      <c r="C455" s="1" t="s">
        <v>3</v>
      </c>
      <c r="D455" s="1">
        <v>707.76</v>
      </c>
      <c r="E455" s="1">
        <v>52.41</v>
      </c>
      <c r="F455" s="1">
        <v>0</v>
      </c>
      <c r="G455" s="1">
        <v>346.12900000000002</v>
      </c>
      <c r="H455" s="1">
        <v>4246.549</v>
      </c>
      <c r="I455" s="1">
        <v>-4006.7730000000001</v>
      </c>
    </row>
    <row r="456" spans="1:9" hidden="1" x14ac:dyDescent="0.25">
      <c r="A456" s="1" t="s">
        <v>126</v>
      </c>
      <c r="B456" s="1" t="s">
        <v>235</v>
      </c>
      <c r="C456" s="1" t="s">
        <v>143</v>
      </c>
      <c r="D456" s="1">
        <v>676.23</v>
      </c>
      <c r="E456" s="1">
        <v>-52.41</v>
      </c>
      <c r="F456" s="1">
        <v>0</v>
      </c>
      <c r="G456" s="1">
        <v>-346.12900000000002</v>
      </c>
      <c r="H456" s="1">
        <v>4057.3870000000002</v>
      </c>
      <c r="I456" s="1">
        <v>-4139.47</v>
      </c>
    </row>
    <row r="457" spans="1:9" hidden="1" x14ac:dyDescent="0.25">
      <c r="A457" s="1" t="s">
        <v>126</v>
      </c>
      <c r="B457" s="1" t="s">
        <v>235</v>
      </c>
      <c r="C457" s="1" t="s">
        <v>3</v>
      </c>
      <c r="D457" s="1">
        <v>707.76</v>
      </c>
      <c r="E457" s="1">
        <v>-52.41</v>
      </c>
      <c r="F457" s="1">
        <v>0</v>
      </c>
      <c r="G457" s="1">
        <v>-346.12900000000002</v>
      </c>
      <c r="H457" s="1">
        <v>4246.549</v>
      </c>
      <c r="I457" s="1">
        <v>-4486.3249999999998</v>
      </c>
    </row>
    <row r="458" spans="1:9" hidden="1" x14ac:dyDescent="0.25">
      <c r="A458" s="1" t="s">
        <v>126</v>
      </c>
      <c r="B458" s="1" t="s">
        <v>236</v>
      </c>
      <c r="C458" s="1" t="s">
        <v>143</v>
      </c>
      <c r="D458" s="1">
        <v>535.55999999999995</v>
      </c>
      <c r="E458" s="1">
        <v>52.41</v>
      </c>
      <c r="F458" s="1">
        <v>0</v>
      </c>
      <c r="G458" s="1">
        <v>346.12900000000002</v>
      </c>
      <c r="H458" s="1">
        <v>3213.346</v>
      </c>
      <c r="I458" s="1">
        <v>-3131.2629999999999</v>
      </c>
    </row>
    <row r="459" spans="1:9" hidden="1" x14ac:dyDescent="0.25">
      <c r="A459" s="1" t="s">
        <v>126</v>
      </c>
      <c r="B459" s="1" t="s">
        <v>236</v>
      </c>
      <c r="C459" s="1" t="s">
        <v>3</v>
      </c>
      <c r="D459" s="1">
        <v>560.08000000000004</v>
      </c>
      <c r="E459" s="1">
        <v>52.41</v>
      </c>
      <c r="F459" s="1">
        <v>0</v>
      </c>
      <c r="G459" s="1">
        <v>346.12900000000002</v>
      </c>
      <c r="H459" s="1">
        <v>3360.471</v>
      </c>
      <c r="I459" s="1">
        <v>-3120.6950000000002</v>
      </c>
    </row>
    <row r="460" spans="1:9" hidden="1" x14ac:dyDescent="0.25">
      <c r="A460" s="1" t="s">
        <v>126</v>
      </c>
      <c r="B460" s="1" t="s">
        <v>237</v>
      </c>
      <c r="C460" s="1" t="s">
        <v>143</v>
      </c>
      <c r="D460" s="1">
        <v>535.55999999999995</v>
      </c>
      <c r="E460" s="1">
        <v>-52.41</v>
      </c>
      <c r="F460" s="1">
        <v>0</v>
      </c>
      <c r="G460" s="1">
        <v>-346.12900000000002</v>
      </c>
      <c r="H460" s="1">
        <v>3213.346</v>
      </c>
      <c r="I460" s="1">
        <v>-3295.4290000000001</v>
      </c>
    </row>
    <row r="461" spans="1:9" hidden="1" x14ac:dyDescent="0.25">
      <c r="A461" s="1" t="s">
        <v>126</v>
      </c>
      <c r="B461" s="1" t="s">
        <v>237</v>
      </c>
      <c r="C461" s="1" t="s">
        <v>3</v>
      </c>
      <c r="D461" s="1">
        <v>560.08000000000004</v>
      </c>
      <c r="E461" s="1">
        <v>-52.41</v>
      </c>
      <c r="F461" s="1">
        <v>0</v>
      </c>
      <c r="G461" s="1">
        <v>-346.12900000000002</v>
      </c>
      <c r="H461" s="1">
        <v>3360.471</v>
      </c>
      <c r="I461" s="1">
        <v>-3600.248</v>
      </c>
    </row>
    <row r="462" spans="1:9" hidden="1" x14ac:dyDescent="0.25">
      <c r="A462" s="1" t="s">
        <v>126</v>
      </c>
      <c r="B462" s="1" t="s">
        <v>238</v>
      </c>
      <c r="C462" s="1" t="s">
        <v>143</v>
      </c>
      <c r="D462" s="1">
        <v>676.23</v>
      </c>
      <c r="E462" s="1">
        <v>0</v>
      </c>
      <c r="F462" s="1">
        <v>48.04</v>
      </c>
      <c r="G462" s="1">
        <v>317.28500000000003</v>
      </c>
      <c r="H462" s="1">
        <v>4132.63</v>
      </c>
      <c r="I462" s="1">
        <v>-4057.3870000000002</v>
      </c>
    </row>
    <row r="463" spans="1:9" hidden="1" x14ac:dyDescent="0.25">
      <c r="A463" s="1" t="s">
        <v>126</v>
      </c>
      <c r="B463" s="1" t="s">
        <v>238</v>
      </c>
      <c r="C463" s="1" t="s">
        <v>3</v>
      </c>
      <c r="D463" s="1">
        <v>707.76</v>
      </c>
      <c r="E463" s="1">
        <v>0</v>
      </c>
      <c r="F463" s="1">
        <v>48.04</v>
      </c>
      <c r="G463" s="1">
        <v>317.28500000000003</v>
      </c>
      <c r="H463" s="1">
        <v>4466.3440000000001</v>
      </c>
      <c r="I463" s="1">
        <v>-4246.549</v>
      </c>
    </row>
    <row r="464" spans="1:9" hidden="1" x14ac:dyDescent="0.25">
      <c r="A464" s="1" t="s">
        <v>126</v>
      </c>
      <c r="B464" s="1" t="s">
        <v>239</v>
      </c>
      <c r="C464" s="1" t="s">
        <v>143</v>
      </c>
      <c r="D464" s="1">
        <v>676.23</v>
      </c>
      <c r="E464" s="1">
        <v>0</v>
      </c>
      <c r="F464" s="1">
        <v>-48.04</v>
      </c>
      <c r="G464" s="1">
        <v>-317.28500000000003</v>
      </c>
      <c r="H464" s="1">
        <v>3982.145</v>
      </c>
      <c r="I464" s="1">
        <v>-4057.3870000000002</v>
      </c>
    </row>
    <row r="465" spans="1:9" hidden="1" x14ac:dyDescent="0.25">
      <c r="A465" s="1" t="s">
        <v>126</v>
      </c>
      <c r="B465" s="1" t="s">
        <v>239</v>
      </c>
      <c r="C465" s="1" t="s">
        <v>3</v>
      </c>
      <c r="D465" s="1">
        <v>707.76</v>
      </c>
      <c r="E465" s="1">
        <v>0</v>
      </c>
      <c r="F465" s="1">
        <v>-48.04</v>
      </c>
      <c r="G465" s="1">
        <v>-317.28500000000003</v>
      </c>
      <c r="H465" s="1">
        <v>4026.7539999999999</v>
      </c>
      <c r="I465" s="1">
        <v>-4246.549</v>
      </c>
    </row>
    <row r="466" spans="1:9" hidden="1" x14ac:dyDescent="0.25">
      <c r="A466" s="1" t="s">
        <v>126</v>
      </c>
      <c r="B466" s="1" t="s">
        <v>240</v>
      </c>
      <c r="C466" s="1" t="s">
        <v>143</v>
      </c>
      <c r="D466" s="1">
        <v>535.55999999999995</v>
      </c>
      <c r="E466" s="1">
        <v>0</v>
      </c>
      <c r="F466" s="1">
        <v>48.04</v>
      </c>
      <c r="G466" s="1">
        <v>317.28500000000003</v>
      </c>
      <c r="H466" s="1">
        <v>3288.5880000000002</v>
      </c>
      <c r="I466" s="1">
        <v>-3213.346</v>
      </c>
    </row>
    <row r="467" spans="1:9" hidden="1" x14ac:dyDescent="0.25">
      <c r="A467" s="1" t="s">
        <v>126</v>
      </c>
      <c r="B467" s="1" t="s">
        <v>240</v>
      </c>
      <c r="C467" s="1" t="s">
        <v>3</v>
      </c>
      <c r="D467" s="1">
        <v>560.08000000000004</v>
      </c>
      <c r="E467" s="1">
        <v>0</v>
      </c>
      <c r="F467" s="1">
        <v>48.04</v>
      </c>
      <c r="G467" s="1">
        <v>317.28500000000003</v>
      </c>
      <c r="H467" s="1">
        <v>3580.2660000000001</v>
      </c>
      <c r="I467" s="1">
        <v>-3360.471</v>
      </c>
    </row>
    <row r="468" spans="1:9" hidden="1" x14ac:dyDescent="0.25">
      <c r="A468" s="1" t="s">
        <v>126</v>
      </c>
      <c r="B468" s="1" t="s">
        <v>241</v>
      </c>
      <c r="C468" s="1" t="s">
        <v>143</v>
      </c>
      <c r="D468" s="1">
        <v>535.55999999999995</v>
      </c>
      <c r="E468" s="1">
        <v>0</v>
      </c>
      <c r="F468" s="1">
        <v>-48.04</v>
      </c>
      <c r="G468" s="1">
        <v>-317.28500000000003</v>
      </c>
      <c r="H468" s="1">
        <v>3138.1030000000001</v>
      </c>
      <c r="I468" s="1">
        <v>-3213.346</v>
      </c>
    </row>
    <row r="469" spans="1:9" hidden="1" x14ac:dyDescent="0.25">
      <c r="A469" s="1" t="s">
        <v>126</v>
      </c>
      <c r="B469" s="1" t="s">
        <v>241</v>
      </c>
      <c r="C469" s="1" t="s">
        <v>3</v>
      </c>
      <c r="D469" s="1">
        <v>560.08000000000004</v>
      </c>
      <c r="E469" s="1">
        <v>0</v>
      </c>
      <c r="F469" s="1">
        <v>-48.04</v>
      </c>
      <c r="G469" s="1">
        <v>-317.28500000000003</v>
      </c>
      <c r="H469" s="1">
        <v>3140.6770000000001</v>
      </c>
      <c r="I469" s="1">
        <v>-3360.471</v>
      </c>
    </row>
    <row r="470" spans="1:9" hidden="1" x14ac:dyDescent="0.25">
      <c r="A470" s="1" t="s">
        <v>126</v>
      </c>
      <c r="B470" s="1" t="s">
        <v>242</v>
      </c>
      <c r="C470" s="1" t="s">
        <v>143</v>
      </c>
      <c r="D470" s="1">
        <v>443.12</v>
      </c>
      <c r="E470" s="1">
        <v>174.68</v>
      </c>
      <c r="F470" s="1">
        <v>0</v>
      </c>
      <c r="G470" s="1">
        <v>1153.7639999999999</v>
      </c>
      <c r="H470" s="1">
        <v>2658.7310000000002</v>
      </c>
      <c r="I470" s="1">
        <v>-2385.1219999999998</v>
      </c>
    </row>
    <row r="471" spans="1:9" hidden="1" x14ac:dyDescent="0.25">
      <c r="A471" s="1" t="s">
        <v>126</v>
      </c>
      <c r="B471" s="1" t="s">
        <v>242</v>
      </c>
      <c r="C471" s="1" t="s">
        <v>3</v>
      </c>
      <c r="D471" s="1">
        <v>465.19</v>
      </c>
      <c r="E471" s="1">
        <v>174.68</v>
      </c>
      <c r="F471" s="1">
        <v>0</v>
      </c>
      <c r="G471" s="1">
        <v>1153.7639999999999</v>
      </c>
      <c r="H471" s="1">
        <v>2791.1439999999998</v>
      </c>
      <c r="I471" s="1">
        <v>-1991.89</v>
      </c>
    </row>
    <row r="472" spans="1:9" hidden="1" x14ac:dyDescent="0.25">
      <c r="A472" s="1" t="s">
        <v>126</v>
      </c>
      <c r="B472" s="1" t="s">
        <v>243</v>
      </c>
      <c r="C472" s="1" t="s">
        <v>143</v>
      </c>
      <c r="D472" s="1">
        <v>443.12</v>
      </c>
      <c r="E472" s="1">
        <v>-174.68</v>
      </c>
      <c r="F472" s="1">
        <v>0</v>
      </c>
      <c r="G472" s="1">
        <v>-1153.7639999999999</v>
      </c>
      <c r="H472" s="1">
        <v>2658.7310000000002</v>
      </c>
      <c r="I472" s="1">
        <v>-2932.3409999999999</v>
      </c>
    </row>
    <row r="473" spans="1:9" hidden="1" x14ac:dyDescent="0.25">
      <c r="A473" s="1" t="s">
        <v>126</v>
      </c>
      <c r="B473" s="1" t="s">
        <v>243</v>
      </c>
      <c r="C473" s="1" t="s">
        <v>3</v>
      </c>
      <c r="D473" s="1">
        <v>465.19</v>
      </c>
      <c r="E473" s="1">
        <v>-174.68</v>
      </c>
      <c r="F473" s="1">
        <v>0</v>
      </c>
      <c r="G473" s="1">
        <v>-1153.7639999999999</v>
      </c>
      <c r="H473" s="1">
        <v>2791.1439999999998</v>
      </c>
      <c r="I473" s="1">
        <v>-3590.3980000000001</v>
      </c>
    </row>
    <row r="474" spans="1:9" hidden="1" x14ac:dyDescent="0.25">
      <c r="A474" s="1" t="s">
        <v>126</v>
      </c>
      <c r="B474" s="1" t="s">
        <v>244</v>
      </c>
      <c r="C474" s="1" t="s">
        <v>143</v>
      </c>
      <c r="D474" s="1">
        <v>400.92</v>
      </c>
      <c r="E474" s="1">
        <v>174.68</v>
      </c>
      <c r="F474" s="1">
        <v>0</v>
      </c>
      <c r="G474" s="1">
        <v>1153.7639999999999</v>
      </c>
      <c r="H474" s="1">
        <v>2405.5189999999998</v>
      </c>
      <c r="I474" s="1">
        <v>-2131.9090000000001</v>
      </c>
    </row>
    <row r="475" spans="1:9" hidden="1" x14ac:dyDescent="0.25">
      <c r="A475" s="1" t="s">
        <v>126</v>
      </c>
      <c r="B475" s="1" t="s">
        <v>244</v>
      </c>
      <c r="C475" s="1" t="s">
        <v>3</v>
      </c>
      <c r="D475" s="1">
        <v>420.89</v>
      </c>
      <c r="E475" s="1">
        <v>174.68</v>
      </c>
      <c r="F475" s="1">
        <v>0</v>
      </c>
      <c r="G475" s="1">
        <v>1153.7639999999999</v>
      </c>
      <c r="H475" s="1">
        <v>2525.3209999999999</v>
      </c>
      <c r="I475" s="1">
        <v>-1726.067</v>
      </c>
    </row>
    <row r="476" spans="1:9" hidden="1" x14ac:dyDescent="0.25">
      <c r="A476" s="1" t="s">
        <v>126</v>
      </c>
      <c r="B476" s="1" t="s">
        <v>245</v>
      </c>
      <c r="C476" s="1" t="s">
        <v>143</v>
      </c>
      <c r="D476" s="1">
        <v>400.92</v>
      </c>
      <c r="E476" s="1">
        <v>-174.68</v>
      </c>
      <c r="F476" s="1">
        <v>0</v>
      </c>
      <c r="G476" s="1">
        <v>-1153.7639999999999</v>
      </c>
      <c r="H476" s="1">
        <v>2405.5189999999998</v>
      </c>
      <c r="I476" s="1">
        <v>-2679.1280000000002</v>
      </c>
    </row>
    <row r="477" spans="1:9" hidden="1" x14ac:dyDescent="0.25">
      <c r="A477" s="1" t="s">
        <v>126</v>
      </c>
      <c r="B477" s="1" t="s">
        <v>245</v>
      </c>
      <c r="C477" s="1" t="s">
        <v>3</v>
      </c>
      <c r="D477" s="1">
        <v>420.89</v>
      </c>
      <c r="E477" s="1">
        <v>-174.68</v>
      </c>
      <c r="F477" s="1">
        <v>0</v>
      </c>
      <c r="G477" s="1">
        <v>-1153.7639999999999</v>
      </c>
      <c r="H477" s="1">
        <v>2525.3209999999999</v>
      </c>
      <c r="I477" s="1">
        <v>-3324.5749999999998</v>
      </c>
    </row>
    <row r="478" spans="1:9" hidden="1" x14ac:dyDescent="0.25">
      <c r="A478" s="1" t="s">
        <v>126</v>
      </c>
      <c r="B478" s="1" t="s">
        <v>246</v>
      </c>
      <c r="C478" s="1" t="s">
        <v>143</v>
      </c>
      <c r="D478" s="1">
        <v>443.12</v>
      </c>
      <c r="E478" s="1">
        <v>0</v>
      </c>
      <c r="F478" s="1">
        <v>160.13</v>
      </c>
      <c r="G478" s="1">
        <v>1057.617</v>
      </c>
      <c r="H478" s="1">
        <v>2909.54</v>
      </c>
      <c r="I478" s="1">
        <v>-2658.7310000000002</v>
      </c>
    </row>
    <row r="479" spans="1:9" hidden="1" x14ac:dyDescent="0.25">
      <c r="A479" s="1" t="s">
        <v>126</v>
      </c>
      <c r="B479" s="1" t="s">
        <v>246</v>
      </c>
      <c r="C479" s="1" t="s">
        <v>3</v>
      </c>
      <c r="D479" s="1">
        <v>465.19</v>
      </c>
      <c r="E479" s="1">
        <v>0</v>
      </c>
      <c r="F479" s="1">
        <v>160.13</v>
      </c>
      <c r="G479" s="1">
        <v>1057.617</v>
      </c>
      <c r="H479" s="1">
        <v>3523.7939999999999</v>
      </c>
      <c r="I479" s="1">
        <v>-2791.1439999999998</v>
      </c>
    </row>
    <row r="480" spans="1:9" hidden="1" x14ac:dyDescent="0.25">
      <c r="A480" s="1" t="s">
        <v>126</v>
      </c>
      <c r="B480" s="1" t="s">
        <v>247</v>
      </c>
      <c r="C480" s="1" t="s">
        <v>143</v>
      </c>
      <c r="D480" s="1">
        <v>443.12</v>
      </c>
      <c r="E480" s="1">
        <v>0</v>
      </c>
      <c r="F480" s="1">
        <v>-160.13</v>
      </c>
      <c r="G480" s="1">
        <v>-1057.617</v>
      </c>
      <c r="H480" s="1">
        <v>2407.922</v>
      </c>
      <c r="I480" s="1">
        <v>-2658.7310000000002</v>
      </c>
    </row>
    <row r="481" spans="1:9" hidden="1" x14ac:dyDescent="0.25">
      <c r="A481" s="1" t="s">
        <v>126</v>
      </c>
      <c r="B481" s="1" t="s">
        <v>247</v>
      </c>
      <c r="C481" s="1" t="s">
        <v>3</v>
      </c>
      <c r="D481" s="1">
        <v>465.19</v>
      </c>
      <c r="E481" s="1">
        <v>0</v>
      </c>
      <c r="F481" s="1">
        <v>-160.13</v>
      </c>
      <c r="G481" s="1">
        <v>-1057.617</v>
      </c>
      <c r="H481" s="1">
        <v>2058.4949999999999</v>
      </c>
      <c r="I481" s="1">
        <v>-2791.1439999999998</v>
      </c>
    </row>
    <row r="482" spans="1:9" hidden="1" x14ac:dyDescent="0.25">
      <c r="A482" s="1" t="s">
        <v>126</v>
      </c>
      <c r="B482" s="1" t="s">
        <v>248</v>
      </c>
      <c r="C482" s="1" t="s">
        <v>143</v>
      </c>
      <c r="D482" s="1">
        <v>400.92</v>
      </c>
      <c r="E482" s="1">
        <v>0</v>
      </c>
      <c r="F482" s="1">
        <v>160.13</v>
      </c>
      <c r="G482" s="1">
        <v>1057.617</v>
      </c>
      <c r="H482" s="1">
        <v>2656.328</v>
      </c>
      <c r="I482" s="1">
        <v>-2405.5189999999998</v>
      </c>
    </row>
    <row r="483" spans="1:9" hidden="1" x14ac:dyDescent="0.25">
      <c r="A483" s="1" t="s">
        <v>126</v>
      </c>
      <c r="B483" s="1" t="s">
        <v>248</v>
      </c>
      <c r="C483" s="1" t="s">
        <v>3</v>
      </c>
      <c r="D483" s="1">
        <v>420.89</v>
      </c>
      <c r="E483" s="1">
        <v>0</v>
      </c>
      <c r="F483" s="1">
        <v>160.13</v>
      </c>
      <c r="G483" s="1">
        <v>1057.617</v>
      </c>
      <c r="H483" s="1">
        <v>3257.97</v>
      </c>
      <c r="I483" s="1">
        <v>-2525.3209999999999</v>
      </c>
    </row>
    <row r="484" spans="1:9" hidden="1" x14ac:dyDescent="0.25">
      <c r="A484" s="1" t="s">
        <v>126</v>
      </c>
      <c r="B484" s="1" t="s">
        <v>249</v>
      </c>
      <c r="C484" s="1" t="s">
        <v>143</v>
      </c>
      <c r="D484" s="1">
        <v>400.92</v>
      </c>
      <c r="E484" s="1">
        <v>0</v>
      </c>
      <c r="F484" s="1">
        <v>-160.13</v>
      </c>
      <c r="G484" s="1">
        <v>-1057.617</v>
      </c>
      <c r="H484" s="1">
        <v>2154.71</v>
      </c>
      <c r="I484" s="1">
        <v>-2405.5189999999998</v>
      </c>
    </row>
    <row r="485" spans="1:9" hidden="1" x14ac:dyDescent="0.25">
      <c r="A485" s="1" t="s">
        <v>126</v>
      </c>
      <c r="B485" s="1" t="s">
        <v>249</v>
      </c>
      <c r="C485" s="1" t="s">
        <v>3</v>
      </c>
      <c r="D485" s="1">
        <v>420.89</v>
      </c>
      <c r="E485" s="1">
        <v>0</v>
      </c>
      <c r="F485" s="1">
        <v>-160.13</v>
      </c>
      <c r="G485" s="1">
        <v>-1057.617</v>
      </c>
      <c r="H485" s="1">
        <v>1792.671</v>
      </c>
      <c r="I485" s="1">
        <v>-2525.3209999999999</v>
      </c>
    </row>
    <row r="486" spans="1:9" hidden="1" x14ac:dyDescent="0.25">
      <c r="A486" s="1" t="s">
        <v>126</v>
      </c>
      <c r="B486" s="1" t="s">
        <v>250</v>
      </c>
      <c r="C486" s="1" t="s">
        <v>143</v>
      </c>
      <c r="D486" s="1">
        <v>492.36</v>
      </c>
      <c r="E486" s="1">
        <v>52.41</v>
      </c>
      <c r="F486" s="1">
        <v>0</v>
      </c>
      <c r="G486" s="1">
        <v>346.12900000000002</v>
      </c>
      <c r="H486" s="1">
        <v>2954.1460000000002</v>
      </c>
      <c r="I486" s="1">
        <v>-2872.0630000000001</v>
      </c>
    </row>
    <row r="487" spans="1:9" hidden="1" x14ac:dyDescent="0.25">
      <c r="A487" s="1" t="s">
        <v>126</v>
      </c>
      <c r="B487" s="1" t="s">
        <v>250</v>
      </c>
      <c r="C487" s="1" t="s">
        <v>3</v>
      </c>
      <c r="D487" s="1">
        <v>516.88</v>
      </c>
      <c r="E487" s="1">
        <v>52.41</v>
      </c>
      <c r="F487" s="1">
        <v>0</v>
      </c>
      <c r="G487" s="1">
        <v>346.12900000000002</v>
      </c>
      <c r="H487" s="1">
        <v>3101.2710000000002</v>
      </c>
      <c r="I487" s="1">
        <v>-2861.4949999999999</v>
      </c>
    </row>
    <row r="488" spans="1:9" hidden="1" x14ac:dyDescent="0.25">
      <c r="A488" s="1" t="s">
        <v>126</v>
      </c>
      <c r="B488" s="1" t="s">
        <v>251</v>
      </c>
      <c r="C488" s="1" t="s">
        <v>143</v>
      </c>
      <c r="D488" s="1">
        <v>492.36</v>
      </c>
      <c r="E488" s="1">
        <v>-52.41</v>
      </c>
      <c r="F488" s="1">
        <v>0</v>
      </c>
      <c r="G488" s="1">
        <v>-346.12900000000002</v>
      </c>
      <c r="H488" s="1">
        <v>2954.1460000000002</v>
      </c>
      <c r="I488" s="1">
        <v>-3036.2289999999998</v>
      </c>
    </row>
    <row r="489" spans="1:9" hidden="1" x14ac:dyDescent="0.25">
      <c r="A489" s="1" t="s">
        <v>126</v>
      </c>
      <c r="B489" s="1" t="s">
        <v>251</v>
      </c>
      <c r="C489" s="1" t="s">
        <v>3</v>
      </c>
      <c r="D489" s="1">
        <v>516.88</v>
      </c>
      <c r="E489" s="1">
        <v>-52.41</v>
      </c>
      <c r="F489" s="1">
        <v>0</v>
      </c>
      <c r="G489" s="1">
        <v>-346.12900000000002</v>
      </c>
      <c r="H489" s="1">
        <v>3101.2710000000002</v>
      </c>
      <c r="I489" s="1">
        <v>-3341.0479999999998</v>
      </c>
    </row>
    <row r="490" spans="1:9" hidden="1" x14ac:dyDescent="0.25">
      <c r="A490" s="1" t="s">
        <v>126</v>
      </c>
      <c r="B490" s="1" t="s">
        <v>252</v>
      </c>
      <c r="C490" s="1" t="s">
        <v>143</v>
      </c>
      <c r="D490" s="1">
        <v>351.68</v>
      </c>
      <c r="E490" s="1">
        <v>52.41</v>
      </c>
      <c r="F490" s="1">
        <v>0</v>
      </c>
      <c r="G490" s="1">
        <v>346.12900000000002</v>
      </c>
      <c r="H490" s="1">
        <v>2110.1039999999998</v>
      </c>
      <c r="I490" s="1">
        <v>-2028.021</v>
      </c>
    </row>
    <row r="491" spans="1:9" hidden="1" x14ac:dyDescent="0.25">
      <c r="A491" s="1" t="s">
        <v>126</v>
      </c>
      <c r="B491" s="1" t="s">
        <v>252</v>
      </c>
      <c r="C491" s="1" t="s">
        <v>3</v>
      </c>
      <c r="D491" s="1">
        <v>369.2</v>
      </c>
      <c r="E491" s="1">
        <v>52.41</v>
      </c>
      <c r="F491" s="1">
        <v>0</v>
      </c>
      <c r="G491" s="1">
        <v>346.12900000000002</v>
      </c>
      <c r="H491" s="1">
        <v>2215.194</v>
      </c>
      <c r="I491" s="1">
        <v>-1975.4179999999999</v>
      </c>
    </row>
    <row r="492" spans="1:9" hidden="1" x14ac:dyDescent="0.25">
      <c r="A492" s="1" t="s">
        <v>126</v>
      </c>
      <c r="B492" s="1" t="s">
        <v>253</v>
      </c>
      <c r="C492" s="1" t="s">
        <v>143</v>
      </c>
      <c r="D492" s="1">
        <v>351.68</v>
      </c>
      <c r="E492" s="1">
        <v>-52.41</v>
      </c>
      <c r="F492" s="1">
        <v>0</v>
      </c>
      <c r="G492" s="1">
        <v>-346.12900000000002</v>
      </c>
      <c r="H492" s="1">
        <v>2110.1039999999998</v>
      </c>
      <c r="I492" s="1">
        <v>-2192.1869999999999</v>
      </c>
    </row>
    <row r="493" spans="1:9" hidden="1" x14ac:dyDescent="0.25">
      <c r="A493" s="1" t="s">
        <v>126</v>
      </c>
      <c r="B493" s="1" t="s">
        <v>253</v>
      </c>
      <c r="C493" s="1" t="s">
        <v>3</v>
      </c>
      <c r="D493" s="1">
        <v>369.2</v>
      </c>
      <c r="E493" s="1">
        <v>-52.41</v>
      </c>
      <c r="F493" s="1">
        <v>0</v>
      </c>
      <c r="G493" s="1">
        <v>-346.12900000000002</v>
      </c>
      <c r="H493" s="1">
        <v>2215.194</v>
      </c>
      <c r="I493" s="1">
        <v>-2454.9699999999998</v>
      </c>
    </row>
    <row r="494" spans="1:9" hidden="1" x14ac:dyDescent="0.25">
      <c r="A494" s="1" t="s">
        <v>126</v>
      </c>
      <c r="B494" s="1" t="s">
        <v>254</v>
      </c>
      <c r="C494" s="1" t="s">
        <v>143</v>
      </c>
      <c r="D494" s="1">
        <v>492.36</v>
      </c>
      <c r="E494" s="1">
        <v>0</v>
      </c>
      <c r="F494" s="1">
        <v>48.04</v>
      </c>
      <c r="G494" s="1">
        <v>317.28500000000003</v>
      </c>
      <c r="H494" s="1">
        <v>3029.3879999999999</v>
      </c>
      <c r="I494" s="1">
        <v>-2954.1460000000002</v>
      </c>
    </row>
    <row r="495" spans="1:9" hidden="1" x14ac:dyDescent="0.25">
      <c r="A495" s="1" t="s">
        <v>126</v>
      </c>
      <c r="B495" s="1" t="s">
        <v>254</v>
      </c>
      <c r="C495" s="1" t="s">
        <v>3</v>
      </c>
      <c r="D495" s="1">
        <v>516.88</v>
      </c>
      <c r="E495" s="1">
        <v>0</v>
      </c>
      <c r="F495" s="1">
        <v>48.04</v>
      </c>
      <c r="G495" s="1">
        <v>317.28500000000003</v>
      </c>
      <c r="H495" s="1">
        <v>3321.0659999999998</v>
      </c>
      <c r="I495" s="1">
        <v>-3101.2710000000002</v>
      </c>
    </row>
    <row r="496" spans="1:9" hidden="1" x14ac:dyDescent="0.25">
      <c r="A496" s="1" t="s">
        <v>126</v>
      </c>
      <c r="B496" s="1" t="s">
        <v>255</v>
      </c>
      <c r="C496" s="1" t="s">
        <v>143</v>
      </c>
      <c r="D496" s="1">
        <v>492.36</v>
      </c>
      <c r="E496" s="1">
        <v>0</v>
      </c>
      <c r="F496" s="1">
        <v>-48.04</v>
      </c>
      <c r="G496" s="1">
        <v>-317.28500000000003</v>
      </c>
      <c r="H496" s="1">
        <v>2878.9029999999998</v>
      </c>
      <c r="I496" s="1">
        <v>-2954.1460000000002</v>
      </c>
    </row>
    <row r="497" spans="1:9" hidden="1" x14ac:dyDescent="0.25">
      <c r="A497" s="1" t="s">
        <v>126</v>
      </c>
      <c r="B497" s="1" t="s">
        <v>255</v>
      </c>
      <c r="C497" s="1" t="s">
        <v>3</v>
      </c>
      <c r="D497" s="1">
        <v>516.88</v>
      </c>
      <c r="E497" s="1">
        <v>0</v>
      </c>
      <c r="F497" s="1">
        <v>-48.04</v>
      </c>
      <c r="G497" s="1">
        <v>-317.28500000000003</v>
      </c>
      <c r="H497" s="1">
        <v>2881.4769999999999</v>
      </c>
      <c r="I497" s="1">
        <v>-3101.2710000000002</v>
      </c>
    </row>
    <row r="498" spans="1:9" hidden="1" x14ac:dyDescent="0.25">
      <c r="A498" s="1" t="s">
        <v>126</v>
      </c>
      <c r="B498" s="1" t="s">
        <v>256</v>
      </c>
      <c r="C498" s="1" t="s">
        <v>143</v>
      </c>
      <c r="D498" s="1">
        <v>351.68</v>
      </c>
      <c r="E498" s="1">
        <v>0</v>
      </c>
      <c r="F498" s="1">
        <v>48.04</v>
      </c>
      <c r="G498" s="1">
        <v>317.28500000000003</v>
      </c>
      <c r="H498" s="1">
        <v>2185.3470000000002</v>
      </c>
      <c r="I498" s="1">
        <v>-2110.1039999999998</v>
      </c>
    </row>
    <row r="499" spans="1:9" hidden="1" x14ac:dyDescent="0.25">
      <c r="A499" s="1" t="s">
        <v>126</v>
      </c>
      <c r="B499" s="1" t="s">
        <v>256</v>
      </c>
      <c r="C499" s="1" t="s">
        <v>3</v>
      </c>
      <c r="D499" s="1">
        <v>369.2</v>
      </c>
      <c r="E499" s="1">
        <v>0</v>
      </c>
      <c r="F499" s="1">
        <v>48.04</v>
      </c>
      <c r="G499" s="1">
        <v>317.28500000000003</v>
      </c>
      <c r="H499" s="1">
        <v>2434.989</v>
      </c>
      <c r="I499" s="1">
        <v>-2215.194</v>
      </c>
    </row>
    <row r="500" spans="1:9" hidden="1" x14ac:dyDescent="0.25">
      <c r="A500" s="1" t="s">
        <v>126</v>
      </c>
      <c r="B500" s="1" t="s">
        <v>257</v>
      </c>
      <c r="C500" s="1" t="s">
        <v>143</v>
      </c>
      <c r="D500" s="1">
        <v>351.68</v>
      </c>
      <c r="E500" s="1">
        <v>0</v>
      </c>
      <c r="F500" s="1">
        <v>-48.04</v>
      </c>
      <c r="G500" s="1">
        <v>-317.28500000000003</v>
      </c>
      <c r="H500" s="1">
        <v>2034.8610000000001</v>
      </c>
      <c r="I500" s="1">
        <v>-2110.1039999999998</v>
      </c>
    </row>
    <row r="501" spans="1:9" hidden="1" x14ac:dyDescent="0.25">
      <c r="A501" s="1" t="s">
        <v>126</v>
      </c>
      <c r="B501" s="1" t="s">
        <v>257</v>
      </c>
      <c r="C501" s="1" t="s">
        <v>3</v>
      </c>
      <c r="D501" s="1">
        <v>369.2</v>
      </c>
      <c r="E501" s="1">
        <v>0</v>
      </c>
      <c r="F501" s="1">
        <v>-48.04</v>
      </c>
      <c r="G501" s="1">
        <v>-317.28500000000003</v>
      </c>
      <c r="H501" s="1">
        <v>1995.3989999999999</v>
      </c>
      <c r="I501" s="1">
        <v>-2215.194</v>
      </c>
    </row>
    <row r="502" spans="1:9" hidden="1" x14ac:dyDescent="0.25">
      <c r="A502" s="1" t="s">
        <v>127</v>
      </c>
      <c r="B502" s="1" t="s">
        <v>2</v>
      </c>
      <c r="C502" s="1" t="s">
        <v>143</v>
      </c>
      <c r="D502" s="1">
        <v>715.04</v>
      </c>
      <c r="E502" s="1">
        <v>0</v>
      </c>
      <c r="F502" s="1">
        <v>0</v>
      </c>
      <c r="G502" s="1">
        <v>0</v>
      </c>
      <c r="H502" s="1">
        <v>4290.268</v>
      </c>
      <c r="I502" s="1">
        <v>-4290.268</v>
      </c>
    </row>
    <row r="503" spans="1:9" hidden="1" x14ac:dyDescent="0.25">
      <c r="A503" s="1" t="s">
        <v>127</v>
      </c>
      <c r="B503" s="1" t="s">
        <v>2</v>
      </c>
      <c r="C503" s="1" t="s">
        <v>3</v>
      </c>
      <c r="D503" s="1">
        <v>738.4</v>
      </c>
      <c r="E503" s="1">
        <v>0</v>
      </c>
      <c r="F503" s="1">
        <v>0</v>
      </c>
      <c r="G503" s="1">
        <v>0</v>
      </c>
      <c r="H503" s="1">
        <v>4430.3879999999999</v>
      </c>
      <c r="I503" s="1">
        <v>-4430.3879999999999</v>
      </c>
    </row>
    <row r="504" spans="1:9" hidden="1" x14ac:dyDescent="0.25">
      <c r="A504" s="1" t="s">
        <v>127</v>
      </c>
      <c r="B504" s="1" t="s">
        <v>144</v>
      </c>
      <c r="C504" s="1" t="s">
        <v>143</v>
      </c>
      <c r="D504" s="1">
        <v>129.6</v>
      </c>
      <c r="E504" s="1">
        <v>0</v>
      </c>
      <c r="F504" s="1">
        <v>0</v>
      </c>
      <c r="G504" s="1">
        <v>0</v>
      </c>
      <c r="H504" s="1">
        <v>777.6</v>
      </c>
      <c r="I504" s="1">
        <v>-777.6</v>
      </c>
    </row>
    <row r="505" spans="1:9" x14ac:dyDescent="0.25">
      <c r="A505" s="1" t="s">
        <v>127</v>
      </c>
      <c r="B505" s="1" t="s">
        <v>144</v>
      </c>
      <c r="C505" s="1" t="s">
        <v>3</v>
      </c>
      <c r="D505" s="1">
        <v>129.6</v>
      </c>
      <c r="E505" s="1">
        <v>0</v>
      </c>
      <c r="F505" s="1">
        <v>0</v>
      </c>
      <c r="G505" s="1">
        <v>0</v>
      </c>
      <c r="H505" s="1">
        <v>777.6</v>
      </c>
      <c r="I505" s="1">
        <v>-777.6</v>
      </c>
    </row>
    <row r="506" spans="1:9" hidden="1" x14ac:dyDescent="0.25">
      <c r="A506" s="1" t="s">
        <v>127</v>
      </c>
      <c r="B506" s="1" t="s">
        <v>12</v>
      </c>
      <c r="C506" s="1" t="s">
        <v>143</v>
      </c>
      <c r="D506" s="1">
        <v>0</v>
      </c>
      <c r="E506" s="1">
        <v>-230.01</v>
      </c>
      <c r="F506" s="1">
        <v>0</v>
      </c>
      <c r="G506" s="1">
        <v>1518.068</v>
      </c>
      <c r="H506" s="1">
        <v>0</v>
      </c>
      <c r="I506" s="1">
        <v>-835.30700000000002</v>
      </c>
    </row>
    <row r="507" spans="1:9" hidden="1" x14ac:dyDescent="0.25">
      <c r="A507" s="1" t="s">
        <v>127</v>
      </c>
      <c r="B507" s="1" t="s">
        <v>12</v>
      </c>
      <c r="C507" s="1" t="s">
        <v>3</v>
      </c>
      <c r="D507" s="1">
        <v>0</v>
      </c>
      <c r="E507" s="1">
        <v>-230.01</v>
      </c>
      <c r="F507" s="1">
        <v>0</v>
      </c>
      <c r="G507" s="1">
        <v>1518.068</v>
      </c>
      <c r="H507" s="1">
        <v>0</v>
      </c>
      <c r="I507" s="1">
        <v>-1531.7909999999999</v>
      </c>
    </row>
    <row r="508" spans="1:9" hidden="1" x14ac:dyDescent="0.25">
      <c r="A508" s="1" t="s">
        <v>127</v>
      </c>
      <c r="B508" s="1" t="s">
        <v>13</v>
      </c>
      <c r="C508" s="1" t="s">
        <v>143</v>
      </c>
      <c r="D508" s="1">
        <v>0</v>
      </c>
      <c r="E508" s="1">
        <v>-230.01</v>
      </c>
      <c r="F508" s="1">
        <v>0</v>
      </c>
      <c r="G508" s="1">
        <v>1242.056</v>
      </c>
      <c r="H508" s="1">
        <v>0</v>
      </c>
      <c r="I508" s="1">
        <v>-835.30700000000002</v>
      </c>
    </row>
    <row r="509" spans="1:9" hidden="1" x14ac:dyDescent="0.25">
      <c r="A509" s="1" t="s">
        <v>127</v>
      </c>
      <c r="B509" s="1" t="s">
        <v>13</v>
      </c>
      <c r="C509" s="1" t="s">
        <v>3</v>
      </c>
      <c r="D509" s="1">
        <v>0</v>
      </c>
      <c r="E509" s="1">
        <v>-230.01</v>
      </c>
      <c r="F509" s="1">
        <v>0</v>
      </c>
      <c r="G509" s="1">
        <v>1242.056</v>
      </c>
      <c r="H509" s="1">
        <v>0</v>
      </c>
      <c r="I509" s="1">
        <v>-1531.7909999999999</v>
      </c>
    </row>
    <row r="510" spans="1:9" hidden="1" x14ac:dyDescent="0.25">
      <c r="A510" s="1" t="s">
        <v>127</v>
      </c>
      <c r="B510" s="1" t="s">
        <v>14</v>
      </c>
      <c r="C510" s="1" t="s">
        <v>143</v>
      </c>
      <c r="D510" s="1">
        <v>0</v>
      </c>
      <c r="E510" s="1">
        <v>0</v>
      </c>
      <c r="F510" s="1">
        <v>-230.01</v>
      </c>
      <c r="G510" s="1">
        <v>-1518.068</v>
      </c>
      <c r="H510" s="1">
        <v>835.30700000000002</v>
      </c>
      <c r="I510" s="1">
        <v>0</v>
      </c>
    </row>
    <row r="511" spans="1:9" hidden="1" x14ac:dyDescent="0.25">
      <c r="A511" s="1" t="s">
        <v>127</v>
      </c>
      <c r="B511" s="1" t="s">
        <v>14</v>
      </c>
      <c r="C511" s="1" t="s">
        <v>3</v>
      </c>
      <c r="D511" s="1">
        <v>0</v>
      </c>
      <c r="E511" s="1">
        <v>0</v>
      </c>
      <c r="F511" s="1">
        <v>-230.01</v>
      </c>
      <c r="G511" s="1">
        <v>-1518.068</v>
      </c>
      <c r="H511" s="1">
        <v>1531.7909999999999</v>
      </c>
      <c r="I511" s="1">
        <v>0</v>
      </c>
    </row>
    <row r="512" spans="1:9" hidden="1" x14ac:dyDescent="0.25">
      <c r="A512" s="1" t="s">
        <v>127</v>
      </c>
      <c r="B512" s="1" t="s">
        <v>15</v>
      </c>
      <c r="C512" s="1" t="s">
        <v>143</v>
      </c>
      <c r="D512" s="1">
        <v>0</v>
      </c>
      <c r="E512" s="1">
        <v>0</v>
      </c>
      <c r="F512" s="1">
        <v>-230.01</v>
      </c>
      <c r="G512" s="1">
        <v>-1242.056</v>
      </c>
      <c r="H512" s="1">
        <v>835.30700000000002</v>
      </c>
      <c r="I512" s="1">
        <v>0</v>
      </c>
    </row>
    <row r="513" spans="1:9" hidden="1" x14ac:dyDescent="0.25">
      <c r="A513" s="1" t="s">
        <v>127</v>
      </c>
      <c r="B513" s="1" t="s">
        <v>15</v>
      </c>
      <c r="C513" s="1" t="s">
        <v>3</v>
      </c>
      <c r="D513" s="1">
        <v>0</v>
      </c>
      <c r="E513" s="1">
        <v>0</v>
      </c>
      <c r="F513" s="1">
        <v>-230.01</v>
      </c>
      <c r="G513" s="1">
        <v>-1242.056</v>
      </c>
      <c r="H513" s="1">
        <v>1531.7909999999999</v>
      </c>
      <c r="I513" s="1">
        <v>0</v>
      </c>
    </row>
    <row r="514" spans="1:9" hidden="1" x14ac:dyDescent="0.25">
      <c r="A514" s="1" t="s">
        <v>127</v>
      </c>
      <c r="B514" s="1" t="s">
        <v>145</v>
      </c>
      <c r="C514" s="1" t="s">
        <v>143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</row>
    <row r="515" spans="1:9" hidden="1" x14ac:dyDescent="0.25">
      <c r="A515" s="1" t="s">
        <v>127</v>
      </c>
      <c r="B515" s="1" t="s">
        <v>145</v>
      </c>
      <c r="C515" s="1" t="s">
        <v>3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</row>
    <row r="516" spans="1:9" hidden="1" x14ac:dyDescent="0.25">
      <c r="A516" s="1" t="s">
        <v>127</v>
      </c>
      <c r="B516" s="1" t="s">
        <v>146</v>
      </c>
      <c r="C516" s="1" t="s">
        <v>143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</row>
    <row r="517" spans="1:9" hidden="1" x14ac:dyDescent="0.25">
      <c r="A517" s="1" t="s">
        <v>127</v>
      </c>
      <c r="B517" s="1" t="s">
        <v>146</v>
      </c>
      <c r="C517" s="1" t="s">
        <v>3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</row>
    <row r="518" spans="1:9" hidden="1" x14ac:dyDescent="0.25">
      <c r="A518" s="1" t="s">
        <v>127</v>
      </c>
      <c r="B518" s="1" t="s">
        <v>147</v>
      </c>
      <c r="C518" s="1" t="s">
        <v>143</v>
      </c>
      <c r="D518" s="1">
        <v>0</v>
      </c>
      <c r="E518" s="1">
        <v>0</v>
      </c>
      <c r="F518" s="1">
        <v>0</v>
      </c>
      <c r="G518" s="1">
        <v>0</v>
      </c>
      <c r="H518" s="1">
        <v>0</v>
      </c>
      <c r="I518" s="1">
        <v>0</v>
      </c>
    </row>
    <row r="519" spans="1:9" hidden="1" x14ac:dyDescent="0.25">
      <c r="A519" s="1" t="s">
        <v>127</v>
      </c>
      <c r="B519" s="1" t="s">
        <v>147</v>
      </c>
      <c r="C519" s="1" t="s">
        <v>3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</row>
    <row r="520" spans="1:9" hidden="1" x14ac:dyDescent="0.25">
      <c r="A520" s="1" t="s">
        <v>127</v>
      </c>
      <c r="B520" s="1" t="s">
        <v>148</v>
      </c>
      <c r="C520" s="1" t="s">
        <v>143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</row>
    <row r="521" spans="1:9" hidden="1" x14ac:dyDescent="0.25">
      <c r="A521" s="1" t="s">
        <v>127</v>
      </c>
      <c r="B521" s="1" t="s">
        <v>148</v>
      </c>
      <c r="C521" s="1" t="s">
        <v>3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</row>
    <row r="522" spans="1:9" hidden="1" x14ac:dyDescent="0.25">
      <c r="A522" s="1" t="s">
        <v>127</v>
      </c>
      <c r="B522" s="1" t="s">
        <v>149</v>
      </c>
      <c r="C522" s="1" t="s">
        <v>143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</row>
    <row r="523" spans="1:9" hidden="1" x14ac:dyDescent="0.25">
      <c r="A523" s="1" t="s">
        <v>127</v>
      </c>
      <c r="B523" s="1" t="s">
        <v>149</v>
      </c>
      <c r="C523" s="1" t="s">
        <v>3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</row>
    <row r="524" spans="1:9" hidden="1" x14ac:dyDescent="0.25">
      <c r="A524" s="1" t="s">
        <v>127</v>
      </c>
      <c r="B524" s="1" t="s">
        <v>150</v>
      </c>
      <c r="C524" s="1" t="s">
        <v>143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</row>
    <row r="525" spans="1:9" hidden="1" x14ac:dyDescent="0.25">
      <c r="A525" s="1" t="s">
        <v>127</v>
      </c>
      <c r="B525" s="1" t="s">
        <v>150</v>
      </c>
      <c r="C525" s="1" t="s">
        <v>3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</row>
    <row r="526" spans="1:9" hidden="1" x14ac:dyDescent="0.25">
      <c r="A526" s="1" t="s">
        <v>127</v>
      </c>
      <c r="B526" s="1" t="s">
        <v>16</v>
      </c>
      <c r="C526" s="1" t="s">
        <v>143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</row>
    <row r="527" spans="1:9" hidden="1" x14ac:dyDescent="0.25">
      <c r="A527" s="1" t="s">
        <v>127</v>
      </c>
      <c r="B527" s="1" t="s">
        <v>16</v>
      </c>
      <c r="C527" s="1" t="s">
        <v>3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</row>
    <row r="528" spans="1:9" hidden="1" x14ac:dyDescent="0.25">
      <c r="A528" s="1" t="s">
        <v>127</v>
      </c>
      <c r="B528" s="1" t="s">
        <v>151</v>
      </c>
      <c r="C528" s="1" t="s">
        <v>143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</row>
    <row r="529" spans="1:9" hidden="1" x14ac:dyDescent="0.25">
      <c r="A529" s="1" t="s">
        <v>127</v>
      </c>
      <c r="B529" s="1" t="s">
        <v>151</v>
      </c>
      <c r="C529" s="1" t="s">
        <v>3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</row>
    <row r="530" spans="1:9" hidden="1" x14ac:dyDescent="0.25">
      <c r="A530" s="1" t="s">
        <v>127</v>
      </c>
      <c r="B530" s="1" t="s">
        <v>152</v>
      </c>
      <c r="C530" s="1" t="s">
        <v>143</v>
      </c>
      <c r="D530" s="1">
        <v>0</v>
      </c>
      <c r="E530" s="1">
        <v>-56.62</v>
      </c>
      <c r="F530" s="1">
        <v>0</v>
      </c>
      <c r="G530" s="1">
        <v>339.72300000000001</v>
      </c>
      <c r="H530" s="1">
        <v>0</v>
      </c>
      <c r="I530" s="1">
        <v>-97.68</v>
      </c>
    </row>
    <row r="531" spans="1:9" hidden="1" x14ac:dyDescent="0.25">
      <c r="A531" s="1" t="s">
        <v>127</v>
      </c>
      <c r="B531" s="1" t="s">
        <v>152</v>
      </c>
      <c r="C531" s="1" t="s">
        <v>3</v>
      </c>
      <c r="D531" s="1">
        <v>0</v>
      </c>
      <c r="E531" s="1">
        <v>-56.62</v>
      </c>
      <c r="F531" s="1">
        <v>0</v>
      </c>
      <c r="G531" s="1">
        <v>339.72300000000001</v>
      </c>
      <c r="H531" s="1">
        <v>0</v>
      </c>
      <c r="I531" s="1">
        <v>-269.13600000000002</v>
      </c>
    </row>
    <row r="532" spans="1:9" hidden="1" x14ac:dyDescent="0.25">
      <c r="A532" s="1" t="s">
        <v>127</v>
      </c>
      <c r="B532" s="1" t="s">
        <v>153</v>
      </c>
      <c r="C532" s="1" t="s">
        <v>143</v>
      </c>
      <c r="D532" s="1">
        <v>0</v>
      </c>
      <c r="E532" s="1">
        <v>0</v>
      </c>
      <c r="F532" s="1">
        <v>-56.62</v>
      </c>
      <c r="G532" s="1">
        <v>-339.72300000000001</v>
      </c>
      <c r="H532" s="1">
        <v>97.68</v>
      </c>
      <c r="I532" s="1">
        <v>0</v>
      </c>
    </row>
    <row r="533" spans="1:9" hidden="1" x14ac:dyDescent="0.25">
      <c r="A533" s="1" t="s">
        <v>127</v>
      </c>
      <c r="B533" s="1" t="s">
        <v>153</v>
      </c>
      <c r="C533" s="1" t="s">
        <v>3</v>
      </c>
      <c r="D533" s="1">
        <v>0</v>
      </c>
      <c r="E533" s="1">
        <v>0</v>
      </c>
      <c r="F533" s="1">
        <v>-56.62</v>
      </c>
      <c r="G533" s="1">
        <v>-339.72300000000001</v>
      </c>
      <c r="H533" s="1">
        <v>269.13600000000002</v>
      </c>
      <c r="I533" s="1">
        <v>0</v>
      </c>
    </row>
    <row r="534" spans="1:9" hidden="1" x14ac:dyDescent="0.25">
      <c r="A534" s="1" t="s">
        <v>127</v>
      </c>
      <c r="B534" s="1" t="s">
        <v>154</v>
      </c>
      <c r="C534" s="1" t="s">
        <v>143</v>
      </c>
      <c r="D534" s="1">
        <v>0</v>
      </c>
      <c r="E534" s="1">
        <v>0</v>
      </c>
      <c r="F534" s="1">
        <v>0</v>
      </c>
      <c r="G534" s="1">
        <v>0</v>
      </c>
      <c r="H534" s="1">
        <v>0</v>
      </c>
      <c r="I534" s="1">
        <v>0</v>
      </c>
    </row>
    <row r="535" spans="1:9" hidden="1" x14ac:dyDescent="0.25">
      <c r="A535" s="1" t="s">
        <v>127</v>
      </c>
      <c r="B535" s="1" t="s">
        <v>154</v>
      </c>
      <c r="C535" s="1" t="s">
        <v>3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</row>
    <row r="536" spans="1:9" hidden="1" x14ac:dyDescent="0.25">
      <c r="A536" s="1" t="s">
        <v>127</v>
      </c>
      <c r="B536" s="1" t="s">
        <v>155</v>
      </c>
      <c r="C536" s="1" t="s">
        <v>143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</row>
    <row r="537" spans="1:9" hidden="1" x14ac:dyDescent="0.25">
      <c r="A537" s="1" t="s">
        <v>127</v>
      </c>
      <c r="B537" s="1" t="s">
        <v>155</v>
      </c>
      <c r="C537" s="1" t="s">
        <v>3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</row>
    <row r="538" spans="1:9" hidden="1" x14ac:dyDescent="0.25">
      <c r="A538" s="1" t="s">
        <v>127</v>
      </c>
      <c r="B538" s="1" t="s">
        <v>156</v>
      </c>
      <c r="C538" s="1" t="s">
        <v>143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</row>
    <row r="539" spans="1:9" hidden="1" x14ac:dyDescent="0.25">
      <c r="A539" s="1" t="s">
        <v>127</v>
      </c>
      <c r="B539" s="1" t="s">
        <v>156</v>
      </c>
      <c r="C539" s="1" t="s">
        <v>3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</row>
    <row r="540" spans="1:9" hidden="1" x14ac:dyDescent="0.25">
      <c r="A540" s="1" t="s">
        <v>127</v>
      </c>
      <c r="B540" s="1" t="s">
        <v>4</v>
      </c>
      <c r="C540" s="1" t="s">
        <v>143</v>
      </c>
      <c r="D540" s="1">
        <v>0</v>
      </c>
      <c r="E540" s="1">
        <v>202.54</v>
      </c>
      <c r="F540" s="1">
        <v>0</v>
      </c>
      <c r="G540" s="1">
        <v>1339.1880000000001</v>
      </c>
      <c r="H540" s="1">
        <v>0</v>
      </c>
      <c r="I540" s="1">
        <v>666.04499999999996</v>
      </c>
    </row>
    <row r="541" spans="1:9" hidden="1" x14ac:dyDescent="0.25">
      <c r="A541" s="1" t="s">
        <v>127</v>
      </c>
      <c r="B541" s="1" t="s">
        <v>4</v>
      </c>
      <c r="C541" s="1" t="s">
        <v>3</v>
      </c>
      <c r="D541" s="1">
        <v>0</v>
      </c>
      <c r="E541" s="1">
        <v>202.54</v>
      </c>
      <c r="F541" s="1">
        <v>0</v>
      </c>
      <c r="G541" s="1">
        <v>1339.1880000000001</v>
      </c>
      <c r="H541" s="1">
        <v>0</v>
      </c>
      <c r="I541" s="1">
        <v>1276.2429999999999</v>
      </c>
    </row>
    <row r="542" spans="1:9" hidden="1" x14ac:dyDescent="0.25">
      <c r="A542" s="1" t="s">
        <v>127</v>
      </c>
      <c r="B542" s="1" t="s">
        <v>5</v>
      </c>
      <c r="C542" s="1" t="s">
        <v>143</v>
      </c>
      <c r="D542" s="1">
        <v>0</v>
      </c>
      <c r="E542" s="1">
        <v>0</v>
      </c>
      <c r="F542" s="1">
        <v>202.54</v>
      </c>
      <c r="G542" s="1">
        <v>1339.1880000000001</v>
      </c>
      <c r="H542" s="1">
        <v>666.04499999999996</v>
      </c>
      <c r="I542" s="1">
        <v>0</v>
      </c>
    </row>
    <row r="543" spans="1:9" hidden="1" x14ac:dyDescent="0.25">
      <c r="A543" s="1" t="s">
        <v>127</v>
      </c>
      <c r="B543" s="1" t="s">
        <v>5</v>
      </c>
      <c r="C543" s="1" t="s">
        <v>3</v>
      </c>
      <c r="D543" s="1">
        <v>0</v>
      </c>
      <c r="E543" s="1">
        <v>0</v>
      </c>
      <c r="F543" s="1">
        <v>202.54</v>
      </c>
      <c r="G543" s="1">
        <v>1339.1880000000001</v>
      </c>
      <c r="H543" s="1">
        <v>1276.2429999999999</v>
      </c>
      <c r="I543" s="1">
        <v>0</v>
      </c>
    </row>
    <row r="544" spans="1:9" hidden="1" x14ac:dyDescent="0.25">
      <c r="A544" s="1" t="s">
        <v>127</v>
      </c>
      <c r="B544" s="1" t="s">
        <v>6</v>
      </c>
      <c r="C544" s="1" t="s">
        <v>143</v>
      </c>
      <c r="D544" s="1">
        <v>107.26</v>
      </c>
      <c r="E544" s="1">
        <v>0</v>
      </c>
      <c r="F544" s="1">
        <v>0</v>
      </c>
      <c r="G544" s="1">
        <v>0</v>
      </c>
      <c r="H544" s="1">
        <v>643.54</v>
      </c>
      <c r="I544" s="1">
        <v>-643.54</v>
      </c>
    </row>
    <row r="545" spans="1:9" hidden="1" x14ac:dyDescent="0.25">
      <c r="A545" s="1" t="s">
        <v>127</v>
      </c>
      <c r="B545" s="1" t="s">
        <v>6</v>
      </c>
      <c r="C545" s="1" t="s">
        <v>3</v>
      </c>
      <c r="D545" s="1">
        <v>110.76</v>
      </c>
      <c r="E545" s="1">
        <v>0</v>
      </c>
      <c r="F545" s="1">
        <v>0</v>
      </c>
      <c r="G545" s="1">
        <v>0</v>
      </c>
      <c r="H545" s="1">
        <v>664.55799999999999</v>
      </c>
      <c r="I545" s="1">
        <v>-664.55799999999999</v>
      </c>
    </row>
    <row r="546" spans="1:9" hidden="1" x14ac:dyDescent="0.25">
      <c r="A546" s="1" t="s">
        <v>127</v>
      </c>
      <c r="B546" s="1" t="s">
        <v>7</v>
      </c>
      <c r="C546" s="1" t="s">
        <v>143</v>
      </c>
      <c r="D546" s="1">
        <v>0</v>
      </c>
      <c r="E546" s="1">
        <v>243.05</v>
      </c>
      <c r="F546" s="1">
        <v>0</v>
      </c>
      <c r="G546" s="1">
        <v>1607.0250000000001</v>
      </c>
      <c r="H546" s="1">
        <v>0</v>
      </c>
      <c r="I546" s="1">
        <v>799.25400000000002</v>
      </c>
    </row>
    <row r="547" spans="1:9" hidden="1" x14ac:dyDescent="0.25">
      <c r="A547" s="1" t="s">
        <v>127</v>
      </c>
      <c r="B547" s="1" t="s">
        <v>7</v>
      </c>
      <c r="C547" s="1" t="s">
        <v>3</v>
      </c>
      <c r="D547" s="1">
        <v>0</v>
      </c>
      <c r="E547" s="1">
        <v>243.05</v>
      </c>
      <c r="F547" s="1">
        <v>0</v>
      </c>
      <c r="G547" s="1">
        <v>1607.0250000000001</v>
      </c>
      <c r="H547" s="1">
        <v>0</v>
      </c>
      <c r="I547" s="1">
        <v>1531.492</v>
      </c>
    </row>
    <row r="548" spans="1:9" hidden="1" x14ac:dyDescent="0.25">
      <c r="A548" s="1" t="s">
        <v>127</v>
      </c>
      <c r="B548" s="1" t="s">
        <v>157</v>
      </c>
      <c r="C548" s="1" t="s">
        <v>143</v>
      </c>
      <c r="D548" s="1">
        <v>0</v>
      </c>
      <c r="E548" s="1">
        <v>-243.05</v>
      </c>
      <c r="F548" s="1">
        <v>0</v>
      </c>
      <c r="G548" s="1">
        <v>-1607.0250000000001</v>
      </c>
      <c r="H548" s="1">
        <v>0</v>
      </c>
      <c r="I548" s="1">
        <v>-799.25400000000002</v>
      </c>
    </row>
    <row r="549" spans="1:9" hidden="1" x14ac:dyDescent="0.25">
      <c r="A549" s="1" t="s">
        <v>127</v>
      </c>
      <c r="B549" s="1" t="s">
        <v>157</v>
      </c>
      <c r="C549" s="1" t="s">
        <v>3</v>
      </c>
      <c r="D549" s="1">
        <v>0</v>
      </c>
      <c r="E549" s="1">
        <v>-243.05</v>
      </c>
      <c r="F549" s="1">
        <v>0</v>
      </c>
      <c r="G549" s="1">
        <v>-1607.0250000000001</v>
      </c>
      <c r="H549" s="1">
        <v>0</v>
      </c>
      <c r="I549" s="1">
        <v>-1531.492</v>
      </c>
    </row>
    <row r="550" spans="1:9" hidden="1" x14ac:dyDescent="0.25">
      <c r="A550" s="1" t="s">
        <v>127</v>
      </c>
      <c r="B550" s="1" t="s">
        <v>8</v>
      </c>
      <c r="C550" s="1" t="s">
        <v>143</v>
      </c>
      <c r="D550" s="1">
        <v>0</v>
      </c>
      <c r="E550" s="1">
        <v>0</v>
      </c>
      <c r="F550" s="1">
        <v>222.8</v>
      </c>
      <c r="G550" s="1">
        <v>1473.106</v>
      </c>
      <c r="H550" s="1">
        <v>732.65</v>
      </c>
      <c r="I550" s="1">
        <v>0</v>
      </c>
    </row>
    <row r="551" spans="1:9" hidden="1" x14ac:dyDescent="0.25">
      <c r="A551" s="1" t="s">
        <v>127</v>
      </c>
      <c r="B551" s="1" t="s">
        <v>8</v>
      </c>
      <c r="C551" s="1" t="s">
        <v>3</v>
      </c>
      <c r="D551" s="1">
        <v>0</v>
      </c>
      <c r="E551" s="1">
        <v>0</v>
      </c>
      <c r="F551" s="1">
        <v>222.8</v>
      </c>
      <c r="G551" s="1">
        <v>1473.106</v>
      </c>
      <c r="H551" s="1">
        <v>1403.867</v>
      </c>
      <c r="I551" s="1">
        <v>0</v>
      </c>
    </row>
    <row r="552" spans="1:9" hidden="1" x14ac:dyDescent="0.25">
      <c r="A552" s="1" t="s">
        <v>127</v>
      </c>
      <c r="B552" s="1" t="s">
        <v>158</v>
      </c>
      <c r="C552" s="1" t="s">
        <v>143</v>
      </c>
      <c r="D552" s="1">
        <v>0</v>
      </c>
      <c r="E552" s="1">
        <v>0</v>
      </c>
      <c r="F552" s="1">
        <v>-222.8</v>
      </c>
      <c r="G552" s="1">
        <v>-1473.106</v>
      </c>
      <c r="H552" s="1">
        <v>-732.65</v>
      </c>
      <c r="I552" s="1">
        <v>0</v>
      </c>
    </row>
    <row r="553" spans="1:9" hidden="1" x14ac:dyDescent="0.25">
      <c r="A553" s="1" t="s">
        <v>127</v>
      </c>
      <c r="B553" s="1" t="s">
        <v>158</v>
      </c>
      <c r="C553" s="1" t="s">
        <v>3</v>
      </c>
      <c r="D553" s="1">
        <v>0</v>
      </c>
      <c r="E553" s="1">
        <v>0</v>
      </c>
      <c r="F553" s="1">
        <v>-222.8</v>
      </c>
      <c r="G553" s="1">
        <v>-1473.106</v>
      </c>
      <c r="H553" s="1">
        <v>-1403.867</v>
      </c>
      <c r="I553" s="1">
        <v>0</v>
      </c>
    </row>
    <row r="554" spans="1:9" hidden="1" x14ac:dyDescent="0.25">
      <c r="A554" s="1" t="s">
        <v>127</v>
      </c>
      <c r="B554" s="1" t="s">
        <v>159</v>
      </c>
      <c r="C554" s="1" t="s">
        <v>143</v>
      </c>
      <c r="D554" s="1">
        <v>1001.06</v>
      </c>
      <c r="E554" s="1">
        <v>0</v>
      </c>
      <c r="F554" s="1">
        <v>0</v>
      </c>
      <c r="G554" s="1">
        <v>0</v>
      </c>
      <c r="H554" s="1">
        <v>6006.375</v>
      </c>
      <c r="I554" s="1">
        <v>-6006.375</v>
      </c>
    </row>
    <row r="555" spans="1:9" hidden="1" x14ac:dyDescent="0.25">
      <c r="A555" s="1" t="s">
        <v>127</v>
      </c>
      <c r="B555" s="1" t="s">
        <v>159</v>
      </c>
      <c r="C555" s="1" t="s">
        <v>3</v>
      </c>
      <c r="D555" s="1">
        <v>1033.76</v>
      </c>
      <c r="E555" s="1">
        <v>0</v>
      </c>
      <c r="F555" s="1">
        <v>0</v>
      </c>
      <c r="G555" s="1">
        <v>0</v>
      </c>
      <c r="H555" s="1">
        <v>6202.5429999999997</v>
      </c>
      <c r="I555" s="1">
        <v>-6202.5429999999997</v>
      </c>
    </row>
    <row r="556" spans="1:9" hidden="1" x14ac:dyDescent="0.25">
      <c r="A556" s="1" t="s">
        <v>127</v>
      </c>
      <c r="B556" s="1" t="s">
        <v>160</v>
      </c>
      <c r="C556" s="1" t="s">
        <v>143</v>
      </c>
      <c r="D556" s="1">
        <v>1065.4100000000001</v>
      </c>
      <c r="E556" s="1">
        <v>0</v>
      </c>
      <c r="F556" s="1">
        <v>0</v>
      </c>
      <c r="G556" s="1">
        <v>0</v>
      </c>
      <c r="H556" s="1">
        <v>6392.482</v>
      </c>
      <c r="I556" s="1">
        <v>-6392.482</v>
      </c>
    </row>
    <row r="557" spans="1:9" hidden="1" x14ac:dyDescent="0.25">
      <c r="A557" s="1" t="s">
        <v>127</v>
      </c>
      <c r="B557" s="1" t="s">
        <v>160</v>
      </c>
      <c r="C557" s="1" t="s">
        <v>3</v>
      </c>
      <c r="D557" s="1">
        <v>1093.44</v>
      </c>
      <c r="E557" s="1">
        <v>0</v>
      </c>
      <c r="F557" s="1">
        <v>0</v>
      </c>
      <c r="G557" s="1">
        <v>0</v>
      </c>
      <c r="H557" s="1">
        <v>6560.625</v>
      </c>
      <c r="I557" s="1">
        <v>-6560.625</v>
      </c>
    </row>
    <row r="558" spans="1:9" hidden="1" x14ac:dyDescent="0.25">
      <c r="A558" s="1" t="s">
        <v>127</v>
      </c>
      <c r="B558" s="1" t="s">
        <v>161</v>
      </c>
      <c r="C558" s="1" t="s">
        <v>143</v>
      </c>
      <c r="D558" s="1">
        <v>922.85</v>
      </c>
      <c r="E558" s="1">
        <v>0</v>
      </c>
      <c r="F558" s="1">
        <v>0</v>
      </c>
      <c r="G558" s="1">
        <v>0</v>
      </c>
      <c r="H558" s="1">
        <v>5537.1220000000003</v>
      </c>
      <c r="I558" s="1">
        <v>-5537.1220000000003</v>
      </c>
    </row>
    <row r="559" spans="1:9" hidden="1" x14ac:dyDescent="0.25">
      <c r="A559" s="1" t="s">
        <v>127</v>
      </c>
      <c r="B559" s="1" t="s">
        <v>161</v>
      </c>
      <c r="C559" s="1" t="s">
        <v>3</v>
      </c>
      <c r="D559" s="1">
        <v>950.88</v>
      </c>
      <c r="E559" s="1">
        <v>0</v>
      </c>
      <c r="F559" s="1">
        <v>0</v>
      </c>
      <c r="G559" s="1">
        <v>0</v>
      </c>
      <c r="H559" s="1">
        <v>5705.2650000000003</v>
      </c>
      <c r="I559" s="1">
        <v>-5705.2650000000003</v>
      </c>
    </row>
    <row r="560" spans="1:9" hidden="1" x14ac:dyDescent="0.25">
      <c r="A560" s="1" t="s">
        <v>127</v>
      </c>
      <c r="B560" s="1" t="s">
        <v>162</v>
      </c>
      <c r="C560" s="1" t="s">
        <v>143</v>
      </c>
      <c r="D560" s="1">
        <v>955.03</v>
      </c>
      <c r="E560" s="1">
        <v>-230.01</v>
      </c>
      <c r="F560" s="1">
        <v>0</v>
      </c>
      <c r="G560" s="1">
        <v>1518.068</v>
      </c>
      <c r="H560" s="1">
        <v>5730.1840000000002</v>
      </c>
      <c r="I560" s="1">
        <v>-6565.491</v>
      </c>
    </row>
    <row r="561" spans="1:9" hidden="1" x14ac:dyDescent="0.25">
      <c r="A561" s="1" t="s">
        <v>127</v>
      </c>
      <c r="B561" s="1" t="s">
        <v>162</v>
      </c>
      <c r="C561" s="1" t="s">
        <v>3</v>
      </c>
      <c r="D561" s="1">
        <v>984.11</v>
      </c>
      <c r="E561" s="1">
        <v>-230.01</v>
      </c>
      <c r="F561" s="1">
        <v>0</v>
      </c>
      <c r="G561" s="1">
        <v>1518.068</v>
      </c>
      <c r="H561" s="1">
        <v>5904.6329999999998</v>
      </c>
      <c r="I561" s="1">
        <v>-7436.4229999999998</v>
      </c>
    </row>
    <row r="562" spans="1:9" hidden="1" x14ac:dyDescent="0.25">
      <c r="A562" s="1" t="s">
        <v>127</v>
      </c>
      <c r="B562" s="1" t="s">
        <v>163</v>
      </c>
      <c r="C562" s="1" t="s">
        <v>143</v>
      </c>
      <c r="D562" s="1">
        <v>955.03</v>
      </c>
      <c r="E562" s="1">
        <v>-230.01</v>
      </c>
      <c r="F562" s="1">
        <v>0</v>
      </c>
      <c r="G562" s="1">
        <v>1242.056</v>
      </c>
      <c r="H562" s="1">
        <v>5730.1840000000002</v>
      </c>
      <c r="I562" s="1">
        <v>-6565.491</v>
      </c>
    </row>
    <row r="563" spans="1:9" hidden="1" x14ac:dyDescent="0.25">
      <c r="A563" s="1" t="s">
        <v>127</v>
      </c>
      <c r="B563" s="1" t="s">
        <v>163</v>
      </c>
      <c r="C563" s="1" t="s">
        <v>3</v>
      </c>
      <c r="D563" s="1">
        <v>984.11</v>
      </c>
      <c r="E563" s="1">
        <v>-230.01</v>
      </c>
      <c r="F563" s="1">
        <v>0</v>
      </c>
      <c r="G563" s="1">
        <v>1242.056</v>
      </c>
      <c r="H563" s="1">
        <v>5904.6329999999998</v>
      </c>
      <c r="I563" s="1">
        <v>-7436.4229999999998</v>
      </c>
    </row>
    <row r="564" spans="1:9" hidden="1" x14ac:dyDescent="0.25">
      <c r="A564" s="1" t="s">
        <v>127</v>
      </c>
      <c r="B564" s="1" t="s">
        <v>164</v>
      </c>
      <c r="C564" s="1" t="s">
        <v>143</v>
      </c>
      <c r="D564" s="1">
        <v>955.03</v>
      </c>
      <c r="E564" s="1">
        <v>230.01</v>
      </c>
      <c r="F564" s="1">
        <v>0</v>
      </c>
      <c r="G564" s="1">
        <v>-1518.068</v>
      </c>
      <c r="H564" s="1">
        <v>5730.1840000000002</v>
      </c>
      <c r="I564" s="1">
        <v>-4894.8760000000002</v>
      </c>
    </row>
    <row r="565" spans="1:9" hidden="1" x14ac:dyDescent="0.25">
      <c r="A565" s="1" t="s">
        <v>127</v>
      </c>
      <c r="B565" s="1" t="s">
        <v>164</v>
      </c>
      <c r="C565" s="1" t="s">
        <v>3</v>
      </c>
      <c r="D565" s="1">
        <v>984.11</v>
      </c>
      <c r="E565" s="1">
        <v>230.01</v>
      </c>
      <c r="F565" s="1">
        <v>0</v>
      </c>
      <c r="G565" s="1">
        <v>-1518.068</v>
      </c>
      <c r="H565" s="1">
        <v>5904.6329999999998</v>
      </c>
      <c r="I565" s="1">
        <v>-4372.8419999999996</v>
      </c>
    </row>
    <row r="566" spans="1:9" hidden="1" x14ac:dyDescent="0.25">
      <c r="A566" s="1" t="s">
        <v>127</v>
      </c>
      <c r="B566" s="1" t="s">
        <v>165</v>
      </c>
      <c r="C566" s="1" t="s">
        <v>143</v>
      </c>
      <c r="D566" s="1">
        <v>955.03</v>
      </c>
      <c r="E566" s="1">
        <v>230.01</v>
      </c>
      <c r="F566" s="1">
        <v>0</v>
      </c>
      <c r="G566" s="1">
        <v>-1242.056</v>
      </c>
      <c r="H566" s="1">
        <v>5730.1840000000002</v>
      </c>
      <c r="I566" s="1">
        <v>-4894.8760000000002</v>
      </c>
    </row>
    <row r="567" spans="1:9" hidden="1" x14ac:dyDescent="0.25">
      <c r="A567" s="1" t="s">
        <v>127</v>
      </c>
      <c r="B567" s="1" t="s">
        <v>165</v>
      </c>
      <c r="C567" s="1" t="s">
        <v>3</v>
      </c>
      <c r="D567" s="1">
        <v>984.11</v>
      </c>
      <c r="E567" s="1">
        <v>230.01</v>
      </c>
      <c r="F567" s="1">
        <v>0</v>
      </c>
      <c r="G567" s="1">
        <v>-1242.056</v>
      </c>
      <c r="H567" s="1">
        <v>5904.6329999999998</v>
      </c>
      <c r="I567" s="1">
        <v>-4372.8419999999996</v>
      </c>
    </row>
    <row r="568" spans="1:9" hidden="1" x14ac:dyDescent="0.25">
      <c r="A568" s="1" t="s">
        <v>127</v>
      </c>
      <c r="B568" s="1" t="s">
        <v>166</v>
      </c>
      <c r="C568" s="1" t="s">
        <v>143</v>
      </c>
      <c r="D568" s="1">
        <v>955.03</v>
      </c>
      <c r="E568" s="1">
        <v>0</v>
      </c>
      <c r="F568" s="1">
        <v>-230.01</v>
      </c>
      <c r="G568" s="1">
        <v>-1518.068</v>
      </c>
      <c r="H568" s="1">
        <v>6565.491</v>
      </c>
      <c r="I568" s="1">
        <v>-5730.1840000000002</v>
      </c>
    </row>
    <row r="569" spans="1:9" hidden="1" x14ac:dyDescent="0.25">
      <c r="A569" s="1" t="s">
        <v>127</v>
      </c>
      <c r="B569" s="1" t="s">
        <v>166</v>
      </c>
      <c r="C569" s="1" t="s">
        <v>3</v>
      </c>
      <c r="D569" s="1">
        <v>984.11</v>
      </c>
      <c r="E569" s="1">
        <v>0</v>
      </c>
      <c r="F569" s="1">
        <v>-230.01</v>
      </c>
      <c r="G569" s="1">
        <v>-1518.068</v>
      </c>
      <c r="H569" s="1">
        <v>7436.4229999999998</v>
      </c>
      <c r="I569" s="1">
        <v>-5904.6329999999998</v>
      </c>
    </row>
    <row r="570" spans="1:9" hidden="1" x14ac:dyDescent="0.25">
      <c r="A570" s="1" t="s">
        <v>127</v>
      </c>
      <c r="B570" s="1" t="s">
        <v>167</v>
      </c>
      <c r="C570" s="1" t="s">
        <v>143</v>
      </c>
      <c r="D570" s="1">
        <v>955.03</v>
      </c>
      <c r="E570" s="1">
        <v>0</v>
      </c>
      <c r="F570" s="1">
        <v>-230.01</v>
      </c>
      <c r="G570" s="1">
        <v>-1242.056</v>
      </c>
      <c r="H570" s="1">
        <v>6565.491</v>
      </c>
      <c r="I570" s="1">
        <v>-5730.1840000000002</v>
      </c>
    </row>
    <row r="571" spans="1:9" hidden="1" x14ac:dyDescent="0.25">
      <c r="A571" s="1" t="s">
        <v>127</v>
      </c>
      <c r="B571" s="1" t="s">
        <v>167</v>
      </c>
      <c r="C571" s="1" t="s">
        <v>3</v>
      </c>
      <c r="D571" s="1">
        <v>984.11</v>
      </c>
      <c r="E571" s="1">
        <v>0</v>
      </c>
      <c r="F571" s="1">
        <v>-230.01</v>
      </c>
      <c r="G571" s="1">
        <v>-1242.056</v>
      </c>
      <c r="H571" s="1">
        <v>7436.4229999999998</v>
      </c>
      <c r="I571" s="1">
        <v>-5904.6329999999998</v>
      </c>
    </row>
    <row r="572" spans="1:9" hidden="1" x14ac:dyDescent="0.25">
      <c r="A572" s="1" t="s">
        <v>127</v>
      </c>
      <c r="B572" s="1" t="s">
        <v>168</v>
      </c>
      <c r="C572" s="1" t="s">
        <v>143</v>
      </c>
      <c r="D572" s="1">
        <v>955.03</v>
      </c>
      <c r="E572" s="1">
        <v>0</v>
      </c>
      <c r="F572" s="1">
        <v>230.01</v>
      </c>
      <c r="G572" s="1">
        <v>1518.068</v>
      </c>
      <c r="H572" s="1">
        <v>4894.8760000000002</v>
      </c>
      <c r="I572" s="1">
        <v>-5730.1840000000002</v>
      </c>
    </row>
    <row r="573" spans="1:9" hidden="1" x14ac:dyDescent="0.25">
      <c r="A573" s="1" t="s">
        <v>127</v>
      </c>
      <c r="B573" s="1" t="s">
        <v>168</v>
      </c>
      <c r="C573" s="1" t="s">
        <v>3</v>
      </c>
      <c r="D573" s="1">
        <v>984.11</v>
      </c>
      <c r="E573" s="1">
        <v>0</v>
      </c>
      <c r="F573" s="1">
        <v>230.01</v>
      </c>
      <c r="G573" s="1">
        <v>1518.068</v>
      </c>
      <c r="H573" s="1">
        <v>4372.8419999999996</v>
      </c>
      <c r="I573" s="1">
        <v>-5904.6329999999998</v>
      </c>
    </row>
    <row r="574" spans="1:9" hidden="1" x14ac:dyDescent="0.25">
      <c r="A574" s="1" t="s">
        <v>127</v>
      </c>
      <c r="B574" s="1" t="s">
        <v>169</v>
      </c>
      <c r="C574" s="1" t="s">
        <v>143</v>
      </c>
      <c r="D574" s="1">
        <v>955.03</v>
      </c>
      <c r="E574" s="1">
        <v>0</v>
      </c>
      <c r="F574" s="1">
        <v>230.01</v>
      </c>
      <c r="G574" s="1">
        <v>1242.056</v>
      </c>
      <c r="H574" s="1">
        <v>4894.8760000000002</v>
      </c>
      <c r="I574" s="1">
        <v>-5730.1840000000002</v>
      </c>
    </row>
    <row r="575" spans="1:9" hidden="1" x14ac:dyDescent="0.25">
      <c r="A575" s="1" t="s">
        <v>127</v>
      </c>
      <c r="B575" s="1" t="s">
        <v>169</v>
      </c>
      <c r="C575" s="1" t="s">
        <v>3</v>
      </c>
      <c r="D575" s="1">
        <v>984.11</v>
      </c>
      <c r="E575" s="1">
        <v>0</v>
      </c>
      <c r="F575" s="1">
        <v>230.01</v>
      </c>
      <c r="G575" s="1">
        <v>1242.056</v>
      </c>
      <c r="H575" s="1">
        <v>4372.8419999999996</v>
      </c>
      <c r="I575" s="1">
        <v>-5904.6329999999998</v>
      </c>
    </row>
    <row r="576" spans="1:9" hidden="1" x14ac:dyDescent="0.25">
      <c r="A576" s="1" t="s">
        <v>127</v>
      </c>
      <c r="B576" s="1" t="s">
        <v>170</v>
      </c>
      <c r="C576" s="1" t="s">
        <v>143</v>
      </c>
      <c r="D576" s="1">
        <v>890.68</v>
      </c>
      <c r="E576" s="1">
        <v>-230.01</v>
      </c>
      <c r="F576" s="1">
        <v>0</v>
      </c>
      <c r="G576" s="1">
        <v>1518.068</v>
      </c>
      <c r="H576" s="1">
        <v>5344.06</v>
      </c>
      <c r="I576" s="1">
        <v>-6179.3670000000002</v>
      </c>
    </row>
    <row r="577" spans="1:9" hidden="1" x14ac:dyDescent="0.25">
      <c r="A577" s="1" t="s">
        <v>127</v>
      </c>
      <c r="B577" s="1" t="s">
        <v>170</v>
      </c>
      <c r="C577" s="1" t="s">
        <v>3</v>
      </c>
      <c r="D577" s="1">
        <v>917.65</v>
      </c>
      <c r="E577" s="1">
        <v>-230.01</v>
      </c>
      <c r="F577" s="1">
        <v>0</v>
      </c>
      <c r="G577" s="1">
        <v>1518.068</v>
      </c>
      <c r="H577" s="1">
        <v>5505.8980000000001</v>
      </c>
      <c r="I577" s="1">
        <v>-7037.6880000000001</v>
      </c>
    </row>
    <row r="578" spans="1:9" hidden="1" x14ac:dyDescent="0.25">
      <c r="A578" s="1" t="s">
        <v>127</v>
      </c>
      <c r="B578" s="1" t="s">
        <v>171</v>
      </c>
      <c r="C578" s="1" t="s">
        <v>143</v>
      </c>
      <c r="D578" s="1">
        <v>890.68</v>
      </c>
      <c r="E578" s="1">
        <v>-230.01</v>
      </c>
      <c r="F578" s="1">
        <v>0</v>
      </c>
      <c r="G578" s="1">
        <v>1242.056</v>
      </c>
      <c r="H578" s="1">
        <v>5344.06</v>
      </c>
      <c r="I578" s="1">
        <v>-6179.3670000000002</v>
      </c>
    </row>
    <row r="579" spans="1:9" hidden="1" x14ac:dyDescent="0.25">
      <c r="A579" s="1" t="s">
        <v>127</v>
      </c>
      <c r="B579" s="1" t="s">
        <v>171</v>
      </c>
      <c r="C579" s="1" t="s">
        <v>3</v>
      </c>
      <c r="D579" s="1">
        <v>917.65</v>
      </c>
      <c r="E579" s="1">
        <v>-230.01</v>
      </c>
      <c r="F579" s="1">
        <v>0</v>
      </c>
      <c r="G579" s="1">
        <v>1242.056</v>
      </c>
      <c r="H579" s="1">
        <v>5505.8980000000001</v>
      </c>
      <c r="I579" s="1">
        <v>-7037.6880000000001</v>
      </c>
    </row>
    <row r="580" spans="1:9" hidden="1" x14ac:dyDescent="0.25">
      <c r="A580" s="1" t="s">
        <v>127</v>
      </c>
      <c r="B580" s="1" t="s">
        <v>172</v>
      </c>
      <c r="C580" s="1" t="s">
        <v>143</v>
      </c>
      <c r="D580" s="1">
        <v>890.68</v>
      </c>
      <c r="E580" s="1">
        <v>230.01</v>
      </c>
      <c r="F580" s="1">
        <v>0</v>
      </c>
      <c r="G580" s="1">
        <v>-1518.068</v>
      </c>
      <c r="H580" s="1">
        <v>5344.06</v>
      </c>
      <c r="I580" s="1">
        <v>-4508.7520000000004</v>
      </c>
    </row>
    <row r="581" spans="1:9" hidden="1" x14ac:dyDescent="0.25">
      <c r="A581" s="1" t="s">
        <v>127</v>
      </c>
      <c r="B581" s="1" t="s">
        <v>172</v>
      </c>
      <c r="C581" s="1" t="s">
        <v>3</v>
      </c>
      <c r="D581" s="1">
        <v>917.65</v>
      </c>
      <c r="E581" s="1">
        <v>230.01</v>
      </c>
      <c r="F581" s="1">
        <v>0</v>
      </c>
      <c r="G581" s="1">
        <v>-1518.068</v>
      </c>
      <c r="H581" s="1">
        <v>5505.8980000000001</v>
      </c>
      <c r="I581" s="1">
        <v>-3974.107</v>
      </c>
    </row>
    <row r="582" spans="1:9" hidden="1" x14ac:dyDescent="0.25">
      <c r="A582" s="1" t="s">
        <v>127</v>
      </c>
      <c r="B582" s="1" t="s">
        <v>173</v>
      </c>
      <c r="C582" s="1" t="s">
        <v>143</v>
      </c>
      <c r="D582" s="1">
        <v>890.68</v>
      </c>
      <c r="E582" s="1">
        <v>230.01</v>
      </c>
      <c r="F582" s="1">
        <v>0</v>
      </c>
      <c r="G582" s="1">
        <v>-1242.056</v>
      </c>
      <c r="H582" s="1">
        <v>5344.06</v>
      </c>
      <c r="I582" s="1">
        <v>-4508.7520000000004</v>
      </c>
    </row>
    <row r="583" spans="1:9" hidden="1" x14ac:dyDescent="0.25">
      <c r="A583" s="1" t="s">
        <v>127</v>
      </c>
      <c r="B583" s="1" t="s">
        <v>173</v>
      </c>
      <c r="C583" s="1" t="s">
        <v>3</v>
      </c>
      <c r="D583" s="1">
        <v>917.65</v>
      </c>
      <c r="E583" s="1">
        <v>230.01</v>
      </c>
      <c r="F583" s="1">
        <v>0</v>
      </c>
      <c r="G583" s="1">
        <v>-1242.056</v>
      </c>
      <c r="H583" s="1">
        <v>5505.8980000000001</v>
      </c>
      <c r="I583" s="1">
        <v>-3974.107</v>
      </c>
    </row>
    <row r="584" spans="1:9" hidden="1" x14ac:dyDescent="0.25">
      <c r="A584" s="1" t="s">
        <v>127</v>
      </c>
      <c r="B584" s="1" t="s">
        <v>174</v>
      </c>
      <c r="C584" s="1" t="s">
        <v>143</v>
      </c>
      <c r="D584" s="1">
        <v>890.68</v>
      </c>
      <c r="E584" s="1">
        <v>0</v>
      </c>
      <c r="F584" s="1">
        <v>-230.01</v>
      </c>
      <c r="G584" s="1">
        <v>-1518.068</v>
      </c>
      <c r="H584" s="1">
        <v>6179.3670000000002</v>
      </c>
      <c r="I584" s="1">
        <v>-5344.06</v>
      </c>
    </row>
    <row r="585" spans="1:9" hidden="1" x14ac:dyDescent="0.25">
      <c r="A585" s="1" t="s">
        <v>127</v>
      </c>
      <c r="B585" s="1" t="s">
        <v>174</v>
      </c>
      <c r="C585" s="1" t="s">
        <v>3</v>
      </c>
      <c r="D585" s="1">
        <v>917.65</v>
      </c>
      <c r="E585" s="1">
        <v>0</v>
      </c>
      <c r="F585" s="1">
        <v>-230.01</v>
      </c>
      <c r="G585" s="1">
        <v>-1518.068</v>
      </c>
      <c r="H585" s="1">
        <v>7037.6880000000001</v>
      </c>
      <c r="I585" s="1">
        <v>-5505.8980000000001</v>
      </c>
    </row>
    <row r="586" spans="1:9" hidden="1" x14ac:dyDescent="0.25">
      <c r="A586" s="1" t="s">
        <v>127</v>
      </c>
      <c r="B586" s="1" t="s">
        <v>175</v>
      </c>
      <c r="C586" s="1" t="s">
        <v>143</v>
      </c>
      <c r="D586" s="1">
        <v>890.68</v>
      </c>
      <c r="E586" s="1">
        <v>0</v>
      </c>
      <c r="F586" s="1">
        <v>-230.01</v>
      </c>
      <c r="G586" s="1">
        <v>-1242.056</v>
      </c>
      <c r="H586" s="1">
        <v>6179.3670000000002</v>
      </c>
      <c r="I586" s="1">
        <v>-5344.06</v>
      </c>
    </row>
    <row r="587" spans="1:9" hidden="1" x14ac:dyDescent="0.25">
      <c r="A587" s="1" t="s">
        <v>127</v>
      </c>
      <c r="B587" s="1" t="s">
        <v>175</v>
      </c>
      <c r="C587" s="1" t="s">
        <v>3</v>
      </c>
      <c r="D587" s="1">
        <v>917.65</v>
      </c>
      <c r="E587" s="1">
        <v>0</v>
      </c>
      <c r="F587" s="1">
        <v>-230.01</v>
      </c>
      <c r="G587" s="1">
        <v>-1242.056</v>
      </c>
      <c r="H587" s="1">
        <v>7037.6880000000001</v>
      </c>
      <c r="I587" s="1">
        <v>-5505.8980000000001</v>
      </c>
    </row>
    <row r="588" spans="1:9" hidden="1" x14ac:dyDescent="0.25">
      <c r="A588" s="1" t="s">
        <v>127</v>
      </c>
      <c r="B588" s="1" t="s">
        <v>176</v>
      </c>
      <c r="C588" s="1" t="s">
        <v>143</v>
      </c>
      <c r="D588" s="1">
        <v>890.68</v>
      </c>
      <c r="E588" s="1">
        <v>0</v>
      </c>
      <c r="F588" s="1">
        <v>230.01</v>
      </c>
      <c r="G588" s="1">
        <v>1518.068</v>
      </c>
      <c r="H588" s="1">
        <v>4508.7520000000004</v>
      </c>
      <c r="I588" s="1">
        <v>-5344.06</v>
      </c>
    </row>
    <row r="589" spans="1:9" hidden="1" x14ac:dyDescent="0.25">
      <c r="A589" s="1" t="s">
        <v>127</v>
      </c>
      <c r="B589" s="1" t="s">
        <v>176</v>
      </c>
      <c r="C589" s="1" t="s">
        <v>3</v>
      </c>
      <c r="D589" s="1">
        <v>917.65</v>
      </c>
      <c r="E589" s="1">
        <v>0</v>
      </c>
      <c r="F589" s="1">
        <v>230.01</v>
      </c>
      <c r="G589" s="1">
        <v>1518.068</v>
      </c>
      <c r="H589" s="1">
        <v>3974.107</v>
      </c>
      <c r="I589" s="1">
        <v>-5505.8980000000001</v>
      </c>
    </row>
    <row r="590" spans="1:9" hidden="1" x14ac:dyDescent="0.25">
      <c r="A590" s="1" t="s">
        <v>127</v>
      </c>
      <c r="B590" s="1" t="s">
        <v>177</v>
      </c>
      <c r="C590" s="1" t="s">
        <v>143</v>
      </c>
      <c r="D590" s="1">
        <v>890.68</v>
      </c>
      <c r="E590" s="1">
        <v>0</v>
      </c>
      <c r="F590" s="1">
        <v>230.01</v>
      </c>
      <c r="G590" s="1">
        <v>1242.056</v>
      </c>
      <c r="H590" s="1">
        <v>4508.7520000000004</v>
      </c>
      <c r="I590" s="1">
        <v>-5344.06</v>
      </c>
    </row>
    <row r="591" spans="1:9" hidden="1" x14ac:dyDescent="0.25">
      <c r="A591" s="1" t="s">
        <v>127</v>
      </c>
      <c r="B591" s="1" t="s">
        <v>177</v>
      </c>
      <c r="C591" s="1" t="s">
        <v>3</v>
      </c>
      <c r="D591" s="1">
        <v>917.65</v>
      </c>
      <c r="E591" s="1">
        <v>0</v>
      </c>
      <c r="F591" s="1">
        <v>230.01</v>
      </c>
      <c r="G591" s="1">
        <v>1242.056</v>
      </c>
      <c r="H591" s="1">
        <v>3974.107</v>
      </c>
      <c r="I591" s="1">
        <v>-5505.8980000000001</v>
      </c>
    </row>
    <row r="592" spans="1:9" hidden="1" x14ac:dyDescent="0.25">
      <c r="A592" s="1" t="s">
        <v>127</v>
      </c>
      <c r="B592" s="1" t="s">
        <v>178</v>
      </c>
      <c r="C592" s="1" t="s">
        <v>143</v>
      </c>
      <c r="D592" s="1">
        <v>1030.1099999999999</v>
      </c>
      <c r="E592" s="1">
        <v>-69</v>
      </c>
      <c r="F592" s="1">
        <v>0</v>
      </c>
      <c r="G592" s="1">
        <v>455.42</v>
      </c>
      <c r="H592" s="1">
        <v>6180.6620000000003</v>
      </c>
      <c r="I592" s="1">
        <v>-6431.2539999999999</v>
      </c>
    </row>
    <row r="593" spans="1:9" hidden="1" x14ac:dyDescent="0.25">
      <c r="A593" s="1" t="s">
        <v>127</v>
      </c>
      <c r="B593" s="1" t="s">
        <v>178</v>
      </c>
      <c r="C593" s="1" t="s">
        <v>3</v>
      </c>
      <c r="D593" s="1">
        <v>1061.6400000000001</v>
      </c>
      <c r="E593" s="1">
        <v>-69</v>
      </c>
      <c r="F593" s="1">
        <v>0</v>
      </c>
      <c r="G593" s="1">
        <v>455.42</v>
      </c>
      <c r="H593" s="1">
        <v>6369.8230000000003</v>
      </c>
      <c r="I593" s="1">
        <v>-6829.3609999999999</v>
      </c>
    </row>
    <row r="594" spans="1:9" hidden="1" x14ac:dyDescent="0.25">
      <c r="A594" s="1" t="s">
        <v>127</v>
      </c>
      <c r="B594" s="1" t="s">
        <v>179</v>
      </c>
      <c r="C594" s="1" t="s">
        <v>143</v>
      </c>
      <c r="D594" s="1">
        <v>1030.1099999999999</v>
      </c>
      <c r="E594" s="1">
        <v>-69</v>
      </c>
      <c r="F594" s="1">
        <v>0</v>
      </c>
      <c r="G594" s="1">
        <v>372.61700000000002</v>
      </c>
      <c r="H594" s="1">
        <v>6180.6620000000003</v>
      </c>
      <c r="I594" s="1">
        <v>-6431.2539999999999</v>
      </c>
    </row>
    <row r="595" spans="1:9" hidden="1" x14ac:dyDescent="0.25">
      <c r="A595" s="1" t="s">
        <v>127</v>
      </c>
      <c r="B595" s="1" t="s">
        <v>179</v>
      </c>
      <c r="C595" s="1" t="s">
        <v>3</v>
      </c>
      <c r="D595" s="1">
        <v>1061.6400000000001</v>
      </c>
      <c r="E595" s="1">
        <v>-69</v>
      </c>
      <c r="F595" s="1">
        <v>0</v>
      </c>
      <c r="G595" s="1">
        <v>372.61700000000002</v>
      </c>
      <c r="H595" s="1">
        <v>6369.8230000000003</v>
      </c>
      <c r="I595" s="1">
        <v>-6829.3609999999999</v>
      </c>
    </row>
    <row r="596" spans="1:9" hidden="1" x14ac:dyDescent="0.25">
      <c r="A596" s="1" t="s">
        <v>127</v>
      </c>
      <c r="B596" s="1" t="s">
        <v>180</v>
      </c>
      <c r="C596" s="1" t="s">
        <v>143</v>
      </c>
      <c r="D596" s="1">
        <v>1030.1099999999999</v>
      </c>
      <c r="E596" s="1">
        <v>69</v>
      </c>
      <c r="F596" s="1">
        <v>0</v>
      </c>
      <c r="G596" s="1">
        <v>-455.42</v>
      </c>
      <c r="H596" s="1">
        <v>6180.6620000000003</v>
      </c>
      <c r="I596" s="1">
        <v>-5930.07</v>
      </c>
    </row>
    <row r="597" spans="1:9" hidden="1" x14ac:dyDescent="0.25">
      <c r="A597" s="1" t="s">
        <v>127</v>
      </c>
      <c r="B597" s="1" t="s">
        <v>180</v>
      </c>
      <c r="C597" s="1" t="s">
        <v>3</v>
      </c>
      <c r="D597" s="1">
        <v>1061.6400000000001</v>
      </c>
      <c r="E597" s="1">
        <v>69</v>
      </c>
      <c r="F597" s="1">
        <v>0</v>
      </c>
      <c r="G597" s="1">
        <v>-455.42</v>
      </c>
      <c r="H597" s="1">
        <v>6369.8230000000003</v>
      </c>
      <c r="I597" s="1">
        <v>-5910.2860000000001</v>
      </c>
    </row>
    <row r="598" spans="1:9" hidden="1" x14ac:dyDescent="0.25">
      <c r="A598" s="1" t="s">
        <v>127</v>
      </c>
      <c r="B598" s="1" t="s">
        <v>181</v>
      </c>
      <c r="C598" s="1" t="s">
        <v>143</v>
      </c>
      <c r="D598" s="1">
        <v>1030.1099999999999</v>
      </c>
      <c r="E598" s="1">
        <v>69</v>
      </c>
      <c r="F598" s="1">
        <v>0</v>
      </c>
      <c r="G598" s="1">
        <v>-372.61700000000002</v>
      </c>
      <c r="H598" s="1">
        <v>6180.6620000000003</v>
      </c>
      <c r="I598" s="1">
        <v>-5930.07</v>
      </c>
    </row>
    <row r="599" spans="1:9" hidden="1" x14ac:dyDescent="0.25">
      <c r="A599" s="1" t="s">
        <v>127</v>
      </c>
      <c r="B599" s="1" t="s">
        <v>181</v>
      </c>
      <c r="C599" s="1" t="s">
        <v>3</v>
      </c>
      <c r="D599" s="1">
        <v>1061.6400000000001</v>
      </c>
      <c r="E599" s="1">
        <v>69</v>
      </c>
      <c r="F599" s="1">
        <v>0</v>
      </c>
      <c r="G599" s="1">
        <v>-372.61700000000002</v>
      </c>
      <c r="H599" s="1">
        <v>6369.8230000000003</v>
      </c>
      <c r="I599" s="1">
        <v>-5910.2860000000001</v>
      </c>
    </row>
    <row r="600" spans="1:9" hidden="1" x14ac:dyDescent="0.25">
      <c r="A600" s="1" t="s">
        <v>127</v>
      </c>
      <c r="B600" s="1" t="s">
        <v>182</v>
      </c>
      <c r="C600" s="1" t="s">
        <v>143</v>
      </c>
      <c r="D600" s="1">
        <v>1030.1099999999999</v>
      </c>
      <c r="E600" s="1">
        <v>0</v>
      </c>
      <c r="F600" s="1">
        <v>-69</v>
      </c>
      <c r="G600" s="1">
        <v>-455.42</v>
      </c>
      <c r="H600" s="1">
        <v>6431.2539999999999</v>
      </c>
      <c r="I600" s="1">
        <v>-6180.6620000000003</v>
      </c>
    </row>
    <row r="601" spans="1:9" hidden="1" x14ac:dyDescent="0.25">
      <c r="A601" s="1" t="s">
        <v>127</v>
      </c>
      <c r="B601" s="1" t="s">
        <v>182</v>
      </c>
      <c r="C601" s="1" t="s">
        <v>3</v>
      </c>
      <c r="D601" s="1">
        <v>1061.6400000000001</v>
      </c>
      <c r="E601" s="1">
        <v>0</v>
      </c>
      <c r="F601" s="1">
        <v>-69</v>
      </c>
      <c r="G601" s="1">
        <v>-455.42</v>
      </c>
      <c r="H601" s="1">
        <v>6829.3609999999999</v>
      </c>
      <c r="I601" s="1">
        <v>-6369.8230000000003</v>
      </c>
    </row>
    <row r="602" spans="1:9" hidden="1" x14ac:dyDescent="0.25">
      <c r="A602" s="1" t="s">
        <v>127</v>
      </c>
      <c r="B602" s="1" t="s">
        <v>183</v>
      </c>
      <c r="C602" s="1" t="s">
        <v>143</v>
      </c>
      <c r="D602" s="1">
        <v>1030.1099999999999</v>
      </c>
      <c r="E602" s="1">
        <v>0</v>
      </c>
      <c r="F602" s="1">
        <v>-69</v>
      </c>
      <c r="G602" s="1">
        <v>-372.61700000000002</v>
      </c>
      <c r="H602" s="1">
        <v>6431.2539999999999</v>
      </c>
      <c r="I602" s="1">
        <v>-6180.6620000000003</v>
      </c>
    </row>
    <row r="603" spans="1:9" hidden="1" x14ac:dyDescent="0.25">
      <c r="A603" s="1" t="s">
        <v>127</v>
      </c>
      <c r="B603" s="1" t="s">
        <v>183</v>
      </c>
      <c r="C603" s="1" t="s">
        <v>3</v>
      </c>
      <c r="D603" s="1">
        <v>1061.6400000000001</v>
      </c>
      <c r="E603" s="1">
        <v>0</v>
      </c>
      <c r="F603" s="1">
        <v>-69</v>
      </c>
      <c r="G603" s="1">
        <v>-372.61700000000002</v>
      </c>
      <c r="H603" s="1">
        <v>6829.3609999999999</v>
      </c>
      <c r="I603" s="1">
        <v>-6369.8230000000003</v>
      </c>
    </row>
    <row r="604" spans="1:9" hidden="1" x14ac:dyDescent="0.25">
      <c r="A604" s="1" t="s">
        <v>127</v>
      </c>
      <c r="B604" s="1" t="s">
        <v>184</v>
      </c>
      <c r="C604" s="1" t="s">
        <v>143</v>
      </c>
      <c r="D604" s="1">
        <v>1030.1099999999999</v>
      </c>
      <c r="E604" s="1">
        <v>0</v>
      </c>
      <c r="F604" s="1">
        <v>69</v>
      </c>
      <c r="G604" s="1">
        <v>455.42</v>
      </c>
      <c r="H604" s="1">
        <v>5930.07</v>
      </c>
      <c r="I604" s="1">
        <v>-6180.6620000000003</v>
      </c>
    </row>
    <row r="605" spans="1:9" hidden="1" x14ac:dyDescent="0.25">
      <c r="A605" s="1" t="s">
        <v>127</v>
      </c>
      <c r="B605" s="1" t="s">
        <v>184</v>
      </c>
      <c r="C605" s="1" t="s">
        <v>3</v>
      </c>
      <c r="D605" s="1">
        <v>1061.6400000000001</v>
      </c>
      <c r="E605" s="1">
        <v>0</v>
      </c>
      <c r="F605" s="1">
        <v>69</v>
      </c>
      <c r="G605" s="1">
        <v>455.42</v>
      </c>
      <c r="H605" s="1">
        <v>5910.2860000000001</v>
      </c>
      <c r="I605" s="1">
        <v>-6369.8230000000003</v>
      </c>
    </row>
    <row r="606" spans="1:9" hidden="1" x14ac:dyDescent="0.25">
      <c r="A606" s="1" t="s">
        <v>127</v>
      </c>
      <c r="B606" s="1" t="s">
        <v>185</v>
      </c>
      <c r="C606" s="1" t="s">
        <v>143</v>
      </c>
      <c r="D606" s="1">
        <v>1030.1099999999999</v>
      </c>
      <c r="E606" s="1">
        <v>0</v>
      </c>
      <c r="F606" s="1">
        <v>69</v>
      </c>
      <c r="G606" s="1">
        <v>372.61700000000002</v>
      </c>
      <c r="H606" s="1">
        <v>5930.07</v>
      </c>
      <c r="I606" s="1">
        <v>-6180.6620000000003</v>
      </c>
    </row>
    <row r="607" spans="1:9" hidden="1" x14ac:dyDescent="0.25">
      <c r="A607" s="1" t="s">
        <v>127</v>
      </c>
      <c r="B607" s="1" t="s">
        <v>185</v>
      </c>
      <c r="C607" s="1" t="s">
        <v>3</v>
      </c>
      <c r="D607" s="1">
        <v>1061.6400000000001</v>
      </c>
      <c r="E607" s="1">
        <v>0</v>
      </c>
      <c r="F607" s="1">
        <v>69</v>
      </c>
      <c r="G607" s="1">
        <v>372.61700000000002</v>
      </c>
      <c r="H607" s="1">
        <v>5910.2860000000001</v>
      </c>
      <c r="I607" s="1">
        <v>-6369.8230000000003</v>
      </c>
    </row>
    <row r="608" spans="1:9" hidden="1" x14ac:dyDescent="0.25">
      <c r="A608" s="1" t="s">
        <v>127</v>
      </c>
      <c r="B608" s="1" t="s">
        <v>186</v>
      </c>
      <c r="C608" s="1" t="s">
        <v>143</v>
      </c>
      <c r="D608" s="1">
        <v>815.6</v>
      </c>
      <c r="E608" s="1">
        <v>-69</v>
      </c>
      <c r="F608" s="1">
        <v>0</v>
      </c>
      <c r="G608" s="1">
        <v>455.42</v>
      </c>
      <c r="H608" s="1">
        <v>4893.5810000000001</v>
      </c>
      <c r="I608" s="1">
        <v>-5144.174</v>
      </c>
    </row>
    <row r="609" spans="1:9" hidden="1" x14ac:dyDescent="0.25">
      <c r="A609" s="1" t="s">
        <v>127</v>
      </c>
      <c r="B609" s="1" t="s">
        <v>186</v>
      </c>
      <c r="C609" s="1" t="s">
        <v>3</v>
      </c>
      <c r="D609" s="1">
        <v>840.12</v>
      </c>
      <c r="E609" s="1">
        <v>-69</v>
      </c>
      <c r="F609" s="1">
        <v>0</v>
      </c>
      <c r="G609" s="1">
        <v>455.42</v>
      </c>
      <c r="H609" s="1">
        <v>5040.7070000000003</v>
      </c>
      <c r="I609" s="1">
        <v>-5500.2439999999997</v>
      </c>
    </row>
    <row r="610" spans="1:9" hidden="1" x14ac:dyDescent="0.25">
      <c r="A610" s="1" t="s">
        <v>127</v>
      </c>
      <c r="B610" s="1" t="s">
        <v>187</v>
      </c>
      <c r="C610" s="1" t="s">
        <v>143</v>
      </c>
      <c r="D610" s="1">
        <v>815.6</v>
      </c>
      <c r="E610" s="1">
        <v>-69</v>
      </c>
      <c r="F610" s="1">
        <v>0</v>
      </c>
      <c r="G610" s="1">
        <v>372.61700000000002</v>
      </c>
      <c r="H610" s="1">
        <v>4893.5810000000001</v>
      </c>
      <c r="I610" s="1">
        <v>-5144.174</v>
      </c>
    </row>
    <row r="611" spans="1:9" hidden="1" x14ac:dyDescent="0.25">
      <c r="A611" s="1" t="s">
        <v>127</v>
      </c>
      <c r="B611" s="1" t="s">
        <v>187</v>
      </c>
      <c r="C611" s="1" t="s">
        <v>3</v>
      </c>
      <c r="D611" s="1">
        <v>840.12</v>
      </c>
      <c r="E611" s="1">
        <v>-69</v>
      </c>
      <c r="F611" s="1">
        <v>0</v>
      </c>
      <c r="G611" s="1">
        <v>372.61700000000002</v>
      </c>
      <c r="H611" s="1">
        <v>5040.7070000000003</v>
      </c>
      <c r="I611" s="1">
        <v>-5500.2439999999997</v>
      </c>
    </row>
    <row r="612" spans="1:9" hidden="1" x14ac:dyDescent="0.25">
      <c r="A612" s="1" t="s">
        <v>127</v>
      </c>
      <c r="B612" s="1" t="s">
        <v>188</v>
      </c>
      <c r="C612" s="1" t="s">
        <v>143</v>
      </c>
      <c r="D612" s="1">
        <v>815.6</v>
      </c>
      <c r="E612" s="1">
        <v>69</v>
      </c>
      <c r="F612" s="1">
        <v>0</v>
      </c>
      <c r="G612" s="1">
        <v>-455.42</v>
      </c>
      <c r="H612" s="1">
        <v>4893.5810000000001</v>
      </c>
      <c r="I612" s="1">
        <v>-4642.9889999999996</v>
      </c>
    </row>
    <row r="613" spans="1:9" hidden="1" x14ac:dyDescent="0.25">
      <c r="A613" s="1" t="s">
        <v>127</v>
      </c>
      <c r="B613" s="1" t="s">
        <v>188</v>
      </c>
      <c r="C613" s="1" t="s">
        <v>3</v>
      </c>
      <c r="D613" s="1">
        <v>840.12</v>
      </c>
      <c r="E613" s="1">
        <v>69</v>
      </c>
      <c r="F613" s="1">
        <v>0</v>
      </c>
      <c r="G613" s="1">
        <v>-455.42</v>
      </c>
      <c r="H613" s="1">
        <v>5040.7070000000003</v>
      </c>
      <c r="I613" s="1">
        <v>-4581.17</v>
      </c>
    </row>
    <row r="614" spans="1:9" hidden="1" x14ac:dyDescent="0.25">
      <c r="A614" s="1" t="s">
        <v>127</v>
      </c>
      <c r="B614" s="1" t="s">
        <v>189</v>
      </c>
      <c r="C614" s="1" t="s">
        <v>143</v>
      </c>
      <c r="D614" s="1">
        <v>815.6</v>
      </c>
      <c r="E614" s="1">
        <v>69</v>
      </c>
      <c r="F614" s="1">
        <v>0</v>
      </c>
      <c r="G614" s="1">
        <v>-372.61700000000002</v>
      </c>
      <c r="H614" s="1">
        <v>4893.5810000000001</v>
      </c>
      <c r="I614" s="1">
        <v>-4642.9889999999996</v>
      </c>
    </row>
    <row r="615" spans="1:9" hidden="1" x14ac:dyDescent="0.25">
      <c r="A615" s="1" t="s">
        <v>127</v>
      </c>
      <c r="B615" s="1" t="s">
        <v>189</v>
      </c>
      <c r="C615" s="1" t="s">
        <v>3</v>
      </c>
      <c r="D615" s="1">
        <v>840.12</v>
      </c>
      <c r="E615" s="1">
        <v>69</v>
      </c>
      <c r="F615" s="1">
        <v>0</v>
      </c>
      <c r="G615" s="1">
        <v>-372.61700000000002</v>
      </c>
      <c r="H615" s="1">
        <v>5040.7070000000003</v>
      </c>
      <c r="I615" s="1">
        <v>-4581.17</v>
      </c>
    </row>
    <row r="616" spans="1:9" hidden="1" x14ac:dyDescent="0.25">
      <c r="A616" s="1" t="s">
        <v>127</v>
      </c>
      <c r="B616" s="1" t="s">
        <v>190</v>
      </c>
      <c r="C616" s="1" t="s">
        <v>143</v>
      </c>
      <c r="D616" s="1">
        <v>815.6</v>
      </c>
      <c r="E616" s="1">
        <v>0</v>
      </c>
      <c r="F616" s="1">
        <v>-69</v>
      </c>
      <c r="G616" s="1">
        <v>-455.42</v>
      </c>
      <c r="H616" s="1">
        <v>5144.174</v>
      </c>
      <c r="I616" s="1">
        <v>-4893.5810000000001</v>
      </c>
    </row>
    <row r="617" spans="1:9" hidden="1" x14ac:dyDescent="0.25">
      <c r="A617" s="1" t="s">
        <v>127</v>
      </c>
      <c r="B617" s="1" t="s">
        <v>190</v>
      </c>
      <c r="C617" s="1" t="s">
        <v>3</v>
      </c>
      <c r="D617" s="1">
        <v>840.12</v>
      </c>
      <c r="E617" s="1">
        <v>0</v>
      </c>
      <c r="F617" s="1">
        <v>-69</v>
      </c>
      <c r="G617" s="1">
        <v>-455.42</v>
      </c>
      <c r="H617" s="1">
        <v>5500.2439999999997</v>
      </c>
      <c r="I617" s="1">
        <v>-5040.7070000000003</v>
      </c>
    </row>
    <row r="618" spans="1:9" hidden="1" x14ac:dyDescent="0.25">
      <c r="A618" s="1" t="s">
        <v>127</v>
      </c>
      <c r="B618" s="1" t="s">
        <v>191</v>
      </c>
      <c r="C618" s="1" t="s">
        <v>143</v>
      </c>
      <c r="D618" s="1">
        <v>815.6</v>
      </c>
      <c r="E618" s="1">
        <v>0</v>
      </c>
      <c r="F618" s="1">
        <v>-69</v>
      </c>
      <c r="G618" s="1">
        <v>-372.61700000000002</v>
      </c>
      <c r="H618" s="1">
        <v>5144.174</v>
      </c>
      <c r="I618" s="1">
        <v>-4893.5810000000001</v>
      </c>
    </row>
    <row r="619" spans="1:9" hidden="1" x14ac:dyDescent="0.25">
      <c r="A619" s="1" t="s">
        <v>127</v>
      </c>
      <c r="B619" s="1" t="s">
        <v>191</v>
      </c>
      <c r="C619" s="1" t="s">
        <v>3</v>
      </c>
      <c r="D619" s="1">
        <v>840.12</v>
      </c>
      <c r="E619" s="1">
        <v>0</v>
      </c>
      <c r="F619" s="1">
        <v>-69</v>
      </c>
      <c r="G619" s="1">
        <v>-372.61700000000002</v>
      </c>
      <c r="H619" s="1">
        <v>5500.2439999999997</v>
      </c>
      <c r="I619" s="1">
        <v>-5040.7070000000003</v>
      </c>
    </row>
    <row r="620" spans="1:9" hidden="1" x14ac:dyDescent="0.25">
      <c r="A620" s="1" t="s">
        <v>127</v>
      </c>
      <c r="B620" s="1" t="s">
        <v>192</v>
      </c>
      <c r="C620" s="1" t="s">
        <v>143</v>
      </c>
      <c r="D620" s="1">
        <v>815.6</v>
      </c>
      <c r="E620" s="1">
        <v>0</v>
      </c>
      <c r="F620" s="1">
        <v>69</v>
      </c>
      <c r="G620" s="1">
        <v>455.42</v>
      </c>
      <c r="H620" s="1">
        <v>4642.9889999999996</v>
      </c>
      <c r="I620" s="1">
        <v>-4893.5810000000001</v>
      </c>
    </row>
    <row r="621" spans="1:9" hidden="1" x14ac:dyDescent="0.25">
      <c r="A621" s="1" t="s">
        <v>127</v>
      </c>
      <c r="B621" s="1" t="s">
        <v>192</v>
      </c>
      <c r="C621" s="1" t="s">
        <v>3</v>
      </c>
      <c r="D621" s="1">
        <v>840.12</v>
      </c>
      <c r="E621" s="1">
        <v>0</v>
      </c>
      <c r="F621" s="1">
        <v>69</v>
      </c>
      <c r="G621" s="1">
        <v>455.42</v>
      </c>
      <c r="H621" s="1">
        <v>4581.17</v>
      </c>
      <c r="I621" s="1">
        <v>-5040.7070000000003</v>
      </c>
    </row>
    <row r="622" spans="1:9" hidden="1" x14ac:dyDescent="0.25">
      <c r="A622" s="1" t="s">
        <v>127</v>
      </c>
      <c r="B622" s="1" t="s">
        <v>193</v>
      </c>
      <c r="C622" s="1" t="s">
        <v>143</v>
      </c>
      <c r="D622" s="1">
        <v>815.6</v>
      </c>
      <c r="E622" s="1">
        <v>0</v>
      </c>
      <c r="F622" s="1">
        <v>69</v>
      </c>
      <c r="G622" s="1">
        <v>372.61700000000002</v>
      </c>
      <c r="H622" s="1">
        <v>4642.9889999999996</v>
      </c>
      <c r="I622" s="1">
        <v>-4893.5810000000001</v>
      </c>
    </row>
    <row r="623" spans="1:9" hidden="1" x14ac:dyDescent="0.25">
      <c r="A623" s="1" t="s">
        <v>127</v>
      </c>
      <c r="B623" s="1" t="s">
        <v>193</v>
      </c>
      <c r="C623" s="1" t="s">
        <v>3</v>
      </c>
      <c r="D623" s="1">
        <v>840.12</v>
      </c>
      <c r="E623" s="1">
        <v>0</v>
      </c>
      <c r="F623" s="1">
        <v>69</v>
      </c>
      <c r="G623" s="1">
        <v>372.61700000000002</v>
      </c>
      <c r="H623" s="1">
        <v>4581.17</v>
      </c>
      <c r="I623" s="1">
        <v>-5040.7070000000003</v>
      </c>
    </row>
    <row r="624" spans="1:9" hidden="1" x14ac:dyDescent="0.25">
      <c r="A624" s="1" t="s">
        <v>127</v>
      </c>
      <c r="B624" s="1" t="s">
        <v>194</v>
      </c>
      <c r="C624" s="1" t="s">
        <v>143</v>
      </c>
      <c r="D624" s="1">
        <v>675.72</v>
      </c>
      <c r="E624" s="1">
        <v>-230.01</v>
      </c>
      <c r="F624" s="1">
        <v>0</v>
      </c>
      <c r="G624" s="1">
        <v>1518.068</v>
      </c>
      <c r="H624" s="1">
        <v>4054.3029999999999</v>
      </c>
      <c r="I624" s="1">
        <v>-4889.6109999999999</v>
      </c>
    </row>
    <row r="625" spans="1:9" hidden="1" x14ac:dyDescent="0.25">
      <c r="A625" s="1" t="s">
        <v>127</v>
      </c>
      <c r="B625" s="1" t="s">
        <v>194</v>
      </c>
      <c r="C625" s="1" t="s">
        <v>3</v>
      </c>
      <c r="D625" s="1">
        <v>697.79</v>
      </c>
      <c r="E625" s="1">
        <v>-230.01</v>
      </c>
      <c r="F625" s="1">
        <v>0</v>
      </c>
      <c r="G625" s="1">
        <v>1518.068</v>
      </c>
      <c r="H625" s="1">
        <v>4186.7160000000003</v>
      </c>
      <c r="I625" s="1">
        <v>-5718.5069999999996</v>
      </c>
    </row>
    <row r="626" spans="1:9" hidden="1" x14ac:dyDescent="0.25">
      <c r="A626" s="1" t="s">
        <v>127</v>
      </c>
      <c r="B626" s="1" t="s">
        <v>195</v>
      </c>
      <c r="C626" s="1" t="s">
        <v>143</v>
      </c>
      <c r="D626" s="1">
        <v>675.72</v>
      </c>
      <c r="E626" s="1">
        <v>-230.01</v>
      </c>
      <c r="F626" s="1">
        <v>0</v>
      </c>
      <c r="G626" s="1">
        <v>1242.056</v>
      </c>
      <c r="H626" s="1">
        <v>4054.3029999999999</v>
      </c>
      <c r="I626" s="1">
        <v>-4889.6109999999999</v>
      </c>
    </row>
    <row r="627" spans="1:9" hidden="1" x14ac:dyDescent="0.25">
      <c r="A627" s="1" t="s">
        <v>127</v>
      </c>
      <c r="B627" s="1" t="s">
        <v>195</v>
      </c>
      <c r="C627" s="1" t="s">
        <v>3</v>
      </c>
      <c r="D627" s="1">
        <v>697.79</v>
      </c>
      <c r="E627" s="1">
        <v>-230.01</v>
      </c>
      <c r="F627" s="1">
        <v>0</v>
      </c>
      <c r="G627" s="1">
        <v>1242.056</v>
      </c>
      <c r="H627" s="1">
        <v>4186.7160000000003</v>
      </c>
      <c r="I627" s="1">
        <v>-5718.5069999999996</v>
      </c>
    </row>
    <row r="628" spans="1:9" hidden="1" x14ac:dyDescent="0.25">
      <c r="A628" s="1" t="s">
        <v>127</v>
      </c>
      <c r="B628" s="1" t="s">
        <v>196</v>
      </c>
      <c r="C628" s="1" t="s">
        <v>143</v>
      </c>
      <c r="D628" s="1">
        <v>675.72</v>
      </c>
      <c r="E628" s="1">
        <v>230.01</v>
      </c>
      <c r="F628" s="1">
        <v>0</v>
      </c>
      <c r="G628" s="1">
        <v>-1518.068</v>
      </c>
      <c r="H628" s="1">
        <v>4054.3029999999999</v>
      </c>
      <c r="I628" s="1">
        <v>-3218.9960000000001</v>
      </c>
    </row>
    <row r="629" spans="1:9" hidden="1" x14ac:dyDescent="0.25">
      <c r="A629" s="1" t="s">
        <v>127</v>
      </c>
      <c r="B629" s="1" t="s">
        <v>196</v>
      </c>
      <c r="C629" s="1" t="s">
        <v>3</v>
      </c>
      <c r="D629" s="1">
        <v>697.79</v>
      </c>
      <c r="E629" s="1">
        <v>230.01</v>
      </c>
      <c r="F629" s="1">
        <v>0</v>
      </c>
      <c r="G629" s="1">
        <v>-1518.068</v>
      </c>
      <c r="H629" s="1">
        <v>4186.7160000000003</v>
      </c>
      <c r="I629" s="1">
        <v>-2654.9259999999999</v>
      </c>
    </row>
    <row r="630" spans="1:9" hidden="1" x14ac:dyDescent="0.25">
      <c r="A630" s="1" t="s">
        <v>127</v>
      </c>
      <c r="B630" s="1" t="s">
        <v>197</v>
      </c>
      <c r="C630" s="1" t="s">
        <v>143</v>
      </c>
      <c r="D630" s="1">
        <v>675.72</v>
      </c>
      <c r="E630" s="1">
        <v>230.01</v>
      </c>
      <c r="F630" s="1">
        <v>0</v>
      </c>
      <c r="G630" s="1">
        <v>-1242.056</v>
      </c>
      <c r="H630" s="1">
        <v>4054.3029999999999</v>
      </c>
      <c r="I630" s="1">
        <v>-3218.9960000000001</v>
      </c>
    </row>
    <row r="631" spans="1:9" hidden="1" x14ac:dyDescent="0.25">
      <c r="A631" s="1" t="s">
        <v>127</v>
      </c>
      <c r="B631" s="1" t="s">
        <v>197</v>
      </c>
      <c r="C631" s="1" t="s">
        <v>3</v>
      </c>
      <c r="D631" s="1">
        <v>697.79</v>
      </c>
      <c r="E631" s="1">
        <v>230.01</v>
      </c>
      <c r="F631" s="1">
        <v>0</v>
      </c>
      <c r="G631" s="1">
        <v>-1242.056</v>
      </c>
      <c r="H631" s="1">
        <v>4186.7160000000003</v>
      </c>
      <c r="I631" s="1">
        <v>-2654.9259999999999</v>
      </c>
    </row>
    <row r="632" spans="1:9" hidden="1" x14ac:dyDescent="0.25">
      <c r="A632" s="1" t="s">
        <v>127</v>
      </c>
      <c r="B632" s="1" t="s">
        <v>198</v>
      </c>
      <c r="C632" s="1" t="s">
        <v>143</v>
      </c>
      <c r="D632" s="1">
        <v>675.72</v>
      </c>
      <c r="E632" s="1">
        <v>0</v>
      </c>
      <c r="F632" s="1">
        <v>-230.01</v>
      </c>
      <c r="G632" s="1">
        <v>-1518.068</v>
      </c>
      <c r="H632" s="1">
        <v>4889.6109999999999</v>
      </c>
      <c r="I632" s="1">
        <v>-4054.3029999999999</v>
      </c>
    </row>
    <row r="633" spans="1:9" hidden="1" x14ac:dyDescent="0.25">
      <c r="A633" s="1" t="s">
        <v>127</v>
      </c>
      <c r="B633" s="1" t="s">
        <v>198</v>
      </c>
      <c r="C633" s="1" t="s">
        <v>3</v>
      </c>
      <c r="D633" s="1">
        <v>697.79</v>
      </c>
      <c r="E633" s="1">
        <v>0</v>
      </c>
      <c r="F633" s="1">
        <v>-230.01</v>
      </c>
      <c r="G633" s="1">
        <v>-1518.068</v>
      </c>
      <c r="H633" s="1">
        <v>5718.5069999999996</v>
      </c>
      <c r="I633" s="1">
        <v>-4186.7160000000003</v>
      </c>
    </row>
    <row r="634" spans="1:9" hidden="1" x14ac:dyDescent="0.25">
      <c r="A634" s="1" t="s">
        <v>127</v>
      </c>
      <c r="B634" s="1" t="s">
        <v>199</v>
      </c>
      <c r="C634" s="1" t="s">
        <v>143</v>
      </c>
      <c r="D634" s="1">
        <v>675.72</v>
      </c>
      <c r="E634" s="1">
        <v>0</v>
      </c>
      <c r="F634" s="1">
        <v>-230.01</v>
      </c>
      <c r="G634" s="1">
        <v>-1242.056</v>
      </c>
      <c r="H634" s="1">
        <v>4889.6109999999999</v>
      </c>
      <c r="I634" s="1">
        <v>-4054.3029999999999</v>
      </c>
    </row>
    <row r="635" spans="1:9" hidden="1" x14ac:dyDescent="0.25">
      <c r="A635" s="1" t="s">
        <v>127</v>
      </c>
      <c r="B635" s="1" t="s">
        <v>199</v>
      </c>
      <c r="C635" s="1" t="s">
        <v>3</v>
      </c>
      <c r="D635" s="1">
        <v>697.79</v>
      </c>
      <c r="E635" s="1">
        <v>0</v>
      </c>
      <c r="F635" s="1">
        <v>-230.01</v>
      </c>
      <c r="G635" s="1">
        <v>-1242.056</v>
      </c>
      <c r="H635" s="1">
        <v>5718.5069999999996</v>
      </c>
      <c r="I635" s="1">
        <v>-4186.7160000000003</v>
      </c>
    </row>
    <row r="636" spans="1:9" hidden="1" x14ac:dyDescent="0.25">
      <c r="A636" s="1" t="s">
        <v>127</v>
      </c>
      <c r="B636" s="1" t="s">
        <v>200</v>
      </c>
      <c r="C636" s="1" t="s">
        <v>143</v>
      </c>
      <c r="D636" s="1">
        <v>675.72</v>
      </c>
      <c r="E636" s="1">
        <v>0</v>
      </c>
      <c r="F636" s="1">
        <v>230.01</v>
      </c>
      <c r="G636" s="1">
        <v>1518.068</v>
      </c>
      <c r="H636" s="1">
        <v>3218.9960000000001</v>
      </c>
      <c r="I636" s="1">
        <v>-4054.3029999999999</v>
      </c>
    </row>
    <row r="637" spans="1:9" hidden="1" x14ac:dyDescent="0.25">
      <c r="A637" s="1" t="s">
        <v>127</v>
      </c>
      <c r="B637" s="1" t="s">
        <v>200</v>
      </c>
      <c r="C637" s="1" t="s">
        <v>3</v>
      </c>
      <c r="D637" s="1">
        <v>697.79</v>
      </c>
      <c r="E637" s="1">
        <v>0</v>
      </c>
      <c r="F637" s="1">
        <v>230.01</v>
      </c>
      <c r="G637" s="1">
        <v>1518.068</v>
      </c>
      <c r="H637" s="1">
        <v>2654.9259999999999</v>
      </c>
      <c r="I637" s="1">
        <v>-4186.7160000000003</v>
      </c>
    </row>
    <row r="638" spans="1:9" hidden="1" x14ac:dyDescent="0.25">
      <c r="A638" s="1" t="s">
        <v>127</v>
      </c>
      <c r="B638" s="1" t="s">
        <v>201</v>
      </c>
      <c r="C638" s="1" t="s">
        <v>143</v>
      </c>
      <c r="D638" s="1">
        <v>675.72</v>
      </c>
      <c r="E638" s="1">
        <v>0</v>
      </c>
      <c r="F638" s="1">
        <v>230.01</v>
      </c>
      <c r="G638" s="1">
        <v>1242.056</v>
      </c>
      <c r="H638" s="1">
        <v>3218.9960000000001</v>
      </c>
      <c r="I638" s="1">
        <v>-4054.3029999999999</v>
      </c>
    </row>
    <row r="639" spans="1:9" hidden="1" x14ac:dyDescent="0.25">
      <c r="A639" s="1" t="s">
        <v>127</v>
      </c>
      <c r="B639" s="1" t="s">
        <v>201</v>
      </c>
      <c r="C639" s="1" t="s">
        <v>3</v>
      </c>
      <c r="D639" s="1">
        <v>697.79</v>
      </c>
      <c r="E639" s="1">
        <v>0</v>
      </c>
      <c r="F639" s="1">
        <v>230.01</v>
      </c>
      <c r="G639" s="1">
        <v>1242.056</v>
      </c>
      <c r="H639" s="1">
        <v>2654.9259999999999</v>
      </c>
      <c r="I639" s="1">
        <v>-4186.7160000000003</v>
      </c>
    </row>
    <row r="640" spans="1:9" hidden="1" x14ac:dyDescent="0.25">
      <c r="A640" s="1" t="s">
        <v>127</v>
      </c>
      <c r="B640" s="1" t="s">
        <v>202</v>
      </c>
      <c r="C640" s="1" t="s">
        <v>143</v>
      </c>
      <c r="D640" s="1">
        <v>611.36</v>
      </c>
      <c r="E640" s="1">
        <v>-230.01</v>
      </c>
      <c r="F640" s="1">
        <v>0</v>
      </c>
      <c r="G640" s="1">
        <v>1518.068</v>
      </c>
      <c r="H640" s="1">
        <v>3668.1790000000001</v>
      </c>
      <c r="I640" s="1">
        <v>-4503.4870000000001</v>
      </c>
    </row>
    <row r="641" spans="1:9" hidden="1" x14ac:dyDescent="0.25">
      <c r="A641" s="1" t="s">
        <v>127</v>
      </c>
      <c r="B641" s="1" t="s">
        <v>202</v>
      </c>
      <c r="C641" s="1" t="s">
        <v>3</v>
      </c>
      <c r="D641" s="1">
        <v>631.33000000000004</v>
      </c>
      <c r="E641" s="1">
        <v>-230.01</v>
      </c>
      <c r="F641" s="1">
        <v>0</v>
      </c>
      <c r="G641" s="1">
        <v>1518.068</v>
      </c>
      <c r="H641" s="1">
        <v>3787.9810000000002</v>
      </c>
      <c r="I641" s="1">
        <v>-5319.7719999999999</v>
      </c>
    </row>
    <row r="642" spans="1:9" hidden="1" x14ac:dyDescent="0.25">
      <c r="A642" s="1" t="s">
        <v>127</v>
      </c>
      <c r="B642" s="1" t="s">
        <v>203</v>
      </c>
      <c r="C642" s="1" t="s">
        <v>143</v>
      </c>
      <c r="D642" s="1">
        <v>611.36</v>
      </c>
      <c r="E642" s="1">
        <v>-230.01</v>
      </c>
      <c r="F642" s="1">
        <v>0</v>
      </c>
      <c r="G642" s="1">
        <v>1242.056</v>
      </c>
      <c r="H642" s="1">
        <v>3668.1790000000001</v>
      </c>
      <c r="I642" s="1">
        <v>-4503.4870000000001</v>
      </c>
    </row>
    <row r="643" spans="1:9" hidden="1" x14ac:dyDescent="0.25">
      <c r="A643" s="1" t="s">
        <v>127</v>
      </c>
      <c r="B643" s="1" t="s">
        <v>203</v>
      </c>
      <c r="C643" s="1" t="s">
        <v>3</v>
      </c>
      <c r="D643" s="1">
        <v>631.33000000000004</v>
      </c>
      <c r="E643" s="1">
        <v>-230.01</v>
      </c>
      <c r="F643" s="1">
        <v>0</v>
      </c>
      <c r="G643" s="1">
        <v>1242.056</v>
      </c>
      <c r="H643" s="1">
        <v>3787.9810000000002</v>
      </c>
      <c r="I643" s="1">
        <v>-5319.7719999999999</v>
      </c>
    </row>
    <row r="644" spans="1:9" hidden="1" x14ac:dyDescent="0.25">
      <c r="A644" s="1" t="s">
        <v>127</v>
      </c>
      <c r="B644" s="1" t="s">
        <v>204</v>
      </c>
      <c r="C644" s="1" t="s">
        <v>143</v>
      </c>
      <c r="D644" s="1">
        <v>611.36</v>
      </c>
      <c r="E644" s="1">
        <v>230.01</v>
      </c>
      <c r="F644" s="1">
        <v>0</v>
      </c>
      <c r="G644" s="1">
        <v>-1518.068</v>
      </c>
      <c r="H644" s="1">
        <v>3668.1790000000001</v>
      </c>
      <c r="I644" s="1">
        <v>-2832.8719999999998</v>
      </c>
    </row>
    <row r="645" spans="1:9" hidden="1" x14ac:dyDescent="0.25">
      <c r="A645" s="1" t="s">
        <v>127</v>
      </c>
      <c r="B645" s="1" t="s">
        <v>204</v>
      </c>
      <c r="C645" s="1" t="s">
        <v>3</v>
      </c>
      <c r="D645" s="1">
        <v>631.33000000000004</v>
      </c>
      <c r="E645" s="1">
        <v>230.01</v>
      </c>
      <c r="F645" s="1">
        <v>0</v>
      </c>
      <c r="G645" s="1">
        <v>-1518.068</v>
      </c>
      <c r="H645" s="1">
        <v>3787.9810000000002</v>
      </c>
      <c r="I645" s="1">
        <v>-2256.1909999999998</v>
      </c>
    </row>
    <row r="646" spans="1:9" hidden="1" x14ac:dyDescent="0.25">
      <c r="A646" s="1" t="s">
        <v>127</v>
      </c>
      <c r="B646" s="1" t="s">
        <v>205</v>
      </c>
      <c r="C646" s="1" t="s">
        <v>143</v>
      </c>
      <c r="D646" s="1">
        <v>611.36</v>
      </c>
      <c r="E646" s="1">
        <v>230.01</v>
      </c>
      <c r="F646" s="1">
        <v>0</v>
      </c>
      <c r="G646" s="1">
        <v>-1242.056</v>
      </c>
      <c r="H646" s="1">
        <v>3668.1790000000001</v>
      </c>
      <c r="I646" s="1">
        <v>-2832.8719999999998</v>
      </c>
    </row>
    <row r="647" spans="1:9" hidden="1" x14ac:dyDescent="0.25">
      <c r="A647" s="1" t="s">
        <v>127</v>
      </c>
      <c r="B647" s="1" t="s">
        <v>205</v>
      </c>
      <c r="C647" s="1" t="s">
        <v>3</v>
      </c>
      <c r="D647" s="1">
        <v>631.33000000000004</v>
      </c>
      <c r="E647" s="1">
        <v>230.01</v>
      </c>
      <c r="F647" s="1">
        <v>0</v>
      </c>
      <c r="G647" s="1">
        <v>-1242.056</v>
      </c>
      <c r="H647" s="1">
        <v>3787.9810000000002</v>
      </c>
      <c r="I647" s="1">
        <v>-2256.1909999999998</v>
      </c>
    </row>
    <row r="648" spans="1:9" hidden="1" x14ac:dyDescent="0.25">
      <c r="A648" s="1" t="s">
        <v>127</v>
      </c>
      <c r="B648" s="1" t="s">
        <v>206</v>
      </c>
      <c r="C648" s="1" t="s">
        <v>143</v>
      </c>
      <c r="D648" s="1">
        <v>611.36</v>
      </c>
      <c r="E648" s="1">
        <v>0</v>
      </c>
      <c r="F648" s="1">
        <v>-230.01</v>
      </c>
      <c r="G648" s="1">
        <v>-1518.068</v>
      </c>
      <c r="H648" s="1">
        <v>4503.4870000000001</v>
      </c>
      <c r="I648" s="1">
        <v>-3668.1790000000001</v>
      </c>
    </row>
    <row r="649" spans="1:9" hidden="1" x14ac:dyDescent="0.25">
      <c r="A649" s="1" t="s">
        <v>127</v>
      </c>
      <c r="B649" s="1" t="s">
        <v>206</v>
      </c>
      <c r="C649" s="1" t="s">
        <v>3</v>
      </c>
      <c r="D649" s="1">
        <v>631.33000000000004</v>
      </c>
      <c r="E649" s="1">
        <v>0</v>
      </c>
      <c r="F649" s="1">
        <v>-230.01</v>
      </c>
      <c r="G649" s="1">
        <v>-1518.068</v>
      </c>
      <c r="H649" s="1">
        <v>5319.7719999999999</v>
      </c>
      <c r="I649" s="1">
        <v>-3787.9810000000002</v>
      </c>
    </row>
    <row r="650" spans="1:9" hidden="1" x14ac:dyDescent="0.25">
      <c r="A650" s="1" t="s">
        <v>127</v>
      </c>
      <c r="B650" s="1" t="s">
        <v>207</v>
      </c>
      <c r="C650" s="1" t="s">
        <v>143</v>
      </c>
      <c r="D650" s="1">
        <v>611.36</v>
      </c>
      <c r="E650" s="1">
        <v>0</v>
      </c>
      <c r="F650" s="1">
        <v>-230.01</v>
      </c>
      <c r="G650" s="1">
        <v>-1242.056</v>
      </c>
      <c r="H650" s="1">
        <v>4503.4870000000001</v>
      </c>
      <c r="I650" s="1">
        <v>-3668.1790000000001</v>
      </c>
    </row>
    <row r="651" spans="1:9" hidden="1" x14ac:dyDescent="0.25">
      <c r="A651" s="1" t="s">
        <v>127</v>
      </c>
      <c r="B651" s="1" t="s">
        <v>207</v>
      </c>
      <c r="C651" s="1" t="s">
        <v>3</v>
      </c>
      <c r="D651" s="1">
        <v>631.33000000000004</v>
      </c>
      <c r="E651" s="1">
        <v>0</v>
      </c>
      <c r="F651" s="1">
        <v>-230.01</v>
      </c>
      <c r="G651" s="1">
        <v>-1242.056</v>
      </c>
      <c r="H651" s="1">
        <v>5319.7719999999999</v>
      </c>
      <c r="I651" s="1">
        <v>-3787.9810000000002</v>
      </c>
    </row>
    <row r="652" spans="1:9" hidden="1" x14ac:dyDescent="0.25">
      <c r="A652" s="1" t="s">
        <v>127</v>
      </c>
      <c r="B652" s="1" t="s">
        <v>208</v>
      </c>
      <c r="C652" s="1" t="s">
        <v>143</v>
      </c>
      <c r="D652" s="1">
        <v>611.36</v>
      </c>
      <c r="E652" s="1">
        <v>0</v>
      </c>
      <c r="F652" s="1">
        <v>230.01</v>
      </c>
      <c r="G652" s="1">
        <v>1518.068</v>
      </c>
      <c r="H652" s="1">
        <v>2832.8719999999998</v>
      </c>
      <c r="I652" s="1">
        <v>-3668.1790000000001</v>
      </c>
    </row>
    <row r="653" spans="1:9" hidden="1" x14ac:dyDescent="0.25">
      <c r="A653" s="1" t="s">
        <v>127</v>
      </c>
      <c r="B653" s="1" t="s">
        <v>208</v>
      </c>
      <c r="C653" s="1" t="s">
        <v>3</v>
      </c>
      <c r="D653" s="1">
        <v>631.33000000000004</v>
      </c>
      <c r="E653" s="1">
        <v>0</v>
      </c>
      <c r="F653" s="1">
        <v>230.01</v>
      </c>
      <c r="G653" s="1">
        <v>1518.068</v>
      </c>
      <c r="H653" s="1">
        <v>2256.1909999999998</v>
      </c>
      <c r="I653" s="1">
        <v>-3787.9810000000002</v>
      </c>
    </row>
    <row r="654" spans="1:9" hidden="1" x14ac:dyDescent="0.25">
      <c r="A654" s="1" t="s">
        <v>127</v>
      </c>
      <c r="B654" s="1" t="s">
        <v>209</v>
      </c>
      <c r="C654" s="1" t="s">
        <v>143</v>
      </c>
      <c r="D654" s="1">
        <v>611.36</v>
      </c>
      <c r="E654" s="1">
        <v>0</v>
      </c>
      <c r="F654" s="1">
        <v>230.01</v>
      </c>
      <c r="G654" s="1">
        <v>1242.056</v>
      </c>
      <c r="H654" s="1">
        <v>2832.8719999999998</v>
      </c>
      <c r="I654" s="1">
        <v>-3668.1790000000001</v>
      </c>
    </row>
    <row r="655" spans="1:9" hidden="1" x14ac:dyDescent="0.25">
      <c r="A655" s="1" t="s">
        <v>127</v>
      </c>
      <c r="B655" s="1" t="s">
        <v>209</v>
      </c>
      <c r="C655" s="1" t="s">
        <v>3</v>
      </c>
      <c r="D655" s="1">
        <v>631.33000000000004</v>
      </c>
      <c r="E655" s="1">
        <v>0</v>
      </c>
      <c r="F655" s="1">
        <v>230.01</v>
      </c>
      <c r="G655" s="1">
        <v>1242.056</v>
      </c>
      <c r="H655" s="1">
        <v>2256.1909999999998</v>
      </c>
      <c r="I655" s="1">
        <v>-3787.9810000000002</v>
      </c>
    </row>
    <row r="656" spans="1:9" hidden="1" x14ac:dyDescent="0.25">
      <c r="A656" s="1" t="s">
        <v>127</v>
      </c>
      <c r="B656" s="1" t="s">
        <v>210</v>
      </c>
      <c r="C656" s="1" t="s">
        <v>143</v>
      </c>
      <c r="D656" s="1">
        <v>750.8</v>
      </c>
      <c r="E656" s="1">
        <v>-69</v>
      </c>
      <c r="F656" s="1">
        <v>0</v>
      </c>
      <c r="G656" s="1">
        <v>455.42</v>
      </c>
      <c r="H656" s="1">
        <v>4504.7809999999999</v>
      </c>
      <c r="I656" s="1">
        <v>-4755.3739999999998</v>
      </c>
    </row>
    <row r="657" spans="1:9" hidden="1" x14ac:dyDescent="0.25">
      <c r="A657" s="1" t="s">
        <v>127</v>
      </c>
      <c r="B657" s="1" t="s">
        <v>210</v>
      </c>
      <c r="C657" s="1" t="s">
        <v>3</v>
      </c>
      <c r="D657" s="1">
        <v>775.32</v>
      </c>
      <c r="E657" s="1">
        <v>-69</v>
      </c>
      <c r="F657" s="1">
        <v>0</v>
      </c>
      <c r="G657" s="1">
        <v>455.42</v>
      </c>
      <c r="H657" s="1">
        <v>4651.9070000000002</v>
      </c>
      <c r="I657" s="1">
        <v>-5111.4440000000004</v>
      </c>
    </row>
    <row r="658" spans="1:9" hidden="1" x14ac:dyDescent="0.25">
      <c r="A658" s="1" t="s">
        <v>127</v>
      </c>
      <c r="B658" s="1" t="s">
        <v>211</v>
      </c>
      <c r="C658" s="1" t="s">
        <v>143</v>
      </c>
      <c r="D658" s="1">
        <v>750.8</v>
      </c>
      <c r="E658" s="1">
        <v>-69</v>
      </c>
      <c r="F658" s="1">
        <v>0</v>
      </c>
      <c r="G658" s="1">
        <v>372.61700000000002</v>
      </c>
      <c r="H658" s="1">
        <v>4504.7809999999999</v>
      </c>
      <c r="I658" s="1">
        <v>-4755.3739999999998</v>
      </c>
    </row>
    <row r="659" spans="1:9" hidden="1" x14ac:dyDescent="0.25">
      <c r="A659" s="1" t="s">
        <v>127</v>
      </c>
      <c r="B659" s="1" t="s">
        <v>211</v>
      </c>
      <c r="C659" s="1" t="s">
        <v>3</v>
      </c>
      <c r="D659" s="1">
        <v>775.32</v>
      </c>
      <c r="E659" s="1">
        <v>-69</v>
      </c>
      <c r="F659" s="1">
        <v>0</v>
      </c>
      <c r="G659" s="1">
        <v>372.61700000000002</v>
      </c>
      <c r="H659" s="1">
        <v>4651.9070000000002</v>
      </c>
      <c r="I659" s="1">
        <v>-5111.4440000000004</v>
      </c>
    </row>
    <row r="660" spans="1:9" hidden="1" x14ac:dyDescent="0.25">
      <c r="A660" s="1" t="s">
        <v>127</v>
      </c>
      <c r="B660" s="1" t="s">
        <v>212</v>
      </c>
      <c r="C660" s="1" t="s">
        <v>143</v>
      </c>
      <c r="D660" s="1">
        <v>750.8</v>
      </c>
      <c r="E660" s="1">
        <v>69</v>
      </c>
      <c r="F660" s="1">
        <v>0</v>
      </c>
      <c r="G660" s="1">
        <v>-455.42</v>
      </c>
      <c r="H660" s="1">
        <v>4504.7809999999999</v>
      </c>
      <c r="I660" s="1">
        <v>-4254.1890000000003</v>
      </c>
    </row>
    <row r="661" spans="1:9" hidden="1" x14ac:dyDescent="0.25">
      <c r="A661" s="1" t="s">
        <v>127</v>
      </c>
      <c r="B661" s="1" t="s">
        <v>212</v>
      </c>
      <c r="C661" s="1" t="s">
        <v>3</v>
      </c>
      <c r="D661" s="1">
        <v>775.32</v>
      </c>
      <c r="E661" s="1">
        <v>69</v>
      </c>
      <c r="F661" s="1">
        <v>0</v>
      </c>
      <c r="G661" s="1">
        <v>-455.42</v>
      </c>
      <c r="H661" s="1">
        <v>4651.9070000000002</v>
      </c>
      <c r="I661" s="1">
        <v>-4192.37</v>
      </c>
    </row>
    <row r="662" spans="1:9" hidden="1" x14ac:dyDescent="0.25">
      <c r="A662" s="1" t="s">
        <v>127</v>
      </c>
      <c r="B662" s="1" t="s">
        <v>213</v>
      </c>
      <c r="C662" s="1" t="s">
        <v>143</v>
      </c>
      <c r="D662" s="1">
        <v>750.8</v>
      </c>
      <c r="E662" s="1">
        <v>69</v>
      </c>
      <c r="F662" s="1">
        <v>0</v>
      </c>
      <c r="G662" s="1">
        <v>-372.61700000000002</v>
      </c>
      <c r="H662" s="1">
        <v>4504.7809999999999</v>
      </c>
      <c r="I662" s="1">
        <v>-4254.1890000000003</v>
      </c>
    </row>
    <row r="663" spans="1:9" hidden="1" x14ac:dyDescent="0.25">
      <c r="A663" s="1" t="s">
        <v>127</v>
      </c>
      <c r="B663" s="1" t="s">
        <v>213</v>
      </c>
      <c r="C663" s="1" t="s">
        <v>3</v>
      </c>
      <c r="D663" s="1">
        <v>775.32</v>
      </c>
      <c r="E663" s="1">
        <v>69</v>
      </c>
      <c r="F663" s="1">
        <v>0</v>
      </c>
      <c r="G663" s="1">
        <v>-372.61700000000002</v>
      </c>
      <c r="H663" s="1">
        <v>4651.9070000000002</v>
      </c>
      <c r="I663" s="1">
        <v>-4192.37</v>
      </c>
    </row>
    <row r="664" spans="1:9" hidden="1" x14ac:dyDescent="0.25">
      <c r="A664" s="1" t="s">
        <v>127</v>
      </c>
      <c r="B664" s="1" t="s">
        <v>214</v>
      </c>
      <c r="C664" s="1" t="s">
        <v>143</v>
      </c>
      <c r="D664" s="1">
        <v>750.8</v>
      </c>
      <c r="E664" s="1">
        <v>0</v>
      </c>
      <c r="F664" s="1">
        <v>-69</v>
      </c>
      <c r="G664" s="1">
        <v>-455.42</v>
      </c>
      <c r="H664" s="1">
        <v>4755.3739999999998</v>
      </c>
      <c r="I664" s="1">
        <v>-4504.7809999999999</v>
      </c>
    </row>
    <row r="665" spans="1:9" hidden="1" x14ac:dyDescent="0.25">
      <c r="A665" s="1" t="s">
        <v>127</v>
      </c>
      <c r="B665" s="1" t="s">
        <v>214</v>
      </c>
      <c r="C665" s="1" t="s">
        <v>3</v>
      </c>
      <c r="D665" s="1">
        <v>775.32</v>
      </c>
      <c r="E665" s="1">
        <v>0</v>
      </c>
      <c r="F665" s="1">
        <v>-69</v>
      </c>
      <c r="G665" s="1">
        <v>-455.42</v>
      </c>
      <c r="H665" s="1">
        <v>5111.4440000000004</v>
      </c>
      <c r="I665" s="1">
        <v>-4651.9070000000002</v>
      </c>
    </row>
    <row r="666" spans="1:9" hidden="1" x14ac:dyDescent="0.25">
      <c r="A666" s="1" t="s">
        <v>127</v>
      </c>
      <c r="B666" s="1" t="s">
        <v>215</v>
      </c>
      <c r="C666" s="1" t="s">
        <v>143</v>
      </c>
      <c r="D666" s="1">
        <v>750.8</v>
      </c>
      <c r="E666" s="1">
        <v>0</v>
      </c>
      <c r="F666" s="1">
        <v>-69</v>
      </c>
      <c r="G666" s="1">
        <v>-372.61700000000002</v>
      </c>
      <c r="H666" s="1">
        <v>4755.3739999999998</v>
      </c>
      <c r="I666" s="1">
        <v>-4504.7809999999999</v>
      </c>
    </row>
    <row r="667" spans="1:9" hidden="1" x14ac:dyDescent="0.25">
      <c r="A667" s="1" t="s">
        <v>127</v>
      </c>
      <c r="B667" s="1" t="s">
        <v>215</v>
      </c>
      <c r="C667" s="1" t="s">
        <v>3</v>
      </c>
      <c r="D667" s="1">
        <v>775.32</v>
      </c>
      <c r="E667" s="1">
        <v>0</v>
      </c>
      <c r="F667" s="1">
        <v>-69</v>
      </c>
      <c r="G667" s="1">
        <v>-372.61700000000002</v>
      </c>
      <c r="H667" s="1">
        <v>5111.4440000000004</v>
      </c>
      <c r="I667" s="1">
        <v>-4651.9070000000002</v>
      </c>
    </row>
    <row r="668" spans="1:9" hidden="1" x14ac:dyDescent="0.25">
      <c r="A668" s="1" t="s">
        <v>127</v>
      </c>
      <c r="B668" s="1" t="s">
        <v>216</v>
      </c>
      <c r="C668" s="1" t="s">
        <v>143</v>
      </c>
      <c r="D668" s="1">
        <v>750.8</v>
      </c>
      <c r="E668" s="1">
        <v>0</v>
      </c>
      <c r="F668" s="1">
        <v>69</v>
      </c>
      <c r="G668" s="1">
        <v>455.42</v>
      </c>
      <c r="H668" s="1">
        <v>4254.1890000000003</v>
      </c>
      <c r="I668" s="1">
        <v>-4504.7809999999999</v>
      </c>
    </row>
    <row r="669" spans="1:9" hidden="1" x14ac:dyDescent="0.25">
      <c r="A669" s="1" t="s">
        <v>127</v>
      </c>
      <c r="B669" s="1" t="s">
        <v>216</v>
      </c>
      <c r="C669" s="1" t="s">
        <v>3</v>
      </c>
      <c r="D669" s="1">
        <v>775.32</v>
      </c>
      <c r="E669" s="1">
        <v>0</v>
      </c>
      <c r="F669" s="1">
        <v>69</v>
      </c>
      <c r="G669" s="1">
        <v>455.42</v>
      </c>
      <c r="H669" s="1">
        <v>4192.37</v>
      </c>
      <c r="I669" s="1">
        <v>-4651.9070000000002</v>
      </c>
    </row>
    <row r="670" spans="1:9" hidden="1" x14ac:dyDescent="0.25">
      <c r="A670" s="1" t="s">
        <v>127</v>
      </c>
      <c r="B670" s="1" t="s">
        <v>217</v>
      </c>
      <c r="C670" s="1" t="s">
        <v>143</v>
      </c>
      <c r="D670" s="1">
        <v>750.8</v>
      </c>
      <c r="E670" s="1">
        <v>0</v>
      </c>
      <c r="F670" s="1">
        <v>69</v>
      </c>
      <c r="G670" s="1">
        <v>372.61700000000002</v>
      </c>
      <c r="H670" s="1">
        <v>4254.1890000000003</v>
      </c>
      <c r="I670" s="1">
        <v>-4504.7809999999999</v>
      </c>
    </row>
    <row r="671" spans="1:9" hidden="1" x14ac:dyDescent="0.25">
      <c r="A671" s="1" t="s">
        <v>127</v>
      </c>
      <c r="B671" s="1" t="s">
        <v>217</v>
      </c>
      <c r="C671" s="1" t="s">
        <v>3</v>
      </c>
      <c r="D671" s="1">
        <v>775.32</v>
      </c>
      <c r="E671" s="1">
        <v>0</v>
      </c>
      <c r="F671" s="1">
        <v>69</v>
      </c>
      <c r="G671" s="1">
        <v>372.61700000000002</v>
      </c>
      <c r="H671" s="1">
        <v>4192.37</v>
      </c>
      <c r="I671" s="1">
        <v>-4651.9070000000002</v>
      </c>
    </row>
    <row r="672" spans="1:9" hidden="1" x14ac:dyDescent="0.25">
      <c r="A672" s="1" t="s">
        <v>127</v>
      </c>
      <c r="B672" s="1" t="s">
        <v>218</v>
      </c>
      <c r="C672" s="1" t="s">
        <v>143</v>
      </c>
      <c r="D672" s="1">
        <v>536.28</v>
      </c>
      <c r="E672" s="1">
        <v>-69</v>
      </c>
      <c r="F672" s="1">
        <v>0</v>
      </c>
      <c r="G672" s="1">
        <v>455.42</v>
      </c>
      <c r="H672" s="1">
        <v>3217.701</v>
      </c>
      <c r="I672" s="1">
        <v>-3468.2930000000001</v>
      </c>
    </row>
    <row r="673" spans="1:9" hidden="1" x14ac:dyDescent="0.25">
      <c r="A673" s="1" t="s">
        <v>127</v>
      </c>
      <c r="B673" s="1" t="s">
        <v>218</v>
      </c>
      <c r="C673" s="1" t="s">
        <v>3</v>
      </c>
      <c r="D673" s="1">
        <v>553.79999999999995</v>
      </c>
      <c r="E673" s="1">
        <v>-69</v>
      </c>
      <c r="F673" s="1">
        <v>0</v>
      </c>
      <c r="G673" s="1">
        <v>455.42</v>
      </c>
      <c r="H673" s="1">
        <v>3322.7910000000002</v>
      </c>
      <c r="I673" s="1">
        <v>-3782.328</v>
      </c>
    </row>
    <row r="674" spans="1:9" hidden="1" x14ac:dyDescent="0.25">
      <c r="A674" s="1" t="s">
        <v>127</v>
      </c>
      <c r="B674" s="1" t="s">
        <v>219</v>
      </c>
      <c r="C674" s="1" t="s">
        <v>143</v>
      </c>
      <c r="D674" s="1">
        <v>536.28</v>
      </c>
      <c r="E674" s="1">
        <v>-69</v>
      </c>
      <c r="F674" s="1">
        <v>0</v>
      </c>
      <c r="G674" s="1">
        <v>372.61700000000002</v>
      </c>
      <c r="H674" s="1">
        <v>3217.701</v>
      </c>
      <c r="I674" s="1">
        <v>-3468.2930000000001</v>
      </c>
    </row>
    <row r="675" spans="1:9" hidden="1" x14ac:dyDescent="0.25">
      <c r="A675" s="1" t="s">
        <v>127</v>
      </c>
      <c r="B675" s="1" t="s">
        <v>219</v>
      </c>
      <c r="C675" s="1" t="s">
        <v>3</v>
      </c>
      <c r="D675" s="1">
        <v>553.79999999999995</v>
      </c>
      <c r="E675" s="1">
        <v>-69</v>
      </c>
      <c r="F675" s="1">
        <v>0</v>
      </c>
      <c r="G675" s="1">
        <v>372.61700000000002</v>
      </c>
      <c r="H675" s="1">
        <v>3322.7910000000002</v>
      </c>
      <c r="I675" s="1">
        <v>-3782.328</v>
      </c>
    </row>
    <row r="676" spans="1:9" hidden="1" x14ac:dyDescent="0.25">
      <c r="A676" s="1" t="s">
        <v>127</v>
      </c>
      <c r="B676" s="1" t="s">
        <v>220</v>
      </c>
      <c r="C676" s="1" t="s">
        <v>143</v>
      </c>
      <c r="D676" s="1">
        <v>536.28</v>
      </c>
      <c r="E676" s="1">
        <v>69</v>
      </c>
      <c r="F676" s="1">
        <v>0</v>
      </c>
      <c r="G676" s="1">
        <v>-455.42</v>
      </c>
      <c r="H676" s="1">
        <v>3217.701</v>
      </c>
      <c r="I676" s="1">
        <v>-2967.1089999999999</v>
      </c>
    </row>
    <row r="677" spans="1:9" hidden="1" x14ac:dyDescent="0.25">
      <c r="A677" s="1" t="s">
        <v>127</v>
      </c>
      <c r="B677" s="1" t="s">
        <v>220</v>
      </c>
      <c r="C677" s="1" t="s">
        <v>3</v>
      </c>
      <c r="D677" s="1">
        <v>553.79999999999995</v>
      </c>
      <c r="E677" s="1">
        <v>69</v>
      </c>
      <c r="F677" s="1">
        <v>0</v>
      </c>
      <c r="G677" s="1">
        <v>-455.42</v>
      </c>
      <c r="H677" s="1">
        <v>3322.7910000000002</v>
      </c>
      <c r="I677" s="1">
        <v>-2863.2539999999999</v>
      </c>
    </row>
    <row r="678" spans="1:9" hidden="1" x14ac:dyDescent="0.25">
      <c r="A678" s="1" t="s">
        <v>127</v>
      </c>
      <c r="B678" s="1" t="s">
        <v>221</v>
      </c>
      <c r="C678" s="1" t="s">
        <v>143</v>
      </c>
      <c r="D678" s="1">
        <v>536.28</v>
      </c>
      <c r="E678" s="1">
        <v>69</v>
      </c>
      <c r="F678" s="1">
        <v>0</v>
      </c>
      <c r="G678" s="1">
        <v>-372.61700000000002</v>
      </c>
      <c r="H678" s="1">
        <v>3217.701</v>
      </c>
      <c r="I678" s="1">
        <v>-2967.1089999999999</v>
      </c>
    </row>
    <row r="679" spans="1:9" hidden="1" x14ac:dyDescent="0.25">
      <c r="A679" s="1" t="s">
        <v>127</v>
      </c>
      <c r="B679" s="1" t="s">
        <v>221</v>
      </c>
      <c r="C679" s="1" t="s">
        <v>3</v>
      </c>
      <c r="D679" s="1">
        <v>553.79999999999995</v>
      </c>
      <c r="E679" s="1">
        <v>69</v>
      </c>
      <c r="F679" s="1">
        <v>0</v>
      </c>
      <c r="G679" s="1">
        <v>-372.61700000000002</v>
      </c>
      <c r="H679" s="1">
        <v>3322.7910000000002</v>
      </c>
      <c r="I679" s="1">
        <v>-2863.2539999999999</v>
      </c>
    </row>
    <row r="680" spans="1:9" hidden="1" x14ac:dyDescent="0.25">
      <c r="A680" s="1" t="s">
        <v>127</v>
      </c>
      <c r="B680" s="1" t="s">
        <v>222</v>
      </c>
      <c r="C680" s="1" t="s">
        <v>143</v>
      </c>
      <c r="D680" s="1">
        <v>536.28</v>
      </c>
      <c r="E680" s="1">
        <v>0</v>
      </c>
      <c r="F680" s="1">
        <v>-69</v>
      </c>
      <c r="G680" s="1">
        <v>-455.42</v>
      </c>
      <c r="H680" s="1">
        <v>3468.2930000000001</v>
      </c>
      <c r="I680" s="1">
        <v>-3217.701</v>
      </c>
    </row>
    <row r="681" spans="1:9" hidden="1" x14ac:dyDescent="0.25">
      <c r="A681" s="1" t="s">
        <v>127</v>
      </c>
      <c r="B681" s="1" t="s">
        <v>222</v>
      </c>
      <c r="C681" s="1" t="s">
        <v>3</v>
      </c>
      <c r="D681" s="1">
        <v>553.79999999999995</v>
      </c>
      <c r="E681" s="1">
        <v>0</v>
      </c>
      <c r="F681" s="1">
        <v>-69</v>
      </c>
      <c r="G681" s="1">
        <v>-455.42</v>
      </c>
      <c r="H681" s="1">
        <v>3782.328</v>
      </c>
      <c r="I681" s="1">
        <v>-3322.7910000000002</v>
      </c>
    </row>
    <row r="682" spans="1:9" hidden="1" x14ac:dyDescent="0.25">
      <c r="A682" s="1" t="s">
        <v>127</v>
      </c>
      <c r="B682" s="1" t="s">
        <v>223</v>
      </c>
      <c r="C682" s="1" t="s">
        <v>143</v>
      </c>
      <c r="D682" s="1">
        <v>536.28</v>
      </c>
      <c r="E682" s="1">
        <v>0</v>
      </c>
      <c r="F682" s="1">
        <v>-69</v>
      </c>
      <c r="G682" s="1">
        <v>-372.61700000000002</v>
      </c>
      <c r="H682" s="1">
        <v>3468.2930000000001</v>
      </c>
      <c r="I682" s="1">
        <v>-3217.701</v>
      </c>
    </row>
    <row r="683" spans="1:9" hidden="1" x14ac:dyDescent="0.25">
      <c r="A683" s="1" t="s">
        <v>127</v>
      </c>
      <c r="B683" s="1" t="s">
        <v>223</v>
      </c>
      <c r="C683" s="1" t="s">
        <v>3</v>
      </c>
      <c r="D683" s="1">
        <v>553.79999999999995</v>
      </c>
      <c r="E683" s="1">
        <v>0</v>
      </c>
      <c r="F683" s="1">
        <v>-69</v>
      </c>
      <c r="G683" s="1">
        <v>-372.61700000000002</v>
      </c>
      <c r="H683" s="1">
        <v>3782.328</v>
      </c>
      <c r="I683" s="1">
        <v>-3322.7910000000002</v>
      </c>
    </row>
    <row r="684" spans="1:9" hidden="1" x14ac:dyDescent="0.25">
      <c r="A684" s="1" t="s">
        <v>127</v>
      </c>
      <c r="B684" s="1" t="s">
        <v>224</v>
      </c>
      <c r="C684" s="1" t="s">
        <v>143</v>
      </c>
      <c r="D684" s="1">
        <v>536.28</v>
      </c>
      <c r="E684" s="1">
        <v>0</v>
      </c>
      <c r="F684" s="1">
        <v>69</v>
      </c>
      <c r="G684" s="1">
        <v>455.42</v>
      </c>
      <c r="H684" s="1">
        <v>2967.1089999999999</v>
      </c>
      <c r="I684" s="1">
        <v>-3217.701</v>
      </c>
    </row>
    <row r="685" spans="1:9" hidden="1" x14ac:dyDescent="0.25">
      <c r="A685" s="1" t="s">
        <v>127</v>
      </c>
      <c r="B685" s="1" t="s">
        <v>224</v>
      </c>
      <c r="C685" s="1" t="s">
        <v>3</v>
      </c>
      <c r="D685" s="1">
        <v>553.79999999999995</v>
      </c>
      <c r="E685" s="1">
        <v>0</v>
      </c>
      <c r="F685" s="1">
        <v>69</v>
      </c>
      <c r="G685" s="1">
        <v>455.42</v>
      </c>
      <c r="H685" s="1">
        <v>2863.2539999999999</v>
      </c>
      <c r="I685" s="1">
        <v>-3322.7910000000002</v>
      </c>
    </row>
    <row r="686" spans="1:9" hidden="1" x14ac:dyDescent="0.25">
      <c r="A686" s="1" t="s">
        <v>127</v>
      </c>
      <c r="B686" s="1" t="s">
        <v>225</v>
      </c>
      <c r="C686" s="1" t="s">
        <v>143</v>
      </c>
      <c r="D686" s="1">
        <v>536.28</v>
      </c>
      <c r="E686" s="1">
        <v>0</v>
      </c>
      <c r="F686" s="1">
        <v>69</v>
      </c>
      <c r="G686" s="1">
        <v>372.61700000000002</v>
      </c>
      <c r="H686" s="1">
        <v>2967.1089999999999</v>
      </c>
      <c r="I686" s="1">
        <v>-3217.701</v>
      </c>
    </row>
    <row r="687" spans="1:9" hidden="1" x14ac:dyDescent="0.25">
      <c r="A687" s="1" t="s">
        <v>127</v>
      </c>
      <c r="B687" s="1" t="s">
        <v>225</v>
      </c>
      <c r="C687" s="1" t="s">
        <v>3</v>
      </c>
      <c r="D687" s="1">
        <v>553.79999999999995</v>
      </c>
      <c r="E687" s="1">
        <v>0</v>
      </c>
      <c r="F687" s="1">
        <v>69</v>
      </c>
      <c r="G687" s="1">
        <v>372.61700000000002</v>
      </c>
      <c r="H687" s="1">
        <v>2863.2539999999999</v>
      </c>
      <c r="I687" s="1">
        <v>-3322.7910000000002</v>
      </c>
    </row>
    <row r="688" spans="1:9" hidden="1" x14ac:dyDescent="0.25">
      <c r="A688" s="1" t="s">
        <v>127</v>
      </c>
      <c r="B688" s="1" t="s">
        <v>226</v>
      </c>
      <c r="C688" s="1" t="s">
        <v>143</v>
      </c>
      <c r="D688" s="1">
        <v>955.03</v>
      </c>
      <c r="E688" s="1">
        <v>243.05</v>
      </c>
      <c r="F688" s="1">
        <v>0</v>
      </c>
      <c r="G688" s="1">
        <v>1607.0250000000001</v>
      </c>
      <c r="H688" s="1">
        <v>5730.1840000000002</v>
      </c>
      <c r="I688" s="1">
        <v>-4930.93</v>
      </c>
    </row>
    <row r="689" spans="1:9" hidden="1" x14ac:dyDescent="0.25">
      <c r="A689" s="1" t="s">
        <v>127</v>
      </c>
      <c r="B689" s="1" t="s">
        <v>226</v>
      </c>
      <c r="C689" s="1" t="s">
        <v>3</v>
      </c>
      <c r="D689" s="1">
        <v>984.11</v>
      </c>
      <c r="E689" s="1">
        <v>243.05</v>
      </c>
      <c r="F689" s="1">
        <v>0</v>
      </c>
      <c r="G689" s="1">
        <v>1607.0250000000001</v>
      </c>
      <c r="H689" s="1">
        <v>5904.6329999999998</v>
      </c>
      <c r="I689" s="1">
        <v>-4373.1409999999996</v>
      </c>
    </row>
    <row r="690" spans="1:9" hidden="1" x14ac:dyDescent="0.25">
      <c r="A690" s="1" t="s">
        <v>127</v>
      </c>
      <c r="B690" s="1" t="s">
        <v>227</v>
      </c>
      <c r="C690" s="1" t="s">
        <v>143</v>
      </c>
      <c r="D690" s="1">
        <v>955.03</v>
      </c>
      <c r="E690" s="1">
        <v>-243.05</v>
      </c>
      <c r="F690" s="1">
        <v>0</v>
      </c>
      <c r="G690" s="1">
        <v>-1607.0250000000001</v>
      </c>
      <c r="H690" s="1">
        <v>5730.1840000000002</v>
      </c>
      <c r="I690" s="1">
        <v>-6529.4380000000001</v>
      </c>
    </row>
    <row r="691" spans="1:9" hidden="1" x14ac:dyDescent="0.25">
      <c r="A691" s="1" t="s">
        <v>127</v>
      </c>
      <c r="B691" s="1" t="s">
        <v>227</v>
      </c>
      <c r="C691" s="1" t="s">
        <v>3</v>
      </c>
      <c r="D691" s="1">
        <v>984.11</v>
      </c>
      <c r="E691" s="1">
        <v>-243.05</v>
      </c>
      <c r="F691" s="1">
        <v>0</v>
      </c>
      <c r="G691" s="1">
        <v>-1607.0250000000001</v>
      </c>
      <c r="H691" s="1">
        <v>5904.6329999999998</v>
      </c>
      <c r="I691" s="1">
        <v>-7436.1239999999998</v>
      </c>
    </row>
    <row r="692" spans="1:9" hidden="1" x14ac:dyDescent="0.25">
      <c r="A692" s="1" t="s">
        <v>127</v>
      </c>
      <c r="B692" s="1" t="s">
        <v>228</v>
      </c>
      <c r="C692" s="1" t="s">
        <v>143</v>
      </c>
      <c r="D692" s="1">
        <v>890.68</v>
      </c>
      <c r="E692" s="1">
        <v>243.05</v>
      </c>
      <c r="F692" s="1">
        <v>0</v>
      </c>
      <c r="G692" s="1">
        <v>1607.0250000000001</v>
      </c>
      <c r="H692" s="1">
        <v>5344.06</v>
      </c>
      <c r="I692" s="1">
        <v>-4544.8059999999996</v>
      </c>
    </row>
    <row r="693" spans="1:9" hidden="1" x14ac:dyDescent="0.25">
      <c r="A693" s="1" t="s">
        <v>127</v>
      </c>
      <c r="B693" s="1" t="s">
        <v>228</v>
      </c>
      <c r="C693" s="1" t="s">
        <v>3</v>
      </c>
      <c r="D693" s="1">
        <v>917.65</v>
      </c>
      <c r="E693" s="1">
        <v>243.05</v>
      </c>
      <c r="F693" s="1">
        <v>0</v>
      </c>
      <c r="G693" s="1">
        <v>1607.0250000000001</v>
      </c>
      <c r="H693" s="1">
        <v>5505.8980000000001</v>
      </c>
      <c r="I693" s="1">
        <v>-3974.4059999999999</v>
      </c>
    </row>
    <row r="694" spans="1:9" hidden="1" x14ac:dyDescent="0.25">
      <c r="A694" s="1" t="s">
        <v>127</v>
      </c>
      <c r="B694" s="1" t="s">
        <v>229</v>
      </c>
      <c r="C694" s="1" t="s">
        <v>143</v>
      </c>
      <c r="D694" s="1">
        <v>890.68</v>
      </c>
      <c r="E694" s="1">
        <v>-243.05</v>
      </c>
      <c r="F694" s="1">
        <v>0</v>
      </c>
      <c r="G694" s="1">
        <v>-1607.0250000000001</v>
      </c>
      <c r="H694" s="1">
        <v>5344.06</v>
      </c>
      <c r="I694" s="1">
        <v>-6143.3140000000003</v>
      </c>
    </row>
    <row r="695" spans="1:9" hidden="1" x14ac:dyDescent="0.25">
      <c r="A695" s="1" t="s">
        <v>127</v>
      </c>
      <c r="B695" s="1" t="s">
        <v>229</v>
      </c>
      <c r="C695" s="1" t="s">
        <v>3</v>
      </c>
      <c r="D695" s="1">
        <v>917.65</v>
      </c>
      <c r="E695" s="1">
        <v>-243.05</v>
      </c>
      <c r="F695" s="1">
        <v>0</v>
      </c>
      <c r="G695" s="1">
        <v>-1607.0250000000001</v>
      </c>
      <c r="H695" s="1">
        <v>5505.8980000000001</v>
      </c>
      <c r="I695" s="1">
        <v>-7037.39</v>
      </c>
    </row>
    <row r="696" spans="1:9" hidden="1" x14ac:dyDescent="0.25">
      <c r="A696" s="1" t="s">
        <v>127</v>
      </c>
      <c r="B696" s="1" t="s">
        <v>230</v>
      </c>
      <c r="C696" s="1" t="s">
        <v>143</v>
      </c>
      <c r="D696" s="1">
        <v>955.03</v>
      </c>
      <c r="E696" s="1">
        <v>0</v>
      </c>
      <c r="F696" s="1">
        <v>222.8</v>
      </c>
      <c r="G696" s="1">
        <v>1473.106</v>
      </c>
      <c r="H696" s="1">
        <v>6462.8329999999996</v>
      </c>
      <c r="I696" s="1">
        <v>-5730.1840000000002</v>
      </c>
    </row>
    <row r="697" spans="1:9" hidden="1" x14ac:dyDescent="0.25">
      <c r="A697" s="1" t="s">
        <v>127</v>
      </c>
      <c r="B697" s="1" t="s">
        <v>230</v>
      </c>
      <c r="C697" s="1" t="s">
        <v>3</v>
      </c>
      <c r="D697" s="1">
        <v>984.11</v>
      </c>
      <c r="E697" s="1">
        <v>0</v>
      </c>
      <c r="F697" s="1">
        <v>222.8</v>
      </c>
      <c r="G697" s="1">
        <v>1473.106</v>
      </c>
      <c r="H697" s="1">
        <v>7308.5</v>
      </c>
      <c r="I697" s="1">
        <v>-5904.6329999999998</v>
      </c>
    </row>
    <row r="698" spans="1:9" hidden="1" x14ac:dyDescent="0.25">
      <c r="A698" s="1" t="s">
        <v>127</v>
      </c>
      <c r="B698" s="1" t="s">
        <v>231</v>
      </c>
      <c r="C698" s="1" t="s">
        <v>143</v>
      </c>
      <c r="D698" s="1">
        <v>955.03</v>
      </c>
      <c r="E698" s="1">
        <v>0</v>
      </c>
      <c r="F698" s="1">
        <v>-222.8</v>
      </c>
      <c r="G698" s="1">
        <v>-1473.106</v>
      </c>
      <c r="H698" s="1">
        <v>4997.5339999999997</v>
      </c>
      <c r="I698" s="1">
        <v>-5730.1840000000002</v>
      </c>
    </row>
    <row r="699" spans="1:9" hidden="1" x14ac:dyDescent="0.25">
      <c r="A699" s="1" t="s">
        <v>127</v>
      </c>
      <c r="B699" s="1" t="s">
        <v>231</v>
      </c>
      <c r="C699" s="1" t="s">
        <v>3</v>
      </c>
      <c r="D699" s="1">
        <v>984.11</v>
      </c>
      <c r="E699" s="1">
        <v>0</v>
      </c>
      <c r="F699" s="1">
        <v>-222.8</v>
      </c>
      <c r="G699" s="1">
        <v>-1473.106</v>
      </c>
      <c r="H699" s="1">
        <v>4500.7650000000003</v>
      </c>
      <c r="I699" s="1">
        <v>-5904.6329999999998</v>
      </c>
    </row>
    <row r="700" spans="1:9" hidden="1" x14ac:dyDescent="0.25">
      <c r="A700" s="1" t="s">
        <v>127</v>
      </c>
      <c r="B700" s="1" t="s">
        <v>232</v>
      </c>
      <c r="C700" s="1" t="s">
        <v>143</v>
      </c>
      <c r="D700" s="1">
        <v>890.68</v>
      </c>
      <c r="E700" s="1">
        <v>0</v>
      </c>
      <c r="F700" s="1">
        <v>222.8</v>
      </c>
      <c r="G700" s="1">
        <v>1473.106</v>
      </c>
      <c r="H700" s="1">
        <v>6076.7089999999998</v>
      </c>
      <c r="I700" s="1">
        <v>-5344.06</v>
      </c>
    </row>
    <row r="701" spans="1:9" hidden="1" x14ac:dyDescent="0.25">
      <c r="A701" s="1" t="s">
        <v>127</v>
      </c>
      <c r="B701" s="1" t="s">
        <v>232</v>
      </c>
      <c r="C701" s="1" t="s">
        <v>3</v>
      </c>
      <c r="D701" s="1">
        <v>917.65</v>
      </c>
      <c r="E701" s="1">
        <v>0</v>
      </c>
      <c r="F701" s="1">
        <v>222.8</v>
      </c>
      <c r="G701" s="1">
        <v>1473.106</v>
      </c>
      <c r="H701" s="1">
        <v>6909.7650000000003</v>
      </c>
      <c r="I701" s="1">
        <v>-5505.8980000000001</v>
      </c>
    </row>
    <row r="702" spans="1:9" hidden="1" x14ac:dyDescent="0.25">
      <c r="A702" s="1" t="s">
        <v>127</v>
      </c>
      <c r="B702" s="1" t="s">
        <v>233</v>
      </c>
      <c r="C702" s="1" t="s">
        <v>143</v>
      </c>
      <c r="D702" s="1">
        <v>890.68</v>
      </c>
      <c r="E702" s="1">
        <v>0</v>
      </c>
      <c r="F702" s="1">
        <v>-222.8</v>
      </c>
      <c r="G702" s="1">
        <v>-1473.106</v>
      </c>
      <c r="H702" s="1">
        <v>4611.41</v>
      </c>
      <c r="I702" s="1">
        <v>-5344.06</v>
      </c>
    </row>
    <row r="703" spans="1:9" hidden="1" x14ac:dyDescent="0.25">
      <c r="A703" s="1" t="s">
        <v>127</v>
      </c>
      <c r="B703" s="1" t="s">
        <v>233</v>
      </c>
      <c r="C703" s="1" t="s">
        <v>3</v>
      </c>
      <c r="D703" s="1">
        <v>917.65</v>
      </c>
      <c r="E703" s="1">
        <v>0</v>
      </c>
      <c r="F703" s="1">
        <v>-222.8</v>
      </c>
      <c r="G703" s="1">
        <v>-1473.106</v>
      </c>
      <c r="H703" s="1">
        <v>4102.03</v>
      </c>
      <c r="I703" s="1">
        <v>-5505.8980000000001</v>
      </c>
    </row>
    <row r="704" spans="1:9" hidden="1" x14ac:dyDescent="0.25">
      <c r="A704" s="1" t="s">
        <v>127</v>
      </c>
      <c r="B704" s="1" t="s">
        <v>234</v>
      </c>
      <c r="C704" s="1" t="s">
        <v>143</v>
      </c>
      <c r="D704" s="1">
        <v>1030.1099999999999</v>
      </c>
      <c r="E704" s="1">
        <v>72.91</v>
      </c>
      <c r="F704" s="1">
        <v>0</v>
      </c>
      <c r="G704" s="1">
        <v>482.108</v>
      </c>
      <c r="H704" s="1">
        <v>6180.6620000000003</v>
      </c>
      <c r="I704" s="1">
        <v>-5940.8860000000004</v>
      </c>
    </row>
    <row r="705" spans="1:9" hidden="1" x14ac:dyDescent="0.25">
      <c r="A705" s="1" t="s">
        <v>127</v>
      </c>
      <c r="B705" s="1" t="s">
        <v>234</v>
      </c>
      <c r="C705" s="1" t="s">
        <v>3</v>
      </c>
      <c r="D705" s="1">
        <v>1061.6400000000001</v>
      </c>
      <c r="E705" s="1">
        <v>72.91</v>
      </c>
      <c r="F705" s="1">
        <v>0</v>
      </c>
      <c r="G705" s="1">
        <v>482.108</v>
      </c>
      <c r="H705" s="1">
        <v>6369.8230000000003</v>
      </c>
      <c r="I705" s="1">
        <v>-5910.3760000000002</v>
      </c>
    </row>
    <row r="706" spans="1:9" hidden="1" x14ac:dyDescent="0.25">
      <c r="A706" s="1" t="s">
        <v>127</v>
      </c>
      <c r="B706" s="1" t="s">
        <v>235</v>
      </c>
      <c r="C706" s="1" t="s">
        <v>143</v>
      </c>
      <c r="D706" s="1">
        <v>1030.1099999999999</v>
      </c>
      <c r="E706" s="1">
        <v>-72.91</v>
      </c>
      <c r="F706" s="1">
        <v>0</v>
      </c>
      <c r="G706" s="1">
        <v>-482.108</v>
      </c>
      <c r="H706" s="1">
        <v>6180.6620000000003</v>
      </c>
      <c r="I706" s="1">
        <v>-6420.4380000000001</v>
      </c>
    </row>
    <row r="707" spans="1:9" hidden="1" x14ac:dyDescent="0.25">
      <c r="A707" s="1" t="s">
        <v>127</v>
      </c>
      <c r="B707" s="1" t="s">
        <v>235</v>
      </c>
      <c r="C707" s="1" t="s">
        <v>3</v>
      </c>
      <c r="D707" s="1">
        <v>1061.6400000000001</v>
      </c>
      <c r="E707" s="1">
        <v>-72.91</v>
      </c>
      <c r="F707" s="1">
        <v>0</v>
      </c>
      <c r="G707" s="1">
        <v>-482.108</v>
      </c>
      <c r="H707" s="1">
        <v>6369.8230000000003</v>
      </c>
      <c r="I707" s="1">
        <v>-6829.2709999999997</v>
      </c>
    </row>
    <row r="708" spans="1:9" hidden="1" x14ac:dyDescent="0.25">
      <c r="A708" s="1" t="s">
        <v>127</v>
      </c>
      <c r="B708" s="1" t="s">
        <v>236</v>
      </c>
      <c r="C708" s="1" t="s">
        <v>143</v>
      </c>
      <c r="D708" s="1">
        <v>815.6</v>
      </c>
      <c r="E708" s="1">
        <v>72.91</v>
      </c>
      <c r="F708" s="1">
        <v>0</v>
      </c>
      <c r="G708" s="1">
        <v>482.108</v>
      </c>
      <c r="H708" s="1">
        <v>4893.5810000000001</v>
      </c>
      <c r="I708" s="1">
        <v>-4653.8050000000003</v>
      </c>
    </row>
    <row r="709" spans="1:9" hidden="1" x14ac:dyDescent="0.25">
      <c r="A709" s="1" t="s">
        <v>127</v>
      </c>
      <c r="B709" s="1" t="s">
        <v>236</v>
      </c>
      <c r="C709" s="1" t="s">
        <v>3</v>
      </c>
      <c r="D709" s="1">
        <v>840.12</v>
      </c>
      <c r="E709" s="1">
        <v>72.91</v>
      </c>
      <c r="F709" s="1">
        <v>0</v>
      </c>
      <c r="G709" s="1">
        <v>482.108</v>
      </c>
      <c r="H709" s="1">
        <v>5040.7070000000003</v>
      </c>
      <c r="I709" s="1">
        <v>-4581.26</v>
      </c>
    </row>
    <row r="710" spans="1:9" hidden="1" x14ac:dyDescent="0.25">
      <c r="A710" s="1" t="s">
        <v>127</v>
      </c>
      <c r="B710" s="1" t="s">
        <v>237</v>
      </c>
      <c r="C710" s="1" t="s">
        <v>143</v>
      </c>
      <c r="D710" s="1">
        <v>815.6</v>
      </c>
      <c r="E710" s="1">
        <v>-72.91</v>
      </c>
      <c r="F710" s="1">
        <v>0</v>
      </c>
      <c r="G710" s="1">
        <v>-482.108</v>
      </c>
      <c r="H710" s="1">
        <v>4893.5810000000001</v>
      </c>
      <c r="I710" s="1">
        <v>-5133.3580000000002</v>
      </c>
    </row>
    <row r="711" spans="1:9" hidden="1" x14ac:dyDescent="0.25">
      <c r="A711" s="1" t="s">
        <v>127</v>
      </c>
      <c r="B711" s="1" t="s">
        <v>237</v>
      </c>
      <c r="C711" s="1" t="s">
        <v>3</v>
      </c>
      <c r="D711" s="1">
        <v>840.12</v>
      </c>
      <c r="E711" s="1">
        <v>-72.91</v>
      </c>
      <c r="F711" s="1">
        <v>0</v>
      </c>
      <c r="G711" s="1">
        <v>-482.108</v>
      </c>
      <c r="H711" s="1">
        <v>5040.7070000000003</v>
      </c>
      <c r="I711" s="1">
        <v>-5500.1549999999997</v>
      </c>
    </row>
    <row r="712" spans="1:9" hidden="1" x14ac:dyDescent="0.25">
      <c r="A712" s="1" t="s">
        <v>127</v>
      </c>
      <c r="B712" s="1" t="s">
        <v>238</v>
      </c>
      <c r="C712" s="1" t="s">
        <v>143</v>
      </c>
      <c r="D712" s="1">
        <v>1030.1099999999999</v>
      </c>
      <c r="E712" s="1">
        <v>0</v>
      </c>
      <c r="F712" s="1">
        <v>66.84</v>
      </c>
      <c r="G712" s="1">
        <v>441.93200000000002</v>
      </c>
      <c r="H712" s="1">
        <v>6400.4570000000003</v>
      </c>
      <c r="I712" s="1">
        <v>-6180.6620000000003</v>
      </c>
    </row>
    <row r="713" spans="1:9" hidden="1" x14ac:dyDescent="0.25">
      <c r="A713" s="1" t="s">
        <v>127</v>
      </c>
      <c r="B713" s="1" t="s">
        <v>238</v>
      </c>
      <c r="C713" s="1" t="s">
        <v>3</v>
      </c>
      <c r="D713" s="1">
        <v>1061.6400000000001</v>
      </c>
      <c r="E713" s="1">
        <v>0</v>
      </c>
      <c r="F713" s="1">
        <v>66.84</v>
      </c>
      <c r="G713" s="1">
        <v>441.93200000000002</v>
      </c>
      <c r="H713" s="1">
        <v>6790.9840000000004</v>
      </c>
      <c r="I713" s="1">
        <v>-6369.8230000000003</v>
      </c>
    </row>
    <row r="714" spans="1:9" hidden="1" x14ac:dyDescent="0.25">
      <c r="A714" s="1" t="s">
        <v>127</v>
      </c>
      <c r="B714" s="1" t="s">
        <v>239</v>
      </c>
      <c r="C714" s="1" t="s">
        <v>143</v>
      </c>
      <c r="D714" s="1">
        <v>1030.1099999999999</v>
      </c>
      <c r="E714" s="1">
        <v>0</v>
      </c>
      <c r="F714" s="1">
        <v>-66.84</v>
      </c>
      <c r="G714" s="1">
        <v>-441.93200000000002</v>
      </c>
      <c r="H714" s="1">
        <v>5960.8670000000002</v>
      </c>
      <c r="I714" s="1">
        <v>-6180.6620000000003</v>
      </c>
    </row>
    <row r="715" spans="1:9" hidden="1" x14ac:dyDescent="0.25">
      <c r="A715" s="1" t="s">
        <v>127</v>
      </c>
      <c r="B715" s="1" t="s">
        <v>239</v>
      </c>
      <c r="C715" s="1" t="s">
        <v>3</v>
      </c>
      <c r="D715" s="1">
        <v>1061.6400000000001</v>
      </c>
      <c r="E715" s="1">
        <v>0</v>
      </c>
      <c r="F715" s="1">
        <v>-66.84</v>
      </c>
      <c r="G715" s="1">
        <v>-441.93200000000002</v>
      </c>
      <c r="H715" s="1">
        <v>5948.6629999999996</v>
      </c>
      <c r="I715" s="1">
        <v>-6369.8230000000003</v>
      </c>
    </row>
    <row r="716" spans="1:9" hidden="1" x14ac:dyDescent="0.25">
      <c r="A716" s="1" t="s">
        <v>127</v>
      </c>
      <c r="B716" s="1" t="s">
        <v>240</v>
      </c>
      <c r="C716" s="1" t="s">
        <v>143</v>
      </c>
      <c r="D716" s="1">
        <v>815.6</v>
      </c>
      <c r="E716" s="1">
        <v>0</v>
      </c>
      <c r="F716" s="1">
        <v>66.84</v>
      </c>
      <c r="G716" s="1">
        <v>441.93200000000002</v>
      </c>
      <c r="H716" s="1">
        <v>5113.3760000000002</v>
      </c>
      <c r="I716" s="1">
        <v>-4893.5810000000001</v>
      </c>
    </row>
    <row r="717" spans="1:9" hidden="1" x14ac:dyDescent="0.25">
      <c r="A717" s="1" t="s">
        <v>127</v>
      </c>
      <c r="B717" s="1" t="s">
        <v>240</v>
      </c>
      <c r="C717" s="1" t="s">
        <v>3</v>
      </c>
      <c r="D717" s="1">
        <v>840.12</v>
      </c>
      <c r="E717" s="1">
        <v>0</v>
      </c>
      <c r="F717" s="1">
        <v>66.84</v>
      </c>
      <c r="G717" s="1">
        <v>441.93200000000002</v>
      </c>
      <c r="H717" s="1">
        <v>5461.8670000000002</v>
      </c>
      <c r="I717" s="1">
        <v>-5040.7070000000003</v>
      </c>
    </row>
    <row r="718" spans="1:9" hidden="1" x14ac:dyDescent="0.25">
      <c r="A718" s="1" t="s">
        <v>127</v>
      </c>
      <c r="B718" s="1" t="s">
        <v>241</v>
      </c>
      <c r="C718" s="1" t="s">
        <v>143</v>
      </c>
      <c r="D718" s="1">
        <v>815.6</v>
      </c>
      <c r="E718" s="1">
        <v>0</v>
      </c>
      <c r="F718" s="1">
        <v>-66.84</v>
      </c>
      <c r="G718" s="1">
        <v>-441.93200000000002</v>
      </c>
      <c r="H718" s="1">
        <v>4673.7870000000003</v>
      </c>
      <c r="I718" s="1">
        <v>-4893.5810000000001</v>
      </c>
    </row>
    <row r="719" spans="1:9" hidden="1" x14ac:dyDescent="0.25">
      <c r="A719" s="1" t="s">
        <v>127</v>
      </c>
      <c r="B719" s="1" t="s">
        <v>241</v>
      </c>
      <c r="C719" s="1" t="s">
        <v>3</v>
      </c>
      <c r="D719" s="1">
        <v>840.12</v>
      </c>
      <c r="E719" s="1">
        <v>0</v>
      </c>
      <c r="F719" s="1">
        <v>-66.84</v>
      </c>
      <c r="G719" s="1">
        <v>-441.93200000000002</v>
      </c>
      <c r="H719" s="1">
        <v>4619.5469999999996</v>
      </c>
      <c r="I719" s="1">
        <v>-5040.7070000000003</v>
      </c>
    </row>
    <row r="720" spans="1:9" hidden="1" x14ac:dyDescent="0.25">
      <c r="A720" s="1" t="s">
        <v>127</v>
      </c>
      <c r="B720" s="1" t="s">
        <v>242</v>
      </c>
      <c r="C720" s="1" t="s">
        <v>143</v>
      </c>
      <c r="D720" s="1">
        <v>675.72</v>
      </c>
      <c r="E720" s="1">
        <v>243.05</v>
      </c>
      <c r="F720" s="1">
        <v>0</v>
      </c>
      <c r="G720" s="1">
        <v>1607.0250000000001</v>
      </c>
      <c r="H720" s="1">
        <v>4054.3029999999999</v>
      </c>
      <c r="I720" s="1">
        <v>-3255.049</v>
      </c>
    </row>
    <row r="721" spans="1:9" hidden="1" x14ac:dyDescent="0.25">
      <c r="A721" s="1" t="s">
        <v>127</v>
      </c>
      <c r="B721" s="1" t="s">
        <v>242</v>
      </c>
      <c r="C721" s="1" t="s">
        <v>3</v>
      </c>
      <c r="D721" s="1">
        <v>697.79</v>
      </c>
      <c r="E721" s="1">
        <v>243.05</v>
      </c>
      <c r="F721" s="1">
        <v>0</v>
      </c>
      <c r="G721" s="1">
        <v>1607.0250000000001</v>
      </c>
      <c r="H721" s="1">
        <v>4186.7160000000003</v>
      </c>
      <c r="I721" s="1">
        <v>-2655.2249999999999</v>
      </c>
    </row>
    <row r="722" spans="1:9" hidden="1" x14ac:dyDescent="0.25">
      <c r="A722" s="1" t="s">
        <v>127</v>
      </c>
      <c r="B722" s="1" t="s">
        <v>243</v>
      </c>
      <c r="C722" s="1" t="s">
        <v>143</v>
      </c>
      <c r="D722" s="1">
        <v>675.72</v>
      </c>
      <c r="E722" s="1">
        <v>-243.05</v>
      </c>
      <c r="F722" s="1">
        <v>0</v>
      </c>
      <c r="G722" s="1">
        <v>-1607.0250000000001</v>
      </c>
      <c r="H722" s="1">
        <v>4054.3029999999999</v>
      </c>
      <c r="I722" s="1">
        <v>-4853.5569999999998</v>
      </c>
    </row>
    <row r="723" spans="1:9" hidden="1" x14ac:dyDescent="0.25">
      <c r="A723" s="1" t="s">
        <v>127</v>
      </c>
      <c r="B723" s="1" t="s">
        <v>243</v>
      </c>
      <c r="C723" s="1" t="s">
        <v>3</v>
      </c>
      <c r="D723" s="1">
        <v>697.79</v>
      </c>
      <c r="E723" s="1">
        <v>-243.05</v>
      </c>
      <c r="F723" s="1">
        <v>0</v>
      </c>
      <c r="G723" s="1">
        <v>-1607.0250000000001</v>
      </c>
      <c r="H723" s="1">
        <v>4186.7160000000003</v>
      </c>
      <c r="I723" s="1">
        <v>-5718.2079999999996</v>
      </c>
    </row>
    <row r="724" spans="1:9" hidden="1" x14ac:dyDescent="0.25">
      <c r="A724" s="1" t="s">
        <v>127</v>
      </c>
      <c r="B724" s="1" t="s">
        <v>244</v>
      </c>
      <c r="C724" s="1" t="s">
        <v>143</v>
      </c>
      <c r="D724" s="1">
        <v>611.36</v>
      </c>
      <c r="E724" s="1">
        <v>243.05</v>
      </c>
      <c r="F724" s="1">
        <v>0</v>
      </c>
      <c r="G724" s="1">
        <v>1607.0250000000001</v>
      </c>
      <c r="H724" s="1">
        <v>3668.1790000000001</v>
      </c>
      <c r="I724" s="1">
        <v>-2868.9250000000002</v>
      </c>
    </row>
    <row r="725" spans="1:9" hidden="1" x14ac:dyDescent="0.25">
      <c r="A725" s="1" t="s">
        <v>127</v>
      </c>
      <c r="B725" s="1" t="s">
        <v>244</v>
      </c>
      <c r="C725" s="1" t="s">
        <v>3</v>
      </c>
      <c r="D725" s="1">
        <v>631.33000000000004</v>
      </c>
      <c r="E725" s="1">
        <v>243.05</v>
      </c>
      <c r="F725" s="1">
        <v>0</v>
      </c>
      <c r="G725" s="1">
        <v>1607.0250000000001</v>
      </c>
      <c r="H725" s="1">
        <v>3787.9810000000002</v>
      </c>
      <c r="I725" s="1">
        <v>-2256.4899999999998</v>
      </c>
    </row>
    <row r="726" spans="1:9" hidden="1" x14ac:dyDescent="0.25">
      <c r="A726" s="1" t="s">
        <v>127</v>
      </c>
      <c r="B726" s="1" t="s">
        <v>245</v>
      </c>
      <c r="C726" s="1" t="s">
        <v>143</v>
      </c>
      <c r="D726" s="1">
        <v>611.36</v>
      </c>
      <c r="E726" s="1">
        <v>-243.05</v>
      </c>
      <c r="F726" s="1">
        <v>0</v>
      </c>
      <c r="G726" s="1">
        <v>-1607.0250000000001</v>
      </c>
      <c r="H726" s="1">
        <v>3668.1790000000001</v>
      </c>
      <c r="I726" s="1">
        <v>-4467.433</v>
      </c>
    </row>
    <row r="727" spans="1:9" hidden="1" x14ac:dyDescent="0.25">
      <c r="A727" s="1" t="s">
        <v>127</v>
      </c>
      <c r="B727" s="1" t="s">
        <v>245</v>
      </c>
      <c r="C727" s="1" t="s">
        <v>3</v>
      </c>
      <c r="D727" s="1">
        <v>631.33000000000004</v>
      </c>
      <c r="E727" s="1">
        <v>-243.05</v>
      </c>
      <c r="F727" s="1">
        <v>0</v>
      </c>
      <c r="G727" s="1">
        <v>-1607.0250000000001</v>
      </c>
      <c r="H727" s="1">
        <v>3787.9810000000002</v>
      </c>
      <c r="I727" s="1">
        <v>-5319.473</v>
      </c>
    </row>
    <row r="728" spans="1:9" hidden="1" x14ac:dyDescent="0.25">
      <c r="A728" s="1" t="s">
        <v>127</v>
      </c>
      <c r="B728" s="1" t="s">
        <v>246</v>
      </c>
      <c r="C728" s="1" t="s">
        <v>143</v>
      </c>
      <c r="D728" s="1">
        <v>675.72</v>
      </c>
      <c r="E728" s="1">
        <v>0</v>
      </c>
      <c r="F728" s="1">
        <v>222.8</v>
      </c>
      <c r="G728" s="1">
        <v>1473.106</v>
      </c>
      <c r="H728" s="1">
        <v>4786.9530000000004</v>
      </c>
      <c r="I728" s="1">
        <v>-4054.3029999999999</v>
      </c>
    </row>
    <row r="729" spans="1:9" hidden="1" x14ac:dyDescent="0.25">
      <c r="A729" s="1" t="s">
        <v>127</v>
      </c>
      <c r="B729" s="1" t="s">
        <v>246</v>
      </c>
      <c r="C729" s="1" t="s">
        <v>3</v>
      </c>
      <c r="D729" s="1">
        <v>697.79</v>
      </c>
      <c r="E729" s="1">
        <v>0</v>
      </c>
      <c r="F729" s="1">
        <v>222.8</v>
      </c>
      <c r="G729" s="1">
        <v>1473.106</v>
      </c>
      <c r="H729" s="1">
        <v>5590.5839999999998</v>
      </c>
      <c r="I729" s="1">
        <v>-4186.7160000000003</v>
      </c>
    </row>
    <row r="730" spans="1:9" hidden="1" x14ac:dyDescent="0.25">
      <c r="A730" s="1" t="s">
        <v>127</v>
      </c>
      <c r="B730" s="1" t="s">
        <v>247</v>
      </c>
      <c r="C730" s="1" t="s">
        <v>143</v>
      </c>
      <c r="D730" s="1">
        <v>675.72</v>
      </c>
      <c r="E730" s="1">
        <v>0</v>
      </c>
      <c r="F730" s="1">
        <v>-222.8</v>
      </c>
      <c r="G730" s="1">
        <v>-1473.106</v>
      </c>
      <c r="H730" s="1">
        <v>3321.654</v>
      </c>
      <c r="I730" s="1">
        <v>-4054.3029999999999</v>
      </c>
    </row>
    <row r="731" spans="1:9" hidden="1" x14ac:dyDescent="0.25">
      <c r="A731" s="1" t="s">
        <v>127</v>
      </c>
      <c r="B731" s="1" t="s">
        <v>247</v>
      </c>
      <c r="C731" s="1" t="s">
        <v>3</v>
      </c>
      <c r="D731" s="1">
        <v>697.79</v>
      </c>
      <c r="E731" s="1">
        <v>0</v>
      </c>
      <c r="F731" s="1">
        <v>-222.8</v>
      </c>
      <c r="G731" s="1">
        <v>-1473.106</v>
      </c>
      <c r="H731" s="1">
        <v>2782.8490000000002</v>
      </c>
      <c r="I731" s="1">
        <v>-4186.7160000000003</v>
      </c>
    </row>
    <row r="732" spans="1:9" hidden="1" x14ac:dyDescent="0.25">
      <c r="A732" s="1" t="s">
        <v>127</v>
      </c>
      <c r="B732" s="1" t="s">
        <v>248</v>
      </c>
      <c r="C732" s="1" t="s">
        <v>143</v>
      </c>
      <c r="D732" s="1">
        <v>611.36</v>
      </c>
      <c r="E732" s="1">
        <v>0</v>
      </c>
      <c r="F732" s="1">
        <v>222.8</v>
      </c>
      <c r="G732" s="1">
        <v>1473.106</v>
      </c>
      <c r="H732" s="1">
        <v>4400.8289999999997</v>
      </c>
      <c r="I732" s="1">
        <v>-3668.1790000000001</v>
      </c>
    </row>
    <row r="733" spans="1:9" hidden="1" x14ac:dyDescent="0.25">
      <c r="A733" s="1" t="s">
        <v>127</v>
      </c>
      <c r="B733" s="1" t="s">
        <v>248</v>
      </c>
      <c r="C733" s="1" t="s">
        <v>3</v>
      </c>
      <c r="D733" s="1">
        <v>631.33000000000004</v>
      </c>
      <c r="E733" s="1">
        <v>0</v>
      </c>
      <c r="F733" s="1">
        <v>222.8</v>
      </c>
      <c r="G733" s="1">
        <v>1473.106</v>
      </c>
      <c r="H733" s="1">
        <v>5191.8490000000002</v>
      </c>
      <c r="I733" s="1">
        <v>-3787.9810000000002</v>
      </c>
    </row>
    <row r="734" spans="1:9" hidden="1" x14ac:dyDescent="0.25">
      <c r="A734" s="1" t="s">
        <v>127</v>
      </c>
      <c r="B734" s="1" t="s">
        <v>249</v>
      </c>
      <c r="C734" s="1" t="s">
        <v>143</v>
      </c>
      <c r="D734" s="1">
        <v>611.36</v>
      </c>
      <c r="E734" s="1">
        <v>0</v>
      </c>
      <c r="F734" s="1">
        <v>-222.8</v>
      </c>
      <c r="G734" s="1">
        <v>-1473.106</v>
      </c>
      <c r="H734" s="1">
        <v>2935.53</v>
      </c>
      <c r="I734" s="1">
        <v>-3668.1790000000001</v>
      </c>
    </row>
    <row r="735" spans="1:9" hidden="1" x14ac:dyDescent="0.25">
      <c r="A735" s="1" t="s">
        <v>127</v>
      </c>
      <c r="B735" s="1" t="s">
        <v>249</v>
      </c>
      <c r="C735" s="1" t="s">
        <v>3</v>
      </c>
      <c r="D735" s="1">
        <v>631.33000000000004</v>
      </c>
      <c r="E735" s="1">
        <v>0</v>
      </c>
      <c r="F735" s="1">
        <v>-222.8</v>
      </c>
      <c r="G735" s="1">
        <v>-1473.106</v>
      </c>
      <c r="H735" s="1">
        <v>2384.114</v>
      </c>
      <c r="I735" s="1">
        <v>-3787.9810000000002</v>
      </c>
    </row>
    <row r="736" spans="1:9" hidden="1" x14ac:dyDescent="0.25">
      <c r="A736" s="1" t="s">
        <v>127</v>
      </c>
      <c r="B736" s="1" t="s">
        <v>250</v>
      </c>
      <c r="C736" s="1" t="s">
        <v>143</v>
      </c>
      <c r="D736" s="1">
        <v>750.8</v>
      </c>
      <c r="E736" s="1">
        <v>72.91</v>
      </c>
      <c r="F736" s="1">
        <v>0</v>
      </c>
      <c r="G736" s="1">
        <v>482.108</v>
      </c>
      <c r="H736" s="1">
        <v>4504.7809999999999</v>
      </c>
      <c r="I736" s="1">
        <v>-4265.0050000000001</v>
      </c>
    </row>
    <row r="737" spans="1:9" hidden="1" x14ac:dyDescent="0.25">
      <c r="A737" s="1" t="s">
        <v>127</v>
      </c>
      <c r="B737" s="1" t="s">
        <v>250</v>
      </c>
      <c r="C737" s="1" t="s">
        <v>3</v>
      </c>
      <c r="D737" s="1">
        <v>775.32</v>
      </c>
      <c r="E737" s="1">
        <v>72.91</v>
      </c>
      <c r="F737" s="1">
        <v>0</v>
      </c>
      <c r="G737" s="1">
        <v>482.108</v>
      </c>
      <c r="H737" s="1">
        <v>4651.9070000000002</v>
      </c>
      <c r="I737" s="1">
        <v>-4192.46</v>
      </c>
    </row>
    <row r="738" spans="1:9" hidden="1" x14ac:dyDescent="0.25">
      <c r="A738" s="1" t="s">
        <v>127</v>
      </c>
      <c r="B738" s="1" t="s">
        <v>251</v>
      </c>
      <c r="C738" s="1" t="s">
        <v>143</v>
      </c>
      <c r="D738" s="1">
        <v>750.8</v>
      </c>
      <c r="E738" s="1">
        <v>-72.91</v>
      </c>
      <c r="F738" s="1">
        <v>0</v>
      </c>
      <c r="G738" s="1">
        <v>-482.108</v>
      </c>
      <c r="H738" s="1">
        <v>4504.7809999999999</v>
      </c>
      <c r="I738" s="1">
        <v>-4744.558</v>
      </c>
    </row>
    <row r="739" spans="1:9" hidden="1" x14ac:dyDescent="0.25">
      <c r="A739" s="1" t="s">
        <v>127</v>
      </c>
      <c r="B739" s="1" t="s">
        <v>251</v>
      </c>
      <c r="C739" s="1" t="s">
        <v>3</v>
      </c>
      <c r="D739" s="1">
        <v>775.32</v>
      </c>
      <c r="E739" s="1">
        <v>-72.91</v>
      </c>
      <c r="F739" s="1">
        <v>0</v>
      </c>
      <c r="G739" s="1">
        <v>-482.108</v>
      </c>
      <c r="H739" s="1">
        <v>4651.9070000000002</v>
      </c>
      <c r="I739" s="1">
        <v>-5111.3549999999996</v>
      </c>
    </row>
    <row r="740" spans="1:9" hidden="1" x14ac:dyDescent="0.25">
      <c r="A740" s="1" t="s">
        <v>127</v>
      </c>
      <c r="B740" s="1" t="s">
        <v>252</v>
      </c>
      <c r="C740" s="1" t="s">
        <v>143</v>
      </c>
      <c r="D740" s="1">
        <v>536.28</v>
      </c>
      <c r="E740" s="1">
        <v>72.91</v>
      </c>
      <c r="F740" s="1">
        <v>0</v>
      </c>
      <c r="G740" s="1">
        <v>482.108</v>
      </c>
      <c r="H740" s="1">
        <v>3217.701</v>
      </c>
      <c r="I740" s="1">
        <v>-2977.9250000000002</v>
      </c>
    </row>
    <row r="741" spans="1:9" hidden="1" x14ac:dyDescent="0.25">
      <c r="A741" s="1" t="s">
        <v>127</v>
      </c>
      <c r="B741" s="1" t="s">
        <v>252</v>
      </c>
      <c r="C741" s="1" t="s">
        <v>3</v>
      </c>
      <c r="D741" s="1">
        <v>553.79999999999995</v>
      </c>
      <c r="E741" s="1">
        <v>72.91</v>
      </c>
      <c r="F741" s="1">
        <v>0</v>
      </c>
      <c r="G741" s="1">
        <v>482.108</v>
      </c>
      <c r="H741" s="1">
        <v>3322.7910000000002</v>
      </c>
      <c r="I741" s="1">
        <v>-2863.3429999999998</v>
      </c>
    </row>
    <row r="742" spans="1:9" hidden="1" x14ac:dyDescent="0.25">
      <c r="A742" s="1" t="s">
        <v>127</v>
      </c>
      <c r="B742" s="1" t="s">
        <v>253</v>
      </c>
      <c r="C742" s="1" t="s">
        <v>143</v>
      </c>
      <c r="D742" s="1">
        <v>536.28</v>
      </c>
      <c r="E742" s="1">
        <v>-72.91</v>
      </c>
      <c r="F742" s="1">
        <v>0</v>
      </c>
      <c r="G742" s="1">
        <v>-482.108</v>
      </c>
      <c r="H742" s="1">
        <v>3217.701</v>
      </c>
      <c r="I742" s="1">
        <v>-3457.4769999999999</v>
      </c>
    </row>
    <row r="743" spans="1:9" hidden="1" x14ac:dyDescent="0.25">
      <c r="A743" s="1" t="s">
        <v>127</v>
      </c>
      <c r="B743" s="1" t="s">
        <v>253</v>
      </c>
      <c r="C743" s="1" t="s">
        <v>3</v>
      </c>
      <c r="D743" s="1">
        <v>553.79999999999995</v>
      </c>
      <c r="E743" s="1">
        <v>-72.91</v>
      </c>
      <c r="F743" s="1">
        <v>0</v>
      </c>
      <c r="G743" s="1">
        <v>-482.108</v>
      </c>
      <c r="H743" s="1">
        <v>3322.7910000000002</v>
      </c>
      <c r="I743" s="1">
        <v>-3782.2379999999998</v>
      </c>
    </row>
    <row r="744" spans="1:9" hidden="1" x14ac:dyDescent="0.25">
      <c r="A744" s="1" t="s">
        <v>127</v>
      </c>
      <c r="B744" s="1" t="s">
        <v>254</v>
      </c>
      <c r="C744" s="1" t="s">
        <v>143</v>
      </c>
      <c r="D744" s="1">
        <v>750.8</v>
      </c>
      <c r="E744" s="1">
        <v>0</v>
      </c>
      <c r="F744" s="1">
        <v>66.84</v>
      </c>
      <c r="G744" s="1">
        <v>441.93200000000002</v>
      </c>
      <c r="H744" s="1">
        <v>4724.576</v>
      </c>
      <c r="I744" s="1">
        <v>-4504.7809999999999</v>
      </c>
    </row>
    <row r="745" spans="1:9" hidden="1" x14ac:dyDescent="0.25">
      <c r="A745" s="1" t="s">
        <v>127</v>
      </c>
      <c r="B745" s="1" t="s">
        <v>254</v>
      </c>
      <c r="C745" s="1" t="s">
        <v>3</v>
      </c>
      <c r="D745" s="1">
        <v>775.32</v>
      </c>
      <c r="E745" s="1">
        <v>0</v>
      </c>
      <c r="F745" s="1">
        <v>66.84</v>
      </c>
      <c r="G745" s="1">
        <v>441.93200000000002</v>
      </c>
      <c r="H745" s="1">
        <v>5073.067</v>
      </c>
      <c r="I745" s="1">
        <v>-4651.9070000000002</v>
      </c>
    </row>
    <row r="746" spans="1:9" hidden="1" x14ac:dyDescent="0.25">
      <c r="A746" s="1" t="s">
        <v>127</v>
      </c>
      <c r="B746" s="1" t="s">
        <v>255</v>
      </c>
      <c r="C746" s="1" t="s">
        <v>143</v>
      </c>
      <c r="D746" s="1">
        <v>750.8</v>
      </c>
      <c r="E746" s="1">
        <v>0</v>
      </c>
      <c r="F746" s="1">
        <v>-66.84</v>
      </c>
      <c r="G746" s="1">
        <v>-441.93200000000002</v>
      </c>
      <c r="H746" s="1">
        <v>4284.9870000000001</v>
      </c>
      <c r="I746" s="1">
        <v>-4504.7809999999999</v>
      </c>
    </row>
    <row r="747" spans="1:9" hidden="1" x14ac:dyDescent="0.25">
      <c r="A747" s="1" t="s">
        <v>127</v>
      </c>
      <c r="B747" s="1" t="s">
        <v>255</v>
      </c>
      <c r="C747" s="1" t="s">
        <v>3</v>
      </c>
      <c r="D747" s="1">
        <v>775.32</v>
      </c>
      <c r="E747" s="1">
        <v>0</v>
      </c>
      <c r="F747" s="1">
        <v>-66.84</v>
      </c>
      <c r="G747" s="1">
        <v>-441.93200000000002</v>
      </c>
      <c r="H747" s="1">
        <v>4230.7470000000003</v>
      </c>
      <c r="I747" s="1">
        <v>-4651.9070000000002</v>
      </c>
    </row>
    <row r="748" spans="1:9" hidden="1" x14ac:dyDescent="0.25">
      <c r="A748" s="1" t="s">
        <v>127</v>
      </c>
      <c r="B748" s="1" t="s">
        <v>256</v>
      </c>
      <c r="C748" s="1" t="s">
        <v>143</v>
      </c>
      <c r="D748" s="1">
        <v>536.28</v>
      </c>
      <c r="E748" s="1">
        <v>0</v>
      </c>
      <c r="F748" s="1">
        <v>66.84</v>
      </c>
      <c r="G748" s="1">
        <v>441.93200000000002</v>
      </c>
      <c r="H748" s="1">
        <v>3437.4960000000001</v>
      </c>
      <c r="I748" s="1">
        <v>-3217.701</v>
      </c>
    </row>
    <row r="749" spans="1:9" hidden="1" x14ac:dyDescent="0.25">
      <c r="A749" s="1" t="s">
        <v>127</v>
      </c>
      <c r="B749" s="1" t="s">
        <v>256</v>
      </c>
      <c r="C749" s="1" t="s">
        <v>3</v>
      </c>
      <c r="D749" s="1">
        <v>553.79999999999995</v>
      </c>
      <c r="E749" s="1">
        <v>0</v>
      </c>
      <c r="F749" s="1">
        <v>66.84</v>
      </c>
      <c r="G749" s="1">
        <v>441.93200000000002</v>
      </c>
      <c r="H749" s="1">
        <v>3743.951</v>
      </c>
      <c r="I749" s="1">
        <v>-3322.7910000000002</v>
      </c>
    </row>
    <row r="750" spans="1:9" hidden="1" x14ac:dyDescent="0.25">
      <c r="A750" s="1" t="s">
        <v>127</v>
      </c>
      <c r="B750" s="1" t="s">
        <v>257</v>
      </c>
      <c r="C750" s="1" t="s">
        <v>143</v>
      </c>
      <c r="D750" s="1">
        <v>536.28</v>
      </c>
      <c r="E750" s="1">
        <v>0</v>
      </c>
      <c r="F750" s="1">
        <v>-66.84</v>
      </c>
      <c r="G750" s="1">
        <v>-441.93200000000002</v>
      </c>
      <c r="H750" s="1">
        <v>2997.9059999999999</v>
      </c>
      <c r="I750" s="1">
        <v>-3217.701</v>
      </c>
    </row>
    <row r="751" spans="1:9" hidden="1" x14ac:dyDescent="0.25">
      <c r="A751" s="1" t="s">
        <v>127</v>
      </c>
      <c r="B751" s="1" t="s">
        <v>257</v>
      </c>
      <c r="C751" s="1" t="s">
        <v>3</v>
      </c>
      <c r="D751" s="1">
        <v>553.79999999999995</v>
      </c>
      <c r="E751" s="1">
        <v>0</v>
      </c>
      <c r="F751" s="1">
        <v>-66.84</v>
      </c>
      <c r="G751" s="1">
        <v>-441.93200000000002</v>
      </c>
      <c r="H751" s="1">
        <v>2901.6309999999999</v>
      </c>
      <c r="I751" s="1">
        <v>-3322.7910000000002</v>
      </c>
    </row>
    <row r="752" spans="1:9" hidden="1" x14ac:dyDescent="0.25">
      <c r="A752" s="1" t="s">
        <v>9</v>
      </c>
      <c r="B752" s="1" t="s">
        <v>2</v>
      </c>
      <c r="C752" s="1" t="s">
        <v>143</v>
      </c>
      <c r="D752" s="1">
        <v>961.18</v>
      </c>
      <c r="E752" s="1">
        <v>0</v>
      </c>
      <c r="F752" s="1">
        <v>0</v>
      </c>
      <c r="G752" s="1">
        <v>0</v>
      </c>
      <c r="H752" s="1">
        <v>5767.0640000000003</v>
      </c>
      <c r="I752" s="1">
        <v>-5767.0640000000003</v>
      </c>
    </row>
    <row r="753" spans="1:9" hidden="1" x14ac:dyDescent="0.25">
      <c r="A753" s="1" t="s">
        <v>9</v>
      </c>
      <c r="B753" s="1" t="s">
        <v>2</v>
      </c>
      <c r="C753" s="1" t="s">
        <v>3</v>
      </c>
      <c r="D753" s="1">
        <v>984.53</v>
      </c>
      <c r="E753" s="1">
        <v>0</v>
      </c>
      <c r="F753" s="1">
        <v>0</v>
      </c>
      <c r="G753" s="1">
        <v>0</v>
      </c>
      <c r="H753" s="1">
        <v>5907.1840000000002</v>
      </c>
      <c r="I753" s="1">
        <v>-5907.1840000000002</v>
      </c>
    </row>
    <row r="754" spans="1:9" hidden="1" x14ac:dyDescent="0.25">
      <c r="A754" s="1" t="s">
        <v>9</v>
      </c>
      <c r="B754" s="1" t="s">
        <v>144</v>
      </c>
      <c r="C754" s="1" t="s">
        <v>143</v>
      </c>
      <c r="D754" s="1">
        <v>172.8</v>
      </c>
      <c r="E754" s="1">
        <v>0</v>
      </c>
      <c r="F754" s="1">
        <v>0</v>
      </c>
      <c r="G754" s="1">
        <v>0</v>
      </c>
      <c r="H754" s="1">
        <v>1036.8</v>
      </c>
      <c r="I754" s="1">
        <v>-1036.8</v>
      </c>
    </row>
    <row r="755" spans="1:9" x14ac:dyDescent="0.25">
      <c r="A755" s="1" t="s">
        <v>9</v>
      </c>
      <c r="B755" s="1" t="s">
        <v>144</v>
      </c>
      <c r="C755" s="1" t="s">
        <v>3</v>
      </c>
      <c r="D755" s="1">
        <v>172.8</v>
      </c>
      <c r="E755" s="1">
        <v>0</v>
      </c>
      <c r="F755" s="1">
        <v>0</v>
      </c>
      <c r="G755" s="1">
        <v>0</v>
      </c>
      <c r="H755" s="1">
        <v>1036.8</v>
      </c>
      <c r="I755" s="1">
        <v>-1036.8</v>
      </c>
    </row>
    <row r="756" spans="1:9" hidden="1" x14ac:dyDescent="0.25">
      <c r="A756" s="1" t="s">
        <v>9</v>
      </c>
      <c r="B756" s="1" t="s">
        <v>12</v>
      </c>
      <c r="C756" s="1" t="s">
        <v>143</v>
      </c>
      <c r="D756" s="1">
        <v>0</v>
      </c>
      <c r="E756" s="1">
        <v>-256.13</v>
      </c>
      <c r="F756" s="1">
        <v>0</v>
      </c>
      <c r="G756" s="1">
        <v>1690.4690000000001</v>
      </c>
      <c r="H756" s="1">
        <v>0</v>
      </c>
      <c r="I756" s="1">
        <v>-1531.7909999999999</v>
      </c>
    </row>
    <row r="757" spans="1:9" hidden="1" x14ac:dyDescent="0.25">
      <c r="A757" s="1" t="s">
        <v>9</v>
      </c>
      <c r="B757" s="1" t="s">
        <v>12</v>
      </c>
      <c r="C757" s="1" t="s">
        <v>3</v>
      </c>
      <c r="D757" s="1">
        <v>0</v>
      </c>
      <c r="E757" s="1">
        <v>-256.13</v>
      </c>
      <c r="F757" s="1">
        <v>0</v>
      </c>
      <c r="G757" s="1">
        <v>1690.4690000000001</v>
      </c>
      <c r="H757" s="1">
        <v>0</v>
      </c>
      <c r="I757" s="1">
        <v>-2316.5059999999999</v>
      </c>
    </row>
    <row r="758" spans="1:9" hidden="1" x14ac:dyDescent="0.25">
      <c r="A758" s="1" t="s">
        <v>9</v>
      </c>
      <c r="B758" s="1" t="s">
        <v>13</v>
      </c>
      <c r="C758" s="1" t="s">
        <v>143</v>
      </c>
      <c r="D758" s="1">
        <v>0</v>
      </c>
      <c r="E758" s="1">
        <v>-256.13</v>
      </c>
      <c r="F758" s="1">
        <v>0</v>
      </c>
      <c r="G758" s="1">
        <v>1383.1110000000001</v>
      </c>
      <c r="H758" s="1">
        <v>0</v>
      </c>
      <c r="I758" s="1">
        <v>-1531.7909999999999</v>
      </c>
    </row>
    <row r="759" spans="1:9" hidden="1" x14ac:dyDescent="0.25">
      <c r="A759" s="1" t="s">
        <v>9</v>
      </c>
      <c r="B759" s="1" t="s">
        <v>13</v>
      </c>
      <c r="C759" s="1" t="s">
        <v>3</v>
      </c>
      <c r="D759" s="1">
        <v>0</v>
      </c>
      <c r="E759" s="1">
        <v>-256.13</v>
      </c>
      <c r="F759" s="1">
        <v>0</v>
      </c>
      <c r="G759" s="1">
        <v>1383.1110000000001</v>
      </c>
      <c r="H759" s="1">
        <v>0</v>
      </c>
      <c r="I759" s="1">
        <v>-2316.5059999999999</v>
      </c>
    </row>
    <row r="760" spans="1:9" hidden="1" x14ac:dyDescent="0.25">
      <c r="A760" s="1" t="s">
        <v>9</v>
      </c>
      <c r="B760" s="1" t="s">
        <v>14</v>
      </c>
      <c r="C760" s="1" t="s">
        <v>143</v>
      </c>
      <c r="D760" s="1">
        <v>0</v>
      </c>
      <c r="E760" s="1">
        <v>0</v>
      </c>
      <c r="F760" s="1">
        <v>-256.13</v>
      </c>
      <c r="G760" s="1">
        <v>-1690.4690000000001</v>
      </c>
      <c r="H760" s="1">
        <v>1531.7909999999999</v>
      </c>
      <c r="I760" s="1">
        <v>0</v>
      </c>
    </row>
    <row r="761" spans="1:9" hidden="1" x14ac:dyDescent="0.25">
      <c r="A761" s="1" t="s">
        <v>9</v>
      </c>
      <c r="B761" s="1" t="s">
        <v>14</v>
      </c>
      <c r="C761" s="1" t="s">
        <v>3</v>
      </c>
      <c r="D761" s="1">
        <v>0</v>
      </c>
      <c r="E761" s="1">
        <v>0</v>
      </c>
      <c r="F761" s="1">
        <v>-256.13</v>
      </c>
      <c r="G761" s="1">
        <v>-1690.4690000000001</v>
      </c>
      <c r="H761" s="1">
        <v>2316.5059999999999</v>
      </c>
      <c r="I761" s="1">
        <v>0</v>
      </c>
    </row>
    <row r="762" spans="1:9" hidden="1" x14ac:dyDescent="0.25">
      <c r="A762" s="1" t="s">
        <v>9</v>
      </c>
      <c r="B762" s="1" t="s">
        <v>15</v>
      </c>
      <c r="C762" s="1" t="s">
        <v>143</v>
      </c>
      <c r="D762" s="1">
        <v>0</v>
      </c>
      <c r="E762" s="1">
        <v>0</v>
      </c>
      <c r="F762" s="1">
        <v>-256.13</v>
      </c>
      <c r="G762" s="1">
        <v>-1383.1110000000001</v>
      </c>
      <c r="H762" s="1">
        <v>1531.7909999999999</v>
      </c>
      <c r="I762" s="1">
        <v>0</v>
      </c>
    </row>
    <row r="763" spans="1:9" hidden="1" x14ac:dyDescent="0.25">
      <c r="A763" s="1" t="s">
        <v>9</v>
      </c>
      <c r="B763" s="1" t="s">
        <v>15</v>
      </c>
      <c r="C763" s="1" t="s">
        <v>3</v>
      </c>
      <c r="D763" s="1">
        <v>0</v>
      </c>
      <c r="E763" s="1">
        <v>0</v>
      </c>
      <c r="F763" s="1">
        <v>-256.13</v>
      </c>
      <c r="G763" s="1">
        <v>-1383.1110000000001</v>
      </c>
      <c r="H763" s="1">
        <v>2316.5059999999999</v>
      </c>
      <c r="I763" s="1">
        <v>0</v>
      </c>
    </row>
    <row r="764" spans="1:9" hidden="1" x14ac:dyDescent="0.25">
      <c r="A764" s="1" t="s">
        <v>9</v>
      </c>
      <c r="B764" s="1" t="s">
        <v>145</v>
      </c>
      <c r="C764" s="1" t="s">
        <v>143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</row>
    <row r="765" spans="1:9" hidden="1" x14ac:dyDescent="0.25">
      <c r="A765" s="1" t="s">
        <v>9</v>
      </c>
      <c r="B765" s="1" t="s">
        <v>145</v>
      </c>
      <c r="C765" s="1" t="s">
        <v>3</v>
      </c>
      <c r="D765" s="1">
        <v>0</v>
      </c>
      <c r="E765" s="1">
        <v>0</v>
      </c>
      <c r="F765" s="1">
        <v>0</v>
      </c>
      <c r="G765" s="1">
        <v>0</v>
      </c>
      <c r="H765" s="1">
        <v>0</v>
      </c>
      <c r="I765" s="1">
        <v>0</v>
      </c>
    </row>
    <row r="766" spans="1:9" hidden="1" x14ac:dyDescent="0.25">
      <c r="A766" s="1" t="s">
        <v>9</v>
      </c>
      <c r="B766" s="1" t="s">
        <v>146</v>
      </c>
      <c r="C766" s="1" t="s">
        <v>143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</v>
      </c>
    </row>
    <row r="767" spans="1:9" hidden="1" x14ac:dyDescent="0.25">
      <c r="A767" s="1" t="s">
        <v>9</v>
      </c>
      <c r="B767" s="1" t="s">
        <v>146</v>
      </c>
      <c r="C767" s="1" t="s">
        <v>3</v>
      </c>
      <c r="D767" s="1">
        <v>0</v>
      </c>
      <c r="E767" s="1">
        <v>0</v>
      </c>
      <c r="F767" s="1">
        <v>0</v>
      </c>
      <c r="G767" s="1">
        <v>0</v>
      </c>
      <c r="H767" s="1">
        <v>0</v>
      </c>
      <c r="I767" s="1">
        <v>0</v>
      </c>
    </row>
    <row r="768" spans="1:9" hidden="1" x14ac:dyDescent="0.25">
      <c r="A768" s="1" t="s">
        <v>9</v>
      </c>
      <c r="B768" s="1" t="s">
        <v>147</v>
      </c>
      <c r="C768" s="1" t="s">
        <v>143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1">
        <v>0</v>
      </c>
    </row>
    <row r="769" spans="1:9" hidden="1" x14ac:dyDescent="0.25">
      <c r="A769" s="1" t="s">
        <v>9</v>
      </c>
      <c r="B769" s="1" t="s">
        <v>147</v>
      </c>
      <c r="C769" s="1" t="s">
        <v>3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</row>
    <row r="770" spans="1:9" hidden="1" x14ac:dyDescent="0.25">
      <c r="A770" s="1" t="s">
        <v>9</v>
      </c>
      <c r="B770" s="1" t="s">
        <v>148</v>
      </c>
      <c r="C770" s="1" t="s">
        <v>143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</row>
    <row r="771" spans="1:9" hidden="1" x14ac:dyDescent="0.25">
      <c r="A771" s="1" t="s">
        <v>9</v>
      </c>
      <c r="B771" s="1" t="s">
        <v>148</v>
      </c>
      <c r="C771" s="1" t="s">
        <v>3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</row>
    <row r="772" spans="1:9" hidden="1" x14ac:dyDescent="0.25">
      <c r="A772" s="1" t="s">
        <v>9</v>
      </c>
      <c r="B772" s="1" t="s">
        <v>149</v>
      </c>
      <c r="C772" s="1" t="s">
        <v>143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</row>
    <row r="773" spans="1:9" hidden="1" x14ac:dyDescent="0.25">
      <c r="A773" s="1" t="s">
        <v>9</v>
      </c>
      <c r="B773" s="1" t="s">
        <v>149</v>
      </c>
      <c r="C773" s="1" t="s">
        <v>3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  <c r="I773" s="1">
        <v>0</v>
      </c>
    </row>
    <row r="774" spans="1:9" hidden="1" x14ac:dyDescent="0.25">
      <c r="A774" s="1" t="s">
        <v>9</v>
      </c>
      <c r="B774" s="1" t="s">
        <v>150</v>
      </c>
      <c r="C774" s="1" t="s">
        <v>143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  <c r="I774" s="1">
        <v>0</v>
      </c>
    </row>
    <row r="775" spans="1:9" hidden="1" x14ac:dyDescent="0.25">
      <c r="A775" s="1" t="s">
        <v>9</v>
      </c>
      <c r="B775" s="1" t="s">
        <v>150</v>
      </c>
      <c r="C775" s="1" t="s">
        <v>3</v>
      </c>
      <c r="D775" s="1">
        <v>0</v>
      </c>
      <c r="E775" s="1">
        <v>0</v>
      </c>
      <c r="F775" s="1">
        <v>0</v>
      </c>
      <c r="G775" s="1">
        <v>0</v>
      </c>
      <c r="H775" s="1">
        <v>0</v>
      </c>
      <c r="I775" s="1">
        <v>0</v>
      </c>
    </row>
    <row r="776" spans="1:9" hidden="1" x14ac:dyDescent="0.25">
      <c r="A776" s="1" t="s">
        <v>9</v>
      </c>
      <c r="B776" s="1" t="s">
        <v>16</v>
      </c>
      <c r="C776" s="1" t="s">
        <v>143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</row>
    <row r="777" spans="1:9" hidden="1" x14ac:dyDescent="0.25">
      <c r="A777" s="1" t="s">
        <v>9</v>
      </c>
      <c r="B777" s="1" t="s">
        <v>16</v>
      </c>
      <c r="C777" s="1" t="s">
        <v>3</v>
      </c>
      <c r="D777" s="1">
        <v>0</v>
      </c>
      <c r="E777" s="1">
        <v>0</v>
      </c>
      <c r="F777" s="1">
        <v>0</v>
      </c>
      <c r="G777" s="1">
        <v>0</v>
      </c>
      <c r="H777" s="1">
        <v>0</v>
      </c>
      <c r="I777" s="1">
        <v>0</v>
      </c>
    </row>
    <row r="778" spans="1:9" hidden="1" x14ac:dyDescent="0.25">
      <c r="A778" s="1" t="s">
        <v>9</v>
      </c>
      <c r="B778" s="1" t="s">
        <v>151</v>
      </c>
      <c r="C778" s="1" t="s">
        <v>143</v>
      </c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</row>
    <row r="779" spans="1:9" hidden="1" x14ac:dyDescent="0.25">
      <c r="A779" s="1" t="s">
        <v>9</v>
      </c>
      <c r="B779" s="1" t="s">
        <v>151</v>
      </c>
      <c r="C779" s="1" t="s">
        <v>3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</row>
    <row r="780" spans="1:9" hidden="1" x14ac:dyDescent="0.25">
      <c r="A780" s="1" t="s">
        <v>9</v>
      </c>
      <c r="B780" s="1" t="s">
        <v>152</v>
      </c>
      <c r="C780" s="1" t="s">
        <v>143</v>
      </c>
      <c r="D780" s="1">
        <v>0</v>
      </c>
      <c r="E780" s="1">
        <v>-72.8</v>
      </c>
      <c r="F780" s="1">
        <v>0</v>
      </c>
      <c r="G780" s="1">
        <v>436.786</v>
      </c>
      <c r="H780" s="1">
        <v>0</v>
      </c>
      <c r="I780" s="1">
        <v>-269.13600000000002</v>
      </c>
    </row>
    <row r="781" spans="1:9" hidden="1" x14ac:dyDescent="0.25">
      <c r="A781" s="1" t="s">
        <v>9</v>
      </c>
      <c r="B781" s="1" t="s">
        <v>152</v>
      </c>
      <c r="C781" s="1" t="s">
        <v>3</v>
      </c>
      <c r="D781" s="1">
        <v>0</v>
      </c>
      <c r="E781" s="1">
        <v>-72.8</v>
      </c>
      <c r="F781" s="1">
        <v>0</v>
      </c>
      <c r="G781" s="1">
        <v>436.786</v>
      </c>
      <c r="H781" s="1">
        <v>0</v>
      </c>
      <c r="I781" s="1">
        <v>-492.03</v>
      </c>
    </row>
    <row r="782" spans="1:9" hidden="1" x14ac:dyDescent="0.25">
      <c r="A782" s="1" t="s">
        <v>9</v>
      </c>
      <c r="B782" s="1" t="s">
        <v>153</v>
      </c>
      <c r="C782" s="1" t="s">
        <v>143</v>
      </c>
      <c r="D782" s="1">
        <v>0</v>
      </c>
      <c r="E782" s="1">
        <v>0</v>
      </c>
      <c r="F782" s="1">
        <v>-72.8</v>
      </c>
      <c r="G782" s="1">
        <v>-436.786</v>
      </c>
      <c r="H782" s="1">
        <v>269.13600000000002</v>
      </c>
      <c r="I782" s="1">
        <v>0</v>
      </c>
    </row>
    <row r="783" spans="1:9" hidden="1" x14ac:dyDescent="0.25">
      <c r="A783" s="1" t="s">
        <v>9</v>
      </c>
      <c r="B783" s="1" t="s">
        <v>153</v>
      </c>
      <c r="C783" s="1" t="s">
        <v>3</v>
      </c>
      <c r="D783" s="1">
        <v>0</v>
      </c>
      <c r="E783" s="1">
        <v>0</v>
      </c>
      <c r="F783" s="1">
        <v>-72.8</v>
      </c>
      <c r="G783" s="1">
        <v>-436.786</v>
      </c>
      <c r="H783" s="1">
        <v>492.03</v>
      </c>
      <c r="I783" s="1">
        <v>0</v>
      </c>
    </row>
    <row r="784" spans="1:9" hidden="1" x14ac:dyDescent="0.25">
      <c r="A784" s="1" t="s">
        <v>9</v>
      </c>
      <c r="B784" s="1" t="s">
        <v>154</v>
      </c>
      <c r="C784" s="1" t="s">
        <v>143</v>
      </c>
      <c r="D784" s="1">
        <v>0</v>
      </c>
      <c r="E784" s="1">
        <v>0</v>
      </c>
      <c r="F784" s="1">
        <v>0</v>
      </c>
      <c r="G784" s="1">
        <v>0</v>
      </c>
      <c r="H784" s="1">
        <v>0</v>
      </c>
      <c r="I784" s="1">
        <v>0</v>
      </c>
    </row>
    <row r="785" spans="1:9" hidden="1" x14ac:dyDescent="0.25">
      <c r="A785" s="1" t="s">
        <v>9</v>
      </c>
      <c r="B785" s="1" t="s">
        <v>154</v>
      </c>
      <c r="C785" s="1" t="s">
        <v>3</v>
      </c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</row>
    <row r="786" spans="1:9" hidden="1" x14ac:dyDescent="0.25">
      <c r="A786" s="1" t="s">
        <v>9</v>
      </c>
      <c r="B786" s="1" t="s">
        <v>155</v>
      </c>
      <c r="C786" s="1" t="s">
        <v>143</v>
      </c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</row>
    <row r="787" spans="1:9" hidden="1" x14ac:dyDescent="0.25">
      <c r="A787" s="1" t="s">
        <v>9</v>
      </c>
      <c r="B787" s="1" t="s">
        <v>155</v>
      </c>
      <c r="C787" s="1" t="s">
        <v>3</v>
      </c>
      <c r="D787" s="1">
        <v>0</v>
      </c>
      <c r="E787" s="1">
        <v>0</v>
      </c>
      <c r="F787" s="1">
        <v>0</v>
      </c>
      <c r="G787" s="1">
        <v>0</v>
      </c>
      <c r="H787" s="1">
        <v>0</v>
      </c>
      <c r="I787" s="1">
        <v>0</v>
      </c>
    </row>
    <row r="788" spans="1:9" hidden="1" x14ac:dyDescent="0.25">
      <c r="A788" s="1" t="s">
        <v>9</v>
      </c>
      <c r="B788" s="1" t="s">
        <v>156</v>
      </c>
      <c r="C788" s="1" t="s">
        <v>143</v>
      </c>
      <c r="D788" s="1">
        <v>0</v>
      </c>
      <c r="E788" s="1">
        <v>0</v>
      </c>
      <c r="F788" s="1">
        <v>0</v>
      </c>
      <c r="G788" s="1">
        <v>0</v>
      </c>
      <c r="H788" s="1">
        <v>0</v>
      </c>
      <c r="I788" s="1">
        <v>0</v>
      </c>
    </row>
    <row r="789" spans="1:9" hidden="1" x14ac:dyDescent="0.25">
      <c r="A789" s="1" t="s">
        <v>9</v>
      </c>
      <c r="B789" s="1" t="s">
        <v>156</v>
      </c>
      <c r="C789" s="1" t="s">
        <v>3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</row>
    <row r="790" spans="1:9" hidden="1" x14ac:dyDescent="0.25">
      <c r="A790" s="1" t="s">
        <v>9</v>
      </c>
      <c r="B790" s="1" t="s">
        <v>4</v>
      </c>
      <c r="C790" s="1" t="s">
        <v>143</v>
      </c>
      <c r="D790" s="1">
        <v>0</v>
      </c>
      <c r="E790" s="1">
        <v>241.29</v>
      </c>
      <c r="F790" s="1">
        <v>0</v>
      </c>
      <c r="G790" s="1">
        <v>1597.4490000000001</v>
      </c>
      <c r="H790" s="1">
        <v>0</v>
      </c>
      <c r="I790" s="1">
        <v>1276.2429999999999</v>
      </c>
    </row>
    <row r="791" spans="1:9" hidden="1" x14ac:dyDescent="0.25">
      <c r="A791" s="1" t="s">
        <v>9</v>
      </c>
      <c r="B791" s="1" t="s">
        <v>4</v>
      </c>
      <c r="C791" s="1" t="s">
        <v>3</v>
      </c>
      <c r="D791" s="1">
        <v>0</v>
      </c>
      <c r="E791" s="1">
        <v>241.29</v>
      </c>
      <c r="F791" s="1">
        <v>0</v>
      </c>
      <c r="G791" s="1">
        <v>1597.4490000000001</v>
      </c>
      <c r="H791" s="1">
        <v>0</v>
      </c>
      <c r="I791" s="1">
        <v>2010.2850000000001</v>
      </c>
    </row>
    <row r="792" spans="1:9" hidden="1" x14ac:dyDescent="0.25">
      <c r="A792" s="1" t="s">
        <v>9</v>
      </c>
      <c r="B792" s="1" t="s">
        <v>5</v>
      </c>
      <c r="C792" s="1" t="s">
        <v>143</v>
      </c>
      <c r="D792" s="1">
        <v>0</v>
      </c>
      <c r="E792" s="1">
        <v>0</v>
      </c>
      <c r="F792" s="1">
        <v>241.29</v>
      </c>
      <c r="G792" s="1">
        <v>1597.4490000000001</v>
      </c>
      <c r="H792" s="1">
        <v>1276.2429999999999</v>
      </c>
      <c r="I792" s="1">
        <v>0</v>
      </c>
    </row>
    <row r="793" spans="1:9" hidden="1" x14ac:dyDescent="0.25">
      <c r="A793" s="1" t="s">
        <v>9</v>
      </c>
      <c r="B793" s="1" t="s">
        <v>5</v>
      </c>
      <c r="C793" s="1" t="s">
        <v>3</v>
      </c>
      <c r="D793" s="1">
        <v>0</v>
      </c>
      <c r="E793" s="1">
        <v>0</v>
      </c>
      <c r="F793" s="1">
        <v>241.29</v>
      </c>
      <c r="G793" s="1">
        <v>1597.4490000000001</v>
      </c>
      <c r="H793" s="1">
        <v>2010.2850000000001</v>
      </c>
      <c r="I793" s="1">
        <v>0</v>
      </c>
    </row>
    <row r="794" spans="1:9" hidden="1" x14ac:dyDescent="0.25">
      <c r="A794" s="1" t="s">
        <v>9</v>
      </c>
      <c r="B794" s="1" t="s">
        <v>6</v>
      </c>
      <c r="C794" s="1" t="s">
        <v>143</v>
      </c>
      <c r="D794" s="1">
        <v>144.18</v>
      </c>
      <c r="E794" s="1">
        <v>0</v>
      </c>
      <c r="F794" s="1">
        <v>0</v>
      </c>
      <c r="G794" s="1">
        <v>0</v>
      </c>
      <c r="H794" s="1">
        <v>865.06</v>
      </c>
      <c r="I794" s="1">
        <v>-865.06</v>
      </c>
    </row>
    <row r="795" spans="1:9" hidden="1" x14ac:dyDescent="0.25">
      <c r="A795" s="1" t="s">
        <v>9</v>
      </c>
      <c r="B795" s="1" t="s">
        <v>6</v>
      </c>
      <c r="C795" s="1" t="s">
        <v>3</v>
      </c>
      <c r="D795" s="1">
        <v>147.68</v>
      </c>
      <c r="E795" s="1">
        <v>0</v>
      </c>
      <c r="F795" s="1">
        <v>0</v>
      </c>
      <c r="G795" s="1">
        <v>0</v>
      </c>
      <c r="H795" s="1">
        <v>886.07799999999997</v>
      </c>
      <c r="I795" s="1">
        <v>-886.07799999999997</v>
      </c>
    </row>
    <row r="796" spans="1:9" hidden="1" x14ac:dyDescent="0.25">
      <c r="A796" s="1" t="s">
        <v>9</v>
      </c>
      <c r="B796" s="1" t="s">
        <v>7</v>
      </c>
      <c r="C796" s="1" t="s">
        <v>143</v>
      </c>
      <c r="D796" s="1">
        <v>0</v>
      </c>
      <c r="E796" s="1">
        <v>289.55</v>
      </c>
      <c r="F796" s="1">
        <v>0</v>
      </c>
      <c r="G796" s="1">
        <v>1916.9390000000001</v>
      </c>
      <c r="H796" s="1">
        <v>0</v>
      </c>
      <c r="I796" s="1">
        <v>1531.492</v>
      </c>
    </row>
    <row r="797" spans="1:9" hidden="1" x14ac:dyDescent="0.25">
      <c r="A797" s="1" t="s">
        <v>9</v>
      </c>
      <c r="B797" s="1" t="s">
        <v>7</v>
      </c>
      <c r="C797" s="1" t="s">
        <v>3</v>
      </c>
      <c r="D797" s="1">
        <v>0</v>
      </c>
      <c r="E797" s="1">
        <v>289.55</v>
      </c>
      <c r="F797" s="1">
        <v>0</v>
      </c>
      <c r="G797" s="1">
        <v>1916.9390000000001</v>
      </c>
      <c r="H797" s="1">
        <v>0</v>
      </c>
      <c r="I797" s="1">
        <v>2412.3420000000001</v>
      </c>
    </row>
    <row r="798" spans="1:9" hidden="1" x14ac:dyDescent="0.25">
      <c r="A798" s="1" t="s">
        <v>9</v>
      </c>
      <c r="B798" s="1" t="s">
        <v>157</v>
      </c>
      <c r="C798" s="1" t="s">
        <v>143</v>
      </c>
      <c r="D798" s="1">
        <v>0</v>
      </c>
      <c r="E798" s="1">
        <v>-289.55</v>
      </c>
      <c r="F798" s="1">
        <v>0</v>
      </c>
      <c r="G798" s="1">
        <v>-1916.9390000000001</v>
      </c>
      <c r="H798" s="1">
        <v>0</v>
      </c>
      <c r="I798" s="1">
        <v>-1531.492</v>
      </c>
    </row>
    <row r="799" spans="1:9" hidden="1" x14ac:dyDescent="0.25">
      <c r="A799" s="1" t="s">
        <v>9</v>
      </c>
      <c r="B799" s="1" t="s">
        <v>157</v>
      </c>
      <c r="C799" s="1" t="s">
        <v>3</v>
      </c>
      <c r="D799" s="1">
        <v>0</v>
      </c>
      <c r="E799" s="1">
        <v>-289.55</v>
      </c>
      <c r="F799" s="1">
        <v>0</v>
      </c>
      <c r="G799" s="1">
        <v>-1916.9390000000001</v>
      </c>
      <c r="H799" s="1">
        <v>0</v>
      </c>
      <c r="I799" s="1">
        <v>-2412.3420000000001</v>
      </c>
    </row>
    <row r="800" spans="1:9" hidden="1" x14ac:dyDescent="0.25">
      <c r="A800" s="1" t="s">
        <v>9</v>
      </c>
      <c r="B800" s="1" t="s">
        <v>8</v>
      </c>
      <c r="C800" s="1" t="s">
        <v>143</v>
      </c>
      <c r="D800" s="1">
        <v>0</v>
      </c>
      <c r="E800" s="1">
        <v>0</v>
      </c>
      <c r="F800" s="1">
        <v>265.42</v>
      </c>
      <c r="G800" s="1">
        <v>1757.194</v>
      </c>
      <c r="H800" s="1">
        <v>1403.867</v>
      </c>
      <c r="I800" s="1">
        <v>0</v>
      </c>
    </row>
    <row r="801" spans="1:9" hidden="1" x14ac:dyDescent="0.25">
      <c r="A801" s="1" t="s">
        <v>9</v>
      </c>
      <c r="B801" s="1" t="s">
        <v>8</v>
      </c>
      <c r="C801" s="1" t="s">
        <v>3</v>
      </c>
      <c r="D801" s="1">
        <v>0</v>
      </c>
      <c r="E801" s="1">
        <v>0</v>
      </c>
      <c r="F801" s="1">
        <v>265.42</v>
      </c>
      <c r="G801" s="1">
        <v>1757.194</v>
      </c>
      <c r="H801" s="1">
        <v>2211.3139999999999</v>
      </c>
      <c r="I801" s="1">
        <v>0</v>
      </c>
    </row>
    <row r="802" spans="1:9" hidden="1" x14ac:dyDescent="0.25">
      <c r="A802" s="1" t="s">
        <v>9</v>
      </c>
      <c r="B802" s="1" t="s">
        <v>158</v>
      </c>
      <c r="C802" s="1" t="s">
        <v>143</v>
      </c>
      <c r="D802" s="1">
        <v>0</v>
      </c>
      <c r="E802" s="1">
        <v>0</v>
      </c>
      <c r="F802" s="1">
        <v>-265.42</v>
      </c>
      <c r="G802" s="1">
        <v>-1757.194</v>
      </c>
      <c r="H802" s="1">
        <v>-1403.867</v>
      </c>
      <c r="I802" s="1">
        <v>0</v>
      </c>
    </row>
    <row r="803" spans="1:9" hidden="1" x14ac:dyDescent="0.25">
      <c r="A803" s="1" t="s">
        <v>9</v>
      </c>
      <c r="B803" s="1" t="s">
        <v>158</v>
      </c>
      <c r="C803" s="1" t="s">
        <v>3</v>
      </c>
      <c r="D803" s="1">
        <v>0</v>
      </c>
      <c r="E803" s="1">
        <v>0</v>
      </c>
      <c r="F803" s="1">
        <v>-265.42</v>
      </c>
      <c r="G803" s="1">
        <v>-1757.194</v>
      </c>
      <c r="H803" s="1">
        <v>-2211.3139999999999</v>
      </c>
      <c r="I803" s="1">
        <v>0</v>
      </c>
    </row>
    <row r="804" spans="1:9" hidden="1" x14ac:dyDescent="0.25">
      <c r="A804" s="1" t="s">
        <v>9</v>
      </c>
      <c r="B804" s="1" t="s">
        <v>159</v>
      </c>
      <c r="C804" s="1" t="s">
        <v>143</v>
      </c>
      <c r="D804" s="1">
        <v>1345.65</v>
      </c>
      <c r="E804" s="1">
        <v>0</v>
      </c>
      <c r="F804" s="1">
        <v>0</v>
      </c>
      <c r="G804" s="1">
        <v>0</v>
      </c>
      <c r="H804" s="1">
        <v>8073.8890000000001</v>
      </c>
      <c r="I804" s="1">
        <v>-8073.8890000000001</v>
      </c>
    </row>
    <row r="805" spans="1:9" hidden="1" x14ac:dyDescent="0.25">
      <c r="A805" s="1" t="s">
        <v>9</v>
      </c>
      <c r="B805" s="1" t="s">
        <v>159</v>
      </c>
      <c r="C805" s="1" t="s">
        <v>3</v>
      </c>
      <c r="D805" s="1">
        <v>1378.34</v>
      </c>
      <c r="E805" s="1">
        <v>0</v>
      </c>
      <c r="F805" s="1">
        <v>0</v>
      </c>
      <c r="G805" s="1">
        <v>0</v>
      </c>
      <c r="H805" s="1">
        <v>8270.0570000000007</v>
      </c>
      <c r="I805" s="1">
        <v>-8270.0570000000007</v>
      </c>
    </row>
    <row r="806" spans="1:9" hidden="1" x14ac:dyDescent="0.25">
      <c r="A806" s="1" t="s">
        <v>9</v>
      </c>
      <c r="B806" s="1" t="s">
        <v>160</v>
      </c>
      <c r="C806" s="1" t="s">
        <v>143</v>
      </c>
      <c r="D806" s="1">
        <v>1429.89</v>
      </c>
      <c r="E806" s="1">
        <v>0</v>
      </c>
      <c r="F806" s="1">
        <v>0</v>
      </c>
      <c r="G806" s="1">
        <v>0</v>
      </c>
      <c r="H806" s="1">
        <v>8579.357</v>
      </c>
      <c r="I806" s="1">
        <v>-8579.357</v>
      </c>
    </row>
    <row r="807" spans="1:9" hidden="1" x14ac:dyDescent="0.25">
      <c r="A807" s="1" t="s">
        <v>9</v>
      </c>
      <c r="B807" s="1" t="s">
        <v>160</v>
      </c>
      <c r="C807" s="1" t="s">
        <v>3</v>
      </c>
      <c r="D807" s="1">
        <v>1457.92</v>
      </c>
      <c r="E807" s="1">
        <v>0</v>
      </c>
      <c r="F807" s="1">
        <v>0</v>
      </c>
      <c r="G807" s="1">
        <v>0</v>
      </c>
      <c r="H807" s="1">
        <v>8747.5</v>
      </c>
      <c r="I807" s="1">
        <v>-8747.5</v>
      </c>
    </row>
    <row r="808" spans="1:9" hidden="1" x14ac:dyDescent="0.25">
      <c r="A808" s="1" t="s">
        <v>9</v>
      </c>
      <c r="B808" s="1" t="s">
        <v>161</v>
      </c>
      <c r="C808" s="1" t="s">
        <v>143</v>
      </c>
      <c r="D808" s="1">
        <v>1239.81</v>
      </c>
      <c r="E808" s="1">
        <v>0</v>
      </c>
      <c r="F808" s="1">
        <v>0</v>
      </c>
      <c r="G808" s="1">
        <v>0</v>
      </c>
      <c r="H808" s="1">
        <v>7438.8770000000004</v>
      </c>
      <c r="I808" s="1">
        <v>-7438.8770000000004</v>
      </c>
    </row>
    <row r="809" spans="1:9" hidden="1" x14ac:dyDescent="0.25">
      <c r="A809" s="1" t="s">
        <v>9</v>
      </c>
      <c r="B809" s="1" t="s">
        <v>161</v>
      </c>
      <c r="C809" s="1" t="s">
        <v>3</v>
      </c>
      <c r="D809" s="1">
        <v>1267.8399999999999</v>
      </c>
      <c r="E809" s="1">
        <v>0</v>
      </c>
      <c r="F809" s="1">
        <v>0</v>
      </c>
      <c r="G809" s="1">
        <v>0</v>
      </c>
      <c r="H809" s="1">
        <v>7607.02</v>
      </c>
      <c r="I809" s="1">
        <v>-7607.02</v>
      </c>
    </row>
    <row r="810" spans="1:9" hidden="1" x14ac:dyDescent="0.25">
      <c r="A810" s="1" t="s">
        <v>9</v>
      </c>
      <c r="B810" s="1" t="s">
        <v>162</v>
      </c>
      <c r="C810" s="1" t="s">
        <v>143</v>
      </c>
      <c r="D810" s="1">
        <v>1283.07</v>
      </c>
      <c r="E810" s="1">
        <v>-256.13</v>
      </c>
      <c r="F810" s="1">
        <v>0</v>
      </c>
      <c r="G810" s="1">
        <v>1690.4690000000001</v>
      </c>
      <c r="H810" s="1">
        <v>7698.3950000000004</v>
      </c>
      <c r="I810" s="1">
        <v>-9230.1849999999995</v>
      </c>
    </row>
    <row r="811" spans="1:9" hidden="1" x14ac:dyDescent="0.25">
      <c r="A811" s="1" t="s">
        <v>9</v>
      </c>
      <c r="B811" s="1" t="s">
        <v>162</v>
      </c>
      <c r="C811" s="1" t="s">
        <v>3</v>
      </c>
      <c r="D811" s="1">
        <v>1312.14</v>
      </c>
      <c r="E811" s="1">
        <v>-256.13</v>
      </c>
      <c r="F811" s="1">
        <v>0</v>
      </c>
      <c r="G811" s="1">
        <v>1690.4690000000001</v>
      </c>
      <c r="H811" s="1">
        <v>7872.8440000000001</v>
      </c>
      <c r="I811" s="1">
        <v>-10189.349</v>
      </c>
    </row>
    <row r="812" spans="1:9" hidden="1" x14ac:dyDescent="0.25">
      <c r="A812" s="1" t="s">
        <v>9</v>
      </c>
      <c r="B812" s="1" t="s">
        <v>163</v>
      </c>
      <c r="C812" s="1" t="s">
        <v>143</v>
      </c>
      <c r="D812" s="1">
        <v>1283.07</v>
      </c>
      <c r="E812" s="1">
        <v>-256.13</v>
      </c>
      <c r="F812" s="1">
        <v>0</v>
      </c>
      <c r="G812" s="1">
        <v>1383.1110000000001</v>
      </c>
      <c r="H812" s="1">
        <v>7698.3950000000004</v>
      </c>
      <c r="I812" s="1">
        <v>-9230.1849999999995</v>
      </c>
    </row>
    <row r="813" spans="1:9" hidden="1" x14ac:dyDescent="0.25">
      <c r="A813" s="1" t="s">
        <v>9</v>
      </c>
      <c r="B813" s="1" t="s">
        <v>163</v>
      </c>
      <c r="C813" s="1" t="s">
        <v>3</v>
      </c>
      <c r="D813" s="1">
        <v>1312.14</v>
      </c>
      <c r="E813" s="1">
        <v>-256.13</v>
      </c>
      <c r="F813" s="1">
        <v>0</v>
      </c>
      <c r="G813" s="1">
        <v>1383.1110000000001</v>
      </c>
      <c r="H813" s="1">
        <v>7872.8440000000001</v>
      </c>
      <c r="I813" s="1">
        <v>-10189.349</v>
      </c>
    </row>
    <row r="814" spans="1:9" hidden="1" x14ac:dyDescent="0.25">
      <c r="A814" s="1" t="s">
        <v>9</v>
      </c>
      <c r="B814" s="1" t="s">
        <v>164</v>
      </c>
      <c r="C814" s="1" t="s">
        <v>143</v>
      </c>
      <c r="D814" s="1">
        <v>1283.07</v>
      </c>
      <c r="E814" s="1">
        <v>256.13</v>
      </c>
      <c r="F814" s="1">
        <v>0</v>
      </c>
      <c r="G814" s="1">
        <v>-1690.4690000000001</v>
      </c>
      <c r="H814" s="1">
        <v>7698.3950000000004</v>
      </c>
      <c r="I814" s="1">
        <v>-6166.6040000000003</v>
      </c>
    </row>
    <row r="815" spans="1:9" hidden="1" x14ac:dyDescent="0.25">
      <c r="A815" s="1" t="s">
        <v>9</v>
      </c>
      <c r="B815" s="1" t="s">
        <v>164</v>
      </c>
      <c r="C815" s="1" t="s">
        <v>3</v>
      </c>
      <c r="D815" s="1">
        <v>1312.14</v>
      </c>
      <c r="E815" s="1">
        <v>256.13</v>
      </c>
      <c r="F815" s="1">
        <v>0</v>
      </c>
      <c r="G815" s="1">
        <v>-1690.4690000000001</v>
      </c>
      <c r="H815" s="1">
        <v>7872.8440000000001</v>
      </c>
      <c r="I815" s="1">
        <v>-5556.3379999999997</v>
      </c>
    </row>
    <row r="816" spans="1:9" hidden="1" x14ac:dyDescent="0.25">
      <c r="A816" s="1" t="s">
        <v>9</v>
      </c>
      <c r="B816" s="1" t="s">
        <v>165</v>
      </c>
      <c r="C816" s="1" t="s">
        <v>143</v>
      </c>
      <c r="D816" s="1">
        <v>1283.07</v>
      </c>
      <c r="E816" s="1">
        <v>256.13</v>
      </c>
      <c r="F816" s="1">
        <v>0</v>
      </c>
      <c r="G816" s="1">
        <v>-1383.1110000000001</v>
      </c>
      <c r="H816" s="1">
        <v>7698.3950000000004</v>
      </c>
      <c r="I816" s="1">
        <v>-6166.6040000000003</v>
      </c>
    </row>
    <row r="817" spans="1:9" hidden="1" x14ac:dyDescent="0.25">
      <c r="A817" s="1" t="s">
        <v>9</v>
      </c>
      <c r="B817" s="1" t="s">
        <v>165</v>
      </c>
      <c r="C817" s="1" t="s">
        <v>3</v>
      </c>
      <c r="D817" s="1">
        <v>1312.14</v>
      </c>
      <c r="E817" s="1">
        <v>256.13</v>
      </c>
      <c r="F817" s="1">
        <v>0</v>
      </c>
      <c r="G817" s="1">
        <v>-1383.1110000000001</v>
      </c>
      <c r="H817" s="1">
        <v>7872.8440000000001</v>
      </c>
      <c r="I817" s="1">
        <v>-5556.3379999999997</v>
      </c>
    </row>
    <row r="818" spans="1:9" hidden="1" x14ac:dyDescent="0.25">
      <c r="A818" s="1" t="s">
        <v>9</v>
      </c>
      <c r="B818" s="1" t="s">
        <v>166</v>
      </c>
      <c r="C818" s="1" t="s">
        <v>143</v>
      </c>
      <c r="D818" s="1">
        <v>1283.07</v>
      </c>
      <c r="E818" s="1">
        <v>0</v>
      </c>
      <c r="F818" s="1">
        <v>-256.13</v>
      </c>
      <c r="G818" s="1">
        <v>-1690.4690000000001</v>
      </c>
      <c r="H818" s="1">
        <v>9230.1849999999995</v>
      </c>
      <c r="I818" s="1">
        <v>-7698.3950000000004</v>
      </c>
    </row>
    <row r="819" spans="1:9" hidden="1" x14ac:dyDescent="0.25">
      <c r="A819" s="1" t="s">
        <v>9</v>
      </c>
      <c r="B819" s="1" t="s">
        <v>166</v>
      </c>
      <c r="C819" s="1" t="s">
        <v>3</v>
      </c>
      <c r="D819" s="1">
        <v>1312.14</v>
      </c>
      <c r="E819" s="1">
        <v>0</v>
      </c>
      <c r="F819" s="1">
        <v>-256.13</v>
      </c>
      <c r="G819" s="1">
        <v>-1690.4690000000001</v>
      </c>
      <c r="H819" s="1">
        <v>10189.349</v>
      </c>
      <c r="I819" s="1">
        <v>-7872.8440000000001</v>
      </c>
    </row>
    <row r="820" spans="1:9" hidden="1" x14ac:dyDescent="0.25">
      <c r="A820" s="1" t="s">
        <v>9</v>
      </c>
      <c r="B820" s="1" t="s">
        <v>167</v>
      </c>
      <c r="C820" s="1" t="s">
        <v>143</v>
      </c>
      <c r="D820" s="1">
        <v>1283.07</v>
      </c>
      <c r="E820" s="1">
        <v>0</v>
      </c>
      <c r="F820" s="1">
        <v>-256.13</v>
      </c>
      <c r="G820" s="1">
        <v>-1383.1110000000001</v>
      </c>
      <c r="H820" s="1">
        <v>9230.1849999999995</v>
      </c>
      <c r="I820" s="1">
        <v>-7698.3950000000004</v>
      </c>
    </row>
    <row r="821" spans="1:9" hidden="1" x14ac:dyDescent="0.25">
      <c r="A821" s="1" t="s">
        <v>9</v>
      </c>
      <c r="B821" s="1" t="s">
        <v>167</v>
      </c>
      <c r="C821" s="1" t="s">
        <v>3</v>
      </c>
      <c r="D821" s="1">
        <v>1312.14</v>
      </c>
      <c r="E821" s="1">
        <v>0</v>
      </c>
      <c r="F821" s="1">
        <v>-256.13</v>
      </c>
      <c r="G821" s="1">
        <v>-1383.1110000000001</v>
      </c>
      <c r="H821" s="1">
        <v>10189.349</v>
      </c>
      <c r="I821" s="1">
        <v>-7872.8440000000001</v>
      </c>
    </row>
    <row r="822" spans="1:9" hidden="1" x14ac:dyDescent="0.25">
      <c r="A822" s="1" t="s">
        <v>9</v>
      </c>
      <c r="B822" s="1" t="s">
        <v>168</v>
      </c>
      <c r="C822" s="1" t="s">
        <v>143</v>
      </c>
      <c r="D822" s="1">
        <v>1283.07</v>
      </c>
      <c r="E822" s="1">
        <v>0</v>
      </c>
      <c r="F822" s="1">
        <v>256.13</v>
      </c>
      <c r="G822" s="1">
        <v>1690.4690000000001</v>
      </c>
      <c r="H822" s="1">
        <v>6166.6040000000003</v>
      </c>
      <c r="I822" s="1">
        <v>-7698.3950000000004</v>
      </c>
    </row>
    <row r="823" spans="1:9" hidden="1" x14ac:dyDescent="0.25">
      <c r="A823" s="1" t="s">
        <v>9</v>
      </c>
      <c r="B823" s="1" t="s">
        <v>168</v>
      </c>
      <c r="C823" s="1" t="s">
        <v>3</v>
      </c>
      <c r="D823" s="1">
        <v>1312.14</v>
      </c>
      <c r="E823" s="1">
        <v>0</v>
      </c>
      <c r="F823" s="1">
        <v>256.13</v>
      </c>
      <c r="G823" s="1">
        <v>1690.4690000000001</v>
      </c>
      <c r="H823" s="1">
        <v>5556.3379999999997</v>
      </c>
      <c r="I823" s="1">
        <v>-7872.8440000000001</v>
      </c>
    </row>
    <row r="824" spans="1:9" hidden="1" x14ac:dyDescent="0.25">
      <c r="A824" s="1" t="s">
        <v>9</v>
      </c>
      <c r="B824" s="1" t="s">
        <v>169</v>
      </c>
      <c r="C824" s="1" t="s">
        <v>143</v>
      </c>
      <c r="D824" s="1">
        <v>1283.07</v>
      </c>
      <c r="E824" s="1">
        <v>0</v>
      </c>
      <c r="F824" s="1">
        <v>256.13</v>
      </c>
      <c r="G824" s="1">
        <v>1383.1110000000001</v>
      </c>
      <c r="H824" s="1">
        <v>6166.6040000000003</v>
      </c>
      <c r="I824" s="1">
        <v>-7698.3950000000004</v>
      </c>
    </row>
    <row r="825" spans="1:9" hidden="1" x14ac:dyDescent="0.25">
      <c r="A825" s="1" t="s">
        <v>9</v>
      </c>
      <c r="B825" s="1" t="s">
        <v>169</v>
      </c>
      <c r="C825" s="1" t="s">
        <v>3</v>
      </c>
      <c r="D825" s="1">
        <v>1312.14</v>
      </c>
      <c r="E825" s="1">
        <v>0</v>
      </c>
      <c r="F825" s="1">
        <v>256.13</v>
      </c>
      <c r="G825" s="1">
        <v>1383.1110000000001</v>
      </c>
      <c r="H825" s="1">
        <v>5556.3379999999997</v>
      </c>
      <c r="I825" s="1">
        <v>-7872.8440000000001</v>
      </c>
    </row>
    <row r="826" spans="1:9" hidden="1" x14ac:dyDescent="0.25">
      <c r="A826" s="1" t="s">
        <v>9</v>
      </c>
      <c r="B826" s="1" t="s">
        <v>170</v>
      </c>
      <c r="C826" s="1" t="s">
        <v>143</v>
      </c>
      <c r="D826" s="1">
        <v>1196.56</v>
      </c>
      <c r="E826" s="1">
        <v>-256.13</v>
      </c>
      <c r="F826" s="1">
        <v>0</v>
      </c>
      <c r="G826" s="1">
        <v>1690.4690000000001</v>
      </c>
      <c r="H826" s="1">
        <v>7179.3590000000004</v>
      </c>
      <c r="I826" s="1">
        <v>-8711.1489999999994</v>
      </c>
    </row>
    <row r="827" spans="1:9" hidden="1" x14ac:dyDescent="0.25">
      <c r="A827" s="1" t="s">
        <v>9</v>
      </c>
      <c r="B827" s="1" t="s">
        <v>170</v>
      </c>
      <c r="C827" s="1" t="s">
        <v>3</v>
      </c>
      <c r="D827" s="1">
        <v>1223.53</v>
      </c>
      <c r="E827" s="1">
        <v>-256.13</v>
      </c>
      <c r="F827" s="1">
        <v>0</v>
      </c>
      <c r="G827" s="1">
        <v>1690.4690000000001</v>
      </c>
      <c r="H827" s="1">
        <v>7341.1970000000001</v>
      </c>
      <c r="I827" s="1">
        <v>-9657.7029999999995</v>
      </c>
    </row>
    <row r="828" spans="1:9" hidden="1" x14ac:dyDescent="0.25">
      <c r="A828" s="1" t="s">
        <v>9</v>
      </c>
      <c r="B828" s="1" t="s">
        <v>171</v>
      </c>
      <c r="C828" s="1" t="s">
        <v>143</v>
      </c>
      <c r="D828" s="1">
        <v>1196.56</v>
      </c>
      <c r="E828" s="1">
        <v>-256.13</v>
      </c>
      <c r="F828" s="1">
        <v>0</v>
      </c>
      <c r="G828" s="1">
        <v>1383.1110000000001</v>
      </c>
      <c r="H828" s="1">
        <v>7179.3590000000004</v>
      </c>
      <c r="I828" s="1">
        <v>-8711.1489999999994</v>
      </c>
    </row>
    <row r="829" spans="1:9" hidden="1" x14ac:dyDescent="0.25">
      <c r="A829" s="1" t="s">
        <v>9</v>
      </c>
      <c r="B829" s="1" t="s">
        <v>171</v>
      </c>
      <c r="C829" s="1" t="s">
        <v>3</v>
      </c>
      <c r="D829" s="1">
        <v>1223.53</v>
      </c>
      <c r="E829" s="1">
        <v>-256.13</v>
      </c>
      <c r="F829" s="1">
        <v>0</v>
      </c>
      <c r="G829" s="1">
        <v>1383.1110000000001</v>
      </c>
      <c r="H829" s="1">
        <v>7341.1970000000001</v>
      </c>
      <c r="I829" s="1">
        <v>-9657.7029999999995</v>
      </c>
    </row>
    <row r="830" spans="1:9" hidden="1" x14ac:dyDescent="0.25">
      <c r="A830" s="1" t="s">
        <v>9</v>
      </c>
      <c r="B830" s="1" t="s">
        <v>172</v>
      </c>
      <c r="C830" s="1" t="s">
        <v>143</v>
      </c>
      <c r="D830" s="1">
        <v>1196.56</v>
      </c>
      <c r="E830" s="1">
        <v>256.13</v>
      </c>
      <c r="F830" s="1">
        <v>0</v>
      </c>
      <c r="G830" s="1">
        <v>-1690.4690000000001</v>
      </c>
      <c r="H830" s="1">
        <v>7179.3590000000004</v>
      </c>
      <c r="I830" s="1">
        <v>-5647.5680000000002</v>
      </c>
    </row>
    <row r="831" spans="1:9" hidden="1" x14ac:dyDescent="0.25">
      <c r="A831" s="1" t="s">
        <v>9</v>
      </c>
      <c r="B831" s="1" t="s">
        <v>172</v>
      </c>
      <c r="C831" s="1" t="s">
        <v>3</v>
      </c>
      <c r="D831" s="1">
        <v>1223.53</v>
      </c>
      <c r="E831" s="1">
        <v>256.13</v>
      </c>
      <c r="F831" s="1">
        <v>0</v>
      </c>
      <c r="G831" s="1">
        <v>-1690.4690000000001</v>
      </c>
      <c r="H831" s="1">
        <v>7341.1970000000001</v>
      </c>
      <c r="I831" s="1">
        <v>-5024.6909999999998</v>
      </c>
    </row>
    <row r="832" spans="1:9" hidden="1" x14ac:dyDescent="0.25">
      <c r="A832" s="1" t="s">
        <v>9</v>
      </c>
      <c r="B832" s="1" t="s">
        <v>173</v>
      </c>
      <c r="C832" s="1" t="s">
        <v>143</v>
      </c>
      <c r="D832" s="1">
        <v>1196.56</v>
      </c>
      <c r="E832" s="1">
        <v>256.13</v>
      </c>
      <c r="F832" s="1">
        <v>0</v>
      </c>
      <c r="G832" s="1">
        <v>-1383.1110000000001</v>
      </c>
      <c r="H832" s="1">
        <v>7179.3590000000004</v>
      </c>
      <c r="I832" s="1">
        <v>-5647.5680000000002</v>
      </c>
    </row>
    <row r="833" spans="1:9" hidden="1" x14ac:dyDescent="0.25">
      <c r="A833" s="1" t="s">
        <v>9</v>
      </c>
      <c r="B833" s="1" t="s">
        <v>173</v>
      </c>
      <c r="C833" s="1" t="s">
        <v>3</v>
      </c>
      <c r="D833" s="1">
        <v>1223.53</v>
      </c>
      <c r="E833" s="1">
        <v>256.13</v>
      </c>
      <c r="F833" s="1">
        <v>0</v>
      </c>
      <c r="G833" s="1">
        <v>-1383.1110000000001</v>
      </c>
      <c r="H833" s="1">
        <v>7341.1970000000001</v>
      </c>
      <c r="I833" s="1">
        <v>-5024.6909999999998</v>
      </c>
    </row>
    <row r="834" spans="1:9" hidden="1" x14ac:dyDescent="0.25">
      <c r="A834" s="1" t="s">
        <v>9</v>
      </c>
      <c r="B834" s="1" t="s">
        <v>174</v>
      </c>
      <c r="C834" s="1" t="s">
        <v>143</v>
      </c>
      <c r="D834" s="1">
        <v>1196.56</v>
      </c>
      <c r="E834" s="1">
        <v>0</v>
      </c>
      <c r="F834" s="1">
        <v>-256.13</v>
      </c>
      <c r="G834" s="1">
        <v>-1690.4690000000001</v>
      </c>
      <c r="H834" s="1">
        <v>8711.1489999999994</v>
      </c>
      <c r="I834" s="1">
        <v>-7179.3590000000004</v>
      </c>
    </row>
    <row r="835" spans="1:9" hidden="1" x14ac:dyDescent="0.25">
      <c r="A835" s="1" t="s">
        <v>9</v>
      </c>
      <c r="B835" s="1" t="s">
        <v>174</v>
      </c>
      <c r="C835" s="1" t="s">
        <v>3</v>
      </c>
      <c r="D835" s="1">
        <v>1223.53</v>
      </c>
      <c r="E835" s="1">
        <v>0</v>
      </c>
      <c r="F835" s="1">
        <v>-256.13</v>
      </c>
      <c r="G835" s="1">
        <v>-1690.4690000000001</v>
      </c>
      <c r="H835" s="1">
        <v>9657.7029999999995</v>
      </c>
      <c r="I835" s="1">
        <v>-7341.1970000000001</v>
      </c>
    </row>
    <row r="836" spans="1:9" hidden="1" x14ac:dyDescent="0.25">
      <c r="A836" s="1" t="s">
        <v>9</v>
      </c>
      <c r="B836" s="1" t="s">
        <v>175</v>
      </c>
      <c r="C836" s="1" t="s">
        <v>143</v>
      </c>
      <c r="D836" s="1">
        <v>1196.56</v>
      </c>
      <c r="E836" s="1">
        <v>0</v>
      </c>
      <c r="F836" s="1">
        <v>-256.13</v>
      </c>
      <c r="G836" s="1">
        <v>-1383.1110000000001</v>
      </c>
      <c r="H836" s="1">
        <v>8711.1489999999994</v>
      </c>
      <c r="I836" s="1">
        <v>-7179.3590000000004</v>
      </c>
    </row>
    <row r="837" spans="1:9" hidden="1" x14ac:dyDescent="0.25">
      <c r="A837" s="1" t="s">
        <v>9</v>
      </c>
      <c r="B837" s="1" t="s">
        <v>175</v>
      </c>
      <c r="C837" s="1" t="s">
        <v>3</v>
      </c>
      <c r="D837" s="1">
        <v>1223.53</v>
      </c>
      <c r="E837" s="1">
        <v>0</v>
      </c>
      <c r="F837" s="1">
        <v>-256.13</v>
      </c>
      <c r="G837" s="1">
        <v>-1383.1110000000001</v>
      </c>
      <c r="H837" s="1">
        <v>9657.7029999999995</v>
      </c>
      <c r="I837" s="1">
        <v>-7341.1970000000001</v>
      </c>
    </row>
    <row r="838" spans="1:9" hidden="1" x14ac:dyDescent="0.25">
      <c r="A838" s="1" t="s">
        <v>9</v>
      </c>
      <c r="B838" s="1" t="s">
        <v>176</v>
      </c>
      <c r="C838" s="1" t="s">
        <v>143</v>
      </c>
      <c r="D838" s="1">
        <v>1196.56</v>
      </c>
      <c r="E838" s="1">
        <v>0</v>
      </c>
      <c r="F838" s="1">
        <v>256.13</v>
      </c>
      <c r="G838" s="1">
        <v>1690.4690000000001</v>
      </c>
      <c r="H838" s="1">
        <v>5647.5680000000002</v>
      </c>
      <c r="I838" s="1">
        <v>-7179.3590000000004</v>
      </c>
    </row>
    <row r="839" spans="1:9" hidden="1" x14ac:dyDescent="0.25">
      <c r="A839" s="1" t="s">
        <v>9</v>
      </c>
      <c r="B839" s="1" t="s">
        <v>176</v>
      </c>
      <c r="C839" s="1" t="s">
        <v>3</v>
      </c>
      <c r="D839" s="1">
        <v>1223.53</v>
      </c>
      <c r="E839" s="1">
        <v>0</v>
      </c>
      <c r="F839" s="1">
        <v>256.13</v>
      </c>
      <c r="G839" s="1">
        <v>1690.4690000000001</v>
      </c>
      <c r="H839" s="1">
        <v>5024.6909999999998</v>
      </c>
      <c r="I839" s="1">
        <v>-7341.1970000000001</v>
      </c>
    </row>
    <row r="840" spans="1:9" hidden="1" x14ac:dyDescent="0.25">
      <c r="A840" s="1" t="s">
        <v>9</v>
      </c>
      <c r="B840" s="1" t="s">
        <v>177</v>
      </c>
      <c r="C840" s="1" t="s">
        <v>143</v>
      </c>
      <c r="D840" s="1">
        <v>1196.56</v>
      </c>
      <c r="E840" s="1">
        <v>0</v>
      </c>
      <c r="F840" s="1">
        <v>256.13</v>
      </c>
      <c r="G840" s="1">
        <v>1383.1110000000001</v>
      </c>
      <c r="H840" s="1">
        <v>5647.5680000000002</v>
      </c>
      <c r="I840" s="1">
        <v>-7179.3590000000004</v>
      </c>
    </row>
    <row r="841" spans="1:9" hidden="1" x14ac:dyDescent="0.25">
      <c r="A841" s="1" t="s">
        <v>9</v>
      </c>
      <c r="B841" s="1" t="s">
        <v>177</v>
      </c>
      <c r="C841" s="1" t="s">
        <v>3</v>
      </c>
      <c r="D841" s="1">
        <v>1223.53</v>
      </c>
      <c r="E841" s="1">
        <v>0</v>
      </c>
      <c r="F841" s="1">
        <v>256.13</v>
      </c>
      <c r="G841" s="1">
        <v>1383.1110000000001</v>
      </c>
      <c r="H841" s="1">
        <v>5024.6909999999998</v>
      </c>
      <c r="I841" s="1">
        <v>-7341.1970000000001</v>
      </c>
    </row>
    <row r="842" spans="1:9" hidden="1" x14ac:dyDescent="0.25">
      <c r="A842" s="1" t="s">
        <v>9</v>
      </c>
      <c r="B842" s="1" t="s">
        <v>178</v>
      </c>
      <c r="C842" s="1" t="s">
        <v>143</v>
      </c>
      <c r="D842" s="1">
        <v>1383.99</v>
      </c>
      <c r="E842" s="1">
        <v>-76.84</v>
      </c>
      <c r="F842" s="1">
        <v>0</v>
      </c>
      <c r="G842" s="1">
        <v>507.14100000000002</v>
      </c>
      <c r="H842" s="1">
        <v>8303.9359999999997</v>
      </c>
      <c r="I842" s="1">
        <v>-8763.473</v>
      </c>
    </row>
    <row r="843" spans="1:9" hidden="1" x14ac:dyDescent="0.25">
      <c r="A843" s="1" t="s">
        <v>9</v>
      </c>
      <c r="B843" s="1" t="s">
        <v>178</v>
      </c>
      <c r="C843" s="1" t="s">
        <v>3</v>
      </c>
      <c r="D843" s="1">
        <v>1415.52</v>
      </c>
      <c r="E843" s="1">
        <v>-76.84</v>
      </c>
      <c r="F843" s="1">
        <v>0</v>
      </c>
      <c r="G843" s="1">
        <v>507.14100000000002</v>
      </c>
      <c r="H843" s="1">
        <v>8493.098</v>
      </c>
      <c r="I843" s="1">
        <v>-9188.0499999999993</v>
      </c>
    </row>
    <row r="844" spans="1:9" hidden="1" x14ac:dyDescent="0.25">
      <c r="A844" s="1" t="s">
        <v>9</v>
      </c>
      <c r="B844" s="1" t="s">
        <v>179</v>
      </c>
      <c r="C844" s="1" t="s">
        <v>143</v>
      </c>
      <c r="D844" s="1">
        <v>1383.99</v>
      </c>
      <c r="E844" s="1">
        <v>-76.84</v>
      </c>
      <c r="F844" s="1">
        <v>0</v>
      </c>
      <c r="G844" s="1">
        <v>414.93299999999999</v>
      </c>
      <c r="H844" s="1">
        <v>8303.9359999999997</v>
      </c>
      <c r="I844" s="1">
        <v>-8763.473</v>
      </c>
    </row>
    <row r="845" spans="1:9" hidden="1" x14ac:dyDescent="0.25">
      <c r="A845" s="1" t="s">
        <v>9</v>
      </c>
      <c r="B845" s="1" t="s">
        <v>179</v>
      </c>
      <c r="C845" s="1" t="s">
        <v>3</v>
      </c>
      <c r="D845" s="1">
        <v>1415.52</v>
      </c>
      <c r="E845" s="1">
        <v>-76.84</v>
      </c>
      <c r="F845" s="1">
        <v>0</v>
      </c>
      <c r="G845" s="1">
        <v>414.93299999999999</v>
      </c>
      <c r="H845" s="1">
        <v>8493.098</v>
      </c>
      <c r="I845" s="1">
        <v>-9188.0499999999993</v>
      </c>
    </row>
    <row r="846" spans="1:9" hidden="1" x14ac:dyDescent="0.25">
      <c r="A846" s="1" t="s">
        <v>9</v>
      </c>
      <c r="B846" s="1" t="s">
        <v>180</v>
      </c>
      <c r="C846" s="1" t="s">
        <v>143</v>
      </c>
      <c r="D846" s="1">
        <v>1383.99</v>
      </c>
      <c r="E846" s="1">
        <v>76.84</v>
      </c>
      <c r="F846" s="1">
        <v>0</v>
      </c>
      <c r="G846" s="1">
        <v>-507.14100000000002</v>
      </c>
      <c r="H846" s="1">
        <v>8303.9359999999997</v>
      </c>
      <c r="I846" s="1">
        <v>-7844.3990000000003</v>
      </c>
    </row>
    <row r="847" spans="1:9" hidden="1" x14ac:dyDescent="0.25">
      <c r="A847" s="1" t="s">
        <v>9</v>
      </c>
      <c r="B847" s="1" t="s">
        <v>180</v>
      </c>
      <c r="C847" s="1" t="s">
        <v>3</v>
      </c>
      <c r="D847" s="1">
        <v>1415.52</v>
      </c>
      <c r="E847" s="1">
        <v>76.84</v>
      </c>
      <c r="F847" s="1">
        <v>0</v>
      </c>
      <c r="G847" s="1">
        <v>-507.14100000000002</v>
      </c>
      <c r="H847" s="1">
        <v>8493.098</v>
      </c>
      <c r="I847" s="1">
        <v>-7798.1459999999997</v>
      </c>
    </row>
    <row r="848" spans="1:9" hidden="1" x14ac:dyDescent="0.25">
      <c r="A848" s="1" t="s">
        <v>9</v>
      </c>
      <c r="B848" s="1" t="s">
        <v>181</v>
      </c>
      <c r="C848" s="1" t="s">
        <v>143</v>
      </c>
      <c r="D848" s="1">
        <v>1383.99</v>
      </c>
      <c r="E848" s="1">
        <v>76.84</v>
      </c>
      <c r="F848" s="1">
        <v>0</v>
      </c>
      <c r="G848" s="1">
        <v>-414.93299999999999</v>
      </c>
      <c r="H848" s="1">
        <v>8303.9359999999997</v>
      </c>
      <c r="I848" s="1">
        <v>-7844.3990000000003</v>
      </c>
    </row>
    <row r="849" spans="1:9" hidden="1" x14ac:dyDescent="0.25">
      <c r="A849" s="1" t="s">
        <v>9</v>
      </c>
      <c r="B849" s="1" t="s">
        <v>181</v>
      </c>
      <c r="C849" s="1" t="s">
        <v>3</v>
      </c>
      <c r="D849" s="1">
        <v>1415.52</v>
      </c>
      <c r="E849" s="1">
        <v>76.84</v>
      </c>
      <c r="F849" s="1">
        <v>0</v>
      </c>
      <c r="G849" s="1">
        <v>-414.93299999999999</v>
      </c>
      <c r="H849" s="1">
        <v>8493.098</v>
      </c>
      <c r="I849" s="1">
        <v>-7798.1459999999997</v>
      </c>
    </row>
    <row r="850" spans="1:9" hidden="1" x14ac:dyDescent="0.25">
      <c r="A850" s="1" t="s">
        <v>9</v>
      </c>
      <c r="B850" s="1" t="s">
        <v>182</v>
      </c>
      <c r="C850" s="1" t="s">
        <v>143</v>
      </c>
      <c r="D850" s="1">
        <v>1383.99</v>
      </c>
      <c r="E850" s="1">
        <v>0</v>
      </c>
      <c r="F850" s="1">
        <v>-76.84</v>
      </c>
      <c r="G850" s="1">
        <v>-507.14100000000002</v>
      </c>
      <c r="H850" s="1">
        <v>8763.473</v>
      </c>
      <c r="I850" s="1">
        <v>-8303.9359999999997</v>
      </c>
    </row>
    <row r="851" spans="1:9" hidden="1" x14ac:dyDescent="0.25">
      <c r="A851" s="1" t="s">
        <v>9</v>
      </c>
      <c r="B851" s="1" t="s">
        <v>182</v>
      </c>
      <c r="C851" s="1" t="s">
        <v>3</v>
      </c>
      <c r="D851" s="1">
        <v>1415.52</v>
      </c>
      <c r="E851" s="1">
        <v>0</v>
      </c>
      <c r="F851" s="1">
        <v>-76.84</v>
      </c>
      <c r="G851" s="1">
        <v>-507.14100000000002</v>
      </c>
      <c r="H851" s="1">
        <v>9188.0499999999993</v>
      </c>
      <c r="I851" s="1">
        <v>-8493.098</v>
      </c>
    </row>
    <row r="852" spans="1:9" hidden="1" x14ac:dyDescent="0.25">
      <c r="A852" s="1" t="s">
        <v>9</v>
      </c>
      <c r="B852" s="1" t="s">
        <v>183</v>
      </c>
      <c r="C852" s="1" t="s">
        <v>143</v>
      </c>
      <c r="D852" s="1">
        <v>1383.99</v>
      </c>
      <c r="E852" s="1">
        <v>0</v>
      </c>
      <c r="F852" s="1">
        <v>-76.84</v>
      </c>
      <c r="G852" s="1">
        <v>-414.93299999999999</v>
      </c>
      <c r="H852" s="1">
        <v>8763.473</v>
      </c>
      <c r="I852" s="1">
        <v>-8303.9359999999997</v>
      </c>
    </row>
    <row r="853" spans="1:9" hidden="1" x14ac:dyDescent="0.25">
      <c r="A853" s="1" t="s">
        <v>9</v>
      </c>
      <c r="B853" s="1" t="s">
        <v>183</v>
      </c>
      <c r="C853" s="1" t="s">
        <v>3</v>
      </c>
      <c r="D853" s="1">
        <v>1415.52</v>
      </c>
      <c r="E853" s="1">
        <v>0</v>
      </c>
      <c r="F853" s="1">
        <v>-76.84</v>
      </c>
      <c r="G853" s="1">
        <v>-414.93299999999999</v>
      </c>
      <c r="H853" s="1">
        <v>9188.0499999999993</v>
      </c>
      <c r="I853" s="1">
        <v>-8493.098</v>
      </c>
    </row>
    <row r="854" spans="1:9" hidden="1" x14ac:dyDescent="0.25">
      <c r="A854" s="1" t="s">
        <v>9</v>
      </c>
      <c r="B854" s="1" t="s">
        <v>184</v>
      </c>
      <c r="C854" s="1" t="s">
        <v>143</v>
      </c>
      <c r="D854" s="1">
        <v>1383.99</v>
      </c>
      <c r="E854" s="1">
        <v>0</v>
      </c>
      <c r="F854" s="1">
        <v>76.84</v>
      </c>
      <c r="G854" s="1">
        <v>507.14100000000002</v>
      </c>
      <c r="H854" s="1">
        <v>7844.3990000000003</v>
      </c>
      <c r="I854" s="1">
        <v>-8303.9359999999997</v>
      </c>
    </row>
    <row r="855" spans="1:9" hidden="1" x14ac:dyDescent="0.25">
      <c r="A855" s="1" t="s">
        <v>9</v>
      </c>
      <c r="B855" s="1" t="s">
        <v>184</v>
      </c>
      <c r="C855" s="1" t="s">
        <v>3</v>
      </c>
      <c r="D855" s="1">
        <v>1415.52</v>
      </c>
      <c r="E855" s="1">
        <v>0</v>
      </c>
      <c r="F855" s="1">
        <v>76.84</v>
      </c>
      <c r="G855" s="1">
        <v>507.14100000000002</v>
      </c>
      <c r="H855" s="1">
        <v>7798.1459999999997</v>
      </c>
      <c r="I855" s="1">
        <v>-8493.098</v>
      </c>
    </row>
    <row r="856" spans="1:9" hidden="1" x14ac:dyDescent="0.25">
      <c r="A856" s="1" t="s">
        <v>9</v>
      </c>
      <c r="B856" s="1" t="s">
        <v>185</v>
      </c>
      <c r="C856" s="1" t="s">
        <v>143</v>
      </c>
      <c r="D856" s="1">
        <v>1383.99</v>
      </c>
      <c r="E856" s="1">
        <v>0</v>
      </c>
      <c r="F856" s="1">
        <v>76.84</v>
      </c>
      <c r="G856" s="1">
        <v>414.93299999999999</v>
      </c>
      <c r="H856" s="1">
        <v>7844.3990000000003</v>
      </c>
      <c r="I856" s="1">
        <v>-8303.9359999999997</v>
      </c>
    </row>
    <row r="857" spans="1:9" hidden="1" x14ac:dyDescent="0.25">
      <c r="A857" s="1" t="s">
        <v>9</v>
      </c>
      <c r="B857" s="1" t="s">
        <v>185</v>
      </c>
      <c r="C857" s="1" t="s">
        <v>3</v>
      </c>
      <c r="D857" s="1">
        <v>1415.52</v>
      </c>
      <c r="E857" s="1">
        <v>0</v>
      </c>
      <c r="F857" s="1">
        <v>76.84</v>
      </c>
      <c r="G857" s="1">
        <v>414.93299999999999</v>
      </c>
      <c r="H857" s="1">
        <v>7798.1459999999997</v>
      </c>
      <c r="I857" s="1">
        <v>-8493.098</v>
      </c>
    </row>
    <row r="858" spans="1:9" hidden="1" x14ac:dyDescent="0.25">
      <c r="A858" s="1" t="s">
        <v>9</v>
      </c>
      <c r="B858" s="1" t="s">
        <v>186</v>
      </c>
      <c r="C858" s="1" t="s">
        <v>143</v>
      </c>
      <c r="D858" s="1">
        <v>1095.6400000000001</v>
      </c>
      <c r="E858" s="1">
        <v>-76.84</v>
      </c>
      <c r="F858" s="1">
        <v>0</v>
      </c>
      <c r="G858" s="1">
        <v>507.14100000000002</v>
      </c>
      <c r="H858" s="1">
        <v>6573.817</v>
      </c>
      <c r="I858" s="1">
        <v>-7033.3540000000003</v>
      </c>
    </row>
    <row r="859" spans="1:9" hidden="1" x14ac:dyDescent="0.25">
      <c r="A859" s="1" t="s">
        <v>9</v>
      </c>
      <c r="B859" s="1" t="s">
        <v>186</v>
      </c>
      <c r="C859" s="1" t="s">
        <v>3</v>
      </c>
      <c r="D859" s="1">
        <v>1120.1600000000001</v>
      </c>
      <c r="E859" s="1">
        <v>-76.84</v>
      </c>
      <c r="F859" s="1">
        <v>0</v>
      </c>
      <c r="G859" s="1">
        <v>507.14100000000002</v>
      </c>
      <c r="H859" s="1">
        <v>6720.9430000000002</v>
      </c>
      <c r="I859" s="1">
        <v>-7415.8940000000002</v>
      </c>
    </row>
    <row r="860" spans="1:9" hidden="1" x14ac:dyDescent="0.25">
      <c r="A860" s="1" t="s">
        <v>9</v>
      </c>
      <c r="B860" s="1" t="s">
        <v>187</v>
      </c>
      <c r="C860" s="1" t="s">
        <v>143</v>
      </c>
      <c r="D860" s="1">
        <v>1095.6400000000001</v>
      </c>
      <c r="E860" s="1">
        <v>-76.84</v>
      </c>
      <c r="F860" s="1">
        <v>0</v>
      </c>
      <c r="G860" s="1">
        <v>414.93299999999999</v>
      </c>
      <c r="H860" s="1">
        <v>6573.817</v>
      </c>
      <c r="I860" s="1">
        <v>-7033.3540000000003</v>
      </c>
    </row>
    <row r="861" spans="1:9" hidden="1" x14ac:dyDescent="0.25">
      <c r="A861" s="1" t="s">
        <v>9</v>
      </c>
      <c r="B861" s="1" t="s">
        <v>187</v>
      </c>
      <c r="C861" s="1" t="s">
        <v>3</v>
      </c>
      <c r="D861" s="1">
        <v>1120.1600000000001</v>
      </c>
      <c r="E861" s="1">
        <v>-76.84</v>
      </c>
      <c r="F861" s="1">
        <v>0</v>
      </c>
      <c r="G861" s="1">
        <v>414.93299999999999</v>
      </c>
      <c r="H861" s="1">
        <v>6720.9430000000002</v>
      </c>
      <c r="I861" s="1">
        <v>-7415.8940000000002</v>
      </c>
    </row>
    <row r="862" spans="1:9" hidden="1" x14ac:dyDescent="0.25">
      <c r="A862" s="1" t="s">
        <v>9</v>
      </c>
      <c r="B862" s="1" t="s">
        <v>188</v>
      </c>
      <c r="C862" s="1" t="s">
        <v>143</v>
      </c>
      <c r="D862" s="1">
        <v>1095.6400000000001</v>
      </c>
      <c r="E862" s="1">
        <v>76.84</v>
      </c>
      <c r="F862" s="1">
        <v>0</v>
      </c>
      <c r="G862" s="1">
        <v>-507.14100000000002</v>
      </c>
      <c r="H862" s="1">
        <v>6573.817</v>
      </c>
      <c r="I862" s="1">
        <v>-6114.28</v>
      </c>
    </row>
    <row r="863" spans="1:9" hidden="1" x14ac:dyDescent="0.25">
      <c r="A863" s="1" t="s">
        <v>9</v>
      </c>
      <c r="B863" s="1" t="s">
        <v>188</v>
      </c>
      <c r="C863" s="1" t="s">
        <v>3</v>
      </c>
      <c r="D863" s="1">
        <v>1120.1600000000001</v>
      </c>
      <c r="E863" s="1">
        <v>76.84</v>
      </c>
      <c r="F863" s="1">
        <v>0</v>
      </c>
      <c r="G863" s="1">
        <v>-507.14100000000002</v>
      </c>
      <c r="H863" s="1">
        <v>6720.9430000000002</v>
      </c>
      <c r="I863" s="1">
        <v>-6025.991</v>
      </c>
    </row>
    <row r="864" spans="1:9" hidden="1" x14ac:dyDescent="0.25">
      <c r="A864" s="1" t="s">
        <v>9</v>
      </c>
      <c r="B864" s="1" t="s">
        <v>189</v>
      </c>
      <c r="C864" s="1" t="s">
        <v>143</v>
      </c>
      <c r="D864" s="1">
        <v>1095.6400000000001</v>
      </c>
      <c r="E864" s="1">
        <v>76.84</v>
      </c>
      <c r="F864" s="1">
        <v>0</v>
      </c>
      <c r="G864" s="1">
        <v>-414.93299999999999</v>
      </c>
      <c r="H864" s="1">
        <v>6573.817</v>
      </c>
      <c r="I864" s="1">
        <v>-6114.28</v>
      </c>
    </row>
    <row r="865" spans="1:9" hidden="1" x14ac:dyDescent="0.25">
      <c r="A865" s="1" t="s">
        <v>9</v>
      </c>
      <c r="B865" s="1" t="s">
        <v>189</v>
      </c>
      <c r="C865" s="1" t="s">
        <v>3</v>
      </c>
      <c r="D865" s="1">
        <v>1120.1600000000001</v>
      </c>
      <c r="E865" s="1">
        <v>76.84</v>
      </c>
      <c r="F865" s="1">
        <v>0</v>
      </c>
      <c r="G865" s="1">
        <v>-414.93299999999999</v>
      </c>
      <c r="H865" s="1">
        <v>6720.9430000000002</v>
      </c>
      <c r="I865" s="1">
        <v>-6025.991</v>
      </c>
    </row>
    <row r="866" spans="1:9" hidden="1" x14ac:dyDescent="0.25">
      <c r="A866" s="1" t="s">
        <v>9</v>
      </c>
      <c r="B866" s="1" t="s">
        <v>190</v>
      </c>
      <c r="C866" s="1" t="s">
        <v>143</v>
      </c>
      <c r="D866" s="1">
        <v>1095.6400000000001</v>
      </c>
      <c r="E866" s="1">
        <v>0</v>
      </c>
      <c r="F866" s="1">
        <v>-76.84</v>
      </c>
      <c r="G866" s="1">
        <v>-507.14100000000002</v>
      </c>
      <c r="H866" s="1">
        <v>7033.3540000000003</v>
      </c>
      <c r="I866" s="1">
        <v>-6573.817</v>
      </c>
    </row>
    <row r="867" spans="1:9" hidden="1" x14ac:dyDescent="0.25">
      <c r="A867" s="1" t="s">
        <v>9</v>
      </c>
      <c r="B867" s="1" t="s">
        <v>190</v>
      </c>
      <c r="C867" s="1" t="s">
        <v>3</v>
      </c>
      <c r="D867" s="1">
        <v>1120.1600000000001</v>
      </c>
      <c r="E867" s="1">
        <v>0</v>
      </c>
      <c r="F867" s="1">
        <v>-76.84</v>
      </c>
      <c r="G867" s="1">
        <v>-507.14100000000002</v>
      </c>
      <c r="H867" s="1">
        <v>7415.8940000000002</v>
      </c>
      <c r="I867" s="1">
        <v>-6720.9430000000002</v>
      </c>
    </row>
    <row r="868" spans="1:9" hidden="1" x14ac:dyDescent="0.25">
      <c r="A868" s="1" t="s">
        <v>9</v>
      </c>
      <c r="B868" s="1" t="s">
        <v>191</v>
      </c>
      <c r="C868" s="1" t="s">
        <v>143</v>
      </c>
      <c r="D868" s="1">
        <v>1095.6400000000001</v>
      </c>
      <c r="E868" s="1">
        <v>0</v>
      </c>
      <c r="F868" s="1">
        <v>-76.84</v>
      </c>
      <c r="G868" s="1">
        <v>-414.93299999999999</v>
      </c>
      <c r="H868" s="1">
        <v>7033.3540000000003</v>
      </c>
      <c r="I868" s="1">
        <v>-6573.817</v>
      </c>
    </row>
    <row r="869" spans="1:9" hidden="1" x14ac:dyDescent="0.25">
      <c r="A869" s="1" t="s">
        <v>9</v>
      </c>
      <c r="B869" s="1" t="s">
        <v>191</v>
      </c>
      <c r="C869" s="1" t="s">
        <v>3</v>
      </c>
      <c r="D869" s="1">
        <v>1120.1600000000001</v>
      </c>
      <c r="E869" s="1">
        <v>0</v>
      </c>
      <c r="F869" s="1">
        <v>-76.84</v>
      </c>
      <c r="G869" s="1">
        <v>-414.93299999999999</v>
      </c>
      <c r="H869" s="1">
        <v>7415.8940000000002</v>
      </c>
      <c r="I869" s="1">
        <v>-6720.9430000000002</v>
      </c>
    </row>
    <row r="870" spans="1:9" hidden="1" x14ac:dyDescent="0.25">
      <c r="A870" s="1" t="s">
        <v>9</v>
      </c>
      <c r="B870" s="1" t="s">
        <v>192</v>
      </c>
      <c r="C870" s="1" t="s">
        <v>143</v>
      </c>
      <c r="D870" s="1">
        <v>1095.6400000000001</v>
      </c>
      <c r="E870" s="1">
        <v>0</v>
      </c>
      <c r="F870" s="1">
        <v>76.84</v>
      </c>
      <c r="G870" s="1">
        <v>507.14100000000002</v>
      </c>
      <c r="H870" s="1">
        <v>6114.28</v>
      </c>
      <c r="I870" s="1">
        <v>-6573.817</v>
      </c>
    </row>
    <row r="871" spans="1:9" hidden="1" x14ac:dyDescent="0.25">
      <c r="A871" s="1" t="s">
        <v>9</v>
      </c>
      <c r="B871" s="1" t="s">
        <v>192</v>
      </c>
      <c r="C871" s="1" t="s">
        <v>3</v>
      </c>
      <c r="D871" s="1">
        <v>1120.1600000000001</v>
      </c>
      <c r="E871" s="1">
        <v>0</v>
      </c>
      <c r="F871" s="1">
        <v>76.84</v>
      </c>
      <c r="G871" s="1">
        <v>507.14100000000002</v>
      </c>
      <c r="H871" s="1">
        <v>6025.991</v>
      </c>
      <c r="I871" s="1">
        <v>-6720.9430000000002</v>
      </c>
    </row>
    <row r="872" spans="1:9" hidden="1" x14ac:dyDescent="0.25">
      <c r="A872" s="1" t="s">
        <v>9</v>
      </c>
      <c r="B872" s="1" t="s">
        <v>193</v>
      </c>
      <c r="C872" s="1" t="s">
        <v>143</v>
      </c>
      <c r="D872" s="1">
        <v>1095.6400000000001</v>
      </c>
      <c r="E872" s="1">
        <v>0</v>
      </c>
      <c r="F872" s="1">
        <v>76.84</v>
      </c>
      <c r="G872" s="1">
        <v>414.93299999999999</v>
      </c>
      <c r="H872" s="1">
        <v>6114.28</v>
      </c>
      <c r="I872" s="1">
        <v>-6573.817</v>
      </c>
    </row>
    <row r="873" spans="1:9" hidden="1" x14ac:dyDescent="0.25">
      <c r="A873" s="1" t="s">
        <v>9</v>
      </c>
      <c r="B873" s="1" t="s">
        <v>193</v>
      </c>
      <c r="C873" s="1" t="s">
        <v>3</v>
      </c>
      <c r="D873" s="1">
        <v>1120.1600000000001</v>
      </c>
      <c r="E873" s="1">
        <v>0</v>
      </c>
      <c r="F873" s="1">
        <v>76.84</v>
      </c>
      <c r="G873" s="1">
        <v>414.93299999999999</v>
      </c>
      <c r="H873" s="1">
        <v>6025.991</v>
      </c>
      <c r="I873" s="1">
        <v>-6720.9430000000002</v>
      </c>
    </row>
    <row r="874" spans="1:9" hidden="1" x14ac:dyDescent="0.25">
      <c r="A874" s="1" t="s">
        <v>9</v>
      </c>
      <c r="B874" s="1" t="s">
        <v>194</v>
      </c>
      <c r="C874" s="1" t="s">
        <v>143</v>
      </c>
      <c r="D874" s="1">
        <v>908.31</v>
      </c>
      <c r="E874" s="1">
        <v>-256.13</v>
      </c>
      <c r="F874" s="1">
        <v>0</v>
      </c>
      <c r="G874" s="1">
        <v>1690.4690000000001</v>
      </c>
      <c r="H874" s="1">
        <v>5449.875</v>
      </c>
      <c r="I874" s="1">
        <v>-6981.6660000000002</v>
      </c>
    </row>
    <row r="875" spans="1:9" hidden="1" x14ac:dyDescent="0.25">
      <c r="A875" s="1" t="s">
        <v>9</v>
      </c>
      <c r="B875" s="1" t="s">
        <v>194</v>
      </c>
      <c r="C875" s="1" t="s">
        <v>3</v>
      </c>
      <c r="D875" s="1">
        <v>930.38</v>
      </c>
      <c r="E875" s="1">
        <v>-256.13</v>
      </c>
      <c r="F875" s="1">
        <v>0</v>
      </c>
      <c r="G875" s="1">
        <v>1690.4690000000001</v>
      </c>
      <c r="H875" s="1">
        <v>5582.2879999999996</v>
      </c>
      <c r="I875" s="1">
        <v>-7898.7939999999999</v>
      </c>
    </row>
    <row r="876" spans="1:9" hidden="1" x14ac:dyDescent="0.25">
      <c r="A876" s="1" t="s">
        <v>9</v>
      </c>
      <c r="B876" s="1" t="s">
        <v>195</v>
      </c>
      <c r="C876" s="1" t="s">
        <v>143</v>
      </c>
      <c r="D876" s="1">
        <v>908.31</v>
      </c>
      <c r="E876" s="1">
        <v>-256.13</v>
      </c>
      <c r="F876" s="1">
        <v>0</v>
      </c>
      <c r="G876" s="1">
        <v>1383.1110000000001</v>
      </c>
      <c r="H876" s="1">
        <v>5449.875</v>
      </c>
      <c r="I876" s="1">
        <v>-6981.6660000000002</v>
      </c>
    </row>
    <row r="877" spans="1:9" hidden="1" x14ac:dyDescent="0.25">
      <c r="A877" s="1" t="s">
        <v>9</v>
      </c>
      <c r="B877" s="1" t="s">
        <v>195</v>
      </c>
      <c r="C877" s="1" t="s">
        <v>3</v>
      </c>
      <c r="D877" s="1">
        <v>930.38</v>
      </c>
      <c r="E877" s="1">
        <v>-256.13</v>
      </c>
      <c r="F877" s="1">
        <v>0</v>
      </c>
      <c r="G877" s="1">
        <v>1383.1110000000001</v>
      </c>
      <c r="H877" s="1">
        <v>5582.2879999999996</v>
      </c>
      <c r="I877" s="1">
        <v>-7898.7939999999999</v>
      </c>
    </row>
    <row r="878" spans="1:9" hidden="1" x14ac:dyDescent="0.25">
      <c r="A878" s="1" t="s">
        <v>9</v>
      </c>
      <c r="B878" s="1" t="s">
        <v>196</v>
      </c>
      <c r="C878" s="1" t="s">
        <v>143</v>
      </c>
      <c r="D878" s="1">
        <v>908.31</v>
      </c>
      <c r="E878" s="1">
        <v>256.13</v>
      </c>
      <c r="F878" s="1">
        <v>0</v>
      </c>
      <c r="G878" s="1">
        <v>-1690.4690000000001</v>
      </c>
      <c r="H878" s="1">
        <v>5449.875</v>
      </c>
      <c r="I878" s="1">
        <v>-3918.085</v>
      </c>
    </row>
    <row r="879" spans="1:9" hidden="1" x14ac:dyDescent="0.25">
      <c r="A879" s="1" t="s">
        <v>9</v>
      </c>
      <c r="B879" s="1" t="s">
        <v>196</v>
      </c>
      <c r="C879" s="1" t="s">
        <v>3</v>
      </c>
      <c r="D879" s="1">
        <v>930.38</v>
      </c>
      <c r="E879" s="1">
        <v>256.13</v>
      </c>
      <c r="F879" s="1">
        <v>0</v>
      </c>
      <c r="G879" s="1">
        <v>-1690.4690000000001</v>
      </c>
      <c r="H879" s="1">
        <v>5582.2879999999996</v>
      </c>
      <c r="I879" s="1">
        <v>-3265.7829999999999</v>
      </c>
    </row>
    <row r="880" spans="1:9" hidden="1" x14ac:dyDescent="0.25">
      <c r="A880" s="1" t="s">
        <v>9</v>
      </c>
      <c r="B880" s="1" t="s">
        <v>197</v>
      </c>
      <c r="C880" s="1" t="s">
        <v>143</v>
      </c>
      <c r="D880" s="1">
        <v>908.31</v>
      </c>
      <c r="E880" s="1">
        <v>256.13</v>
      </c>
      <c r="F880" s="1">
        <v>0</v>
      </c>
      <c r="G880" s="1">
        <v>-1383.1110000000001</v>
      </c>
      <c r="H880" s="1">
        <v>5449.875</v>
      </c>
      <c r="I880" s="1">
        <v>-3918.085</v>
      </c>
    </row>
    <row r="881" spans="1:9" hidden="1" x14ac:dyDescent="0.25">
      <c r="A881" s="1" t="s">
        <v>9</v>
      </c>
      <c r="B881" s="1" t="s">
        <v>197</v>
      </c>
      <c r="C881" s="1" t="s">
        <v>3</v>
      </c>
      <c r="D881" s="1">
        <v>930.38</v>
      </c>
      <c r="E881" s="1">
        <v>256.13</v>
      </c>
      <c r="F881" s="1">
        <v>0</v>
      </c>
      <c r="G881" s="1">
        <v>-1383.1110000000001</v>
      </c>
      <c r="H881" s="1">
        <v>5582.2879999999996</v>
      </c>
      <c r="I881" s="1">
        <v>-3265.7829999999999</v>
      </c>
    </row>
    <row r="882" spans="1:9" hidden="1" x14ac:dyDescent="0.25">
      <c r="A882" s="1" t="s">
        <v>9</v>
      </c>
      <c r="B882" s="1" t="s">
        <v>198</v>
      </c>
      <c r="C882" s="1" t="s">
        <v>143</v>
      </c>
      <c r="D882" s="1">
        <v>908.31</v>
      </c>
      <c r="E882" s="1">
        <v>0</v>
      </c>
      <c r="F882" s="1">
        <v>-256.13</v>
      </c>
      <c r="G882" s="1">
        <v>-1690.4690000000001</v>
      </c>
      <c r="H882" s="1">
        <v>6981.6660000000002</v>
      </c>
      <c r="I882" s="1">
        <v>-5449.875</v>
      </c>
    </row>
    <row r="883" spans="1:9" hidden="1" x14ac:dyDescent="0.25">
      <c r="A883" s="1" t="s">
        <v>9</v>
      </c>
      <c r="B883" s="1" t="s">
        <v>198</v>
      </c>
      <c r="C883" s="1" t="s">
        <v>3</v>
      </c>
      <c r="D883" s="1">
        <v>930.38</v>
      </c>
      <c r="E883" s="1">
        <v>0</v>
      </c>
      <c r="F883" s="1">
        <v>-256.13</v>
      </c>
      <c r="G883" s="1">
        <v>-1690.4690000000001</v>
      </c>
      <c r="H883" s="1">
        <v>7898.7939999999999</v>
      </c>
      <c r="I883" s="1">
        <v>-5582.2879999999996</v>
      </c>
    </row>
    <row r="884" spans="1:9" hidden="1" x14ac:dyDescent="0.25">
      <c r="A884" s="1" t="s">
        <v>9</v>
      </c>
      <c r="B884" s="1" t="s">
        <v>199</v>
      </c>
      <c r="C884" s="1" t="s">
        <v>143</v>
      </c>
      <c r="D884" s="1">
        <v>908.31</v>
      </c>
      <c r="E884" s="1">
        <v>0</v>
      </c>
      <c r="F884" s="1">
        <v>-256.13</v>
      </c>
      <c r="G884" s="1">
        <v>-1383.1110000000001</v>
      </c>
      <c r="H884" s="1">
        <v>6981.6660000000002</v>
      </c>
      <c r="I884" s="1">
        <v>-5449.875</v>
      </c>
    </row>
    <row r="885" spans="1:9" hidden="1" x14ac:dyDescent="0.25">
      <c r="A885" s="1" t="s">
        <v>9</v>
      </c>
      <c r="B885" s="1" t="s">
        <v>199</v>
      </c>
      <c r="C885" s="1" t="s">
        <v>3</v>
      </c>
      <c r="D885" s="1">
        <v>930.38</v>
      </c>
      <c r="E885" s="1">
        <v>0</v>
      </c>
      <c r="F885" s="1">
        <v>-256.13</v>
      </c>
      <c r="G885" s="1">
        <v>-1383.1110000000001</v>
      </c>
      <c r="H885" s="1">
        <v>7898.7939999999999</v>
      </c>
      <c r="I885" s="1">
        <v>-5582.2879999999996</v>
      </c>
    </row>
    <row r="886" spans="1:9" hidden="1" x14ac:dyDescent="0.25">
      <c r="A886" s="1" t="s">
        <v>9</v>
      </c>
      <c r="B886" s="1" t="s">
        <v>200</v>
      </c>
      <c r="C886" s="1" t="s">
        <v>143</v>
      </c>
      <c r="D886" s="1">
        <v>908.31</v>
      </c>
      <c r="E886" s="1">
        <v>0</v>
      </c>
      <c r="F886" s="1">
        <v>256.13</v>
      </c>
      <c r="G886" s="1">
        <v>1690.4690000000001</v>
      </c>
      <c r="H886" s="1">
        <v>3918.085</v>
      </c>
      <c r="I886" s="1">
        <v>-5449.875</v>
      </c>
    </row>
    <row r="887" spans="1:9" hidden="1" x14ac:dyDescent="0.25">
      <c r="A887" s="1" t="s">
        <v>9</v>
      </c>
      <c r="B887" s="1" t="s">
        <v>200</v>
      </c>
      <c r="C887" s="1" t="s">
        <v>3</v>
      </c>
      <c r="D887" s="1">
        <v>930.38</v>
      </c>
      <c r="E887" s="1">
        <v>0</v>
      </c>
      <c r="F887" s="1">
        <v>256.13</v>
      </c>
      <c r="G887" s="1">
        <v>1690.4690000000001</v>
      </c>
      <c r="H887" s="1">
        <v>3265.7829999999999</v>
      </c>
      <c r="I887" s="1">
        <v>-5582.2879999999996</v>
      </c>
    </row>
    <row r="888" spans="1:9" hidden="1" x14ac:dyDescent="0.25">
      <c r="A888" s="1" t="s">
        <v>9</v>
      </c>
      <c r="B888" s="1" t="s">
        <v>201</v>
      </c>
      <c r="C888" s="1" t="s">
        <v>143</v>
      </c>
      <c r="D888" s="1">
        <v>908.31</v>
      </c>
      <c r="E888" s="1">
        <v>0</v>
      </c>
      <c r="F888" s="1">
        <v>256.13</v>
      </c>
      <c r="G888" s="1">
        <v>1383.1110000000001</v>
      </c>
      <c r="H888" s="1">
        <v>3918.085</v>
      </c>
      <c r="I888" s="1">
        <v>-5449.875</v>
      </c>
    </row>
    <row r="889" spans="1:9" hidden="1" x14ac:dyDescent="0.25">
      <c r="A889" s="1" t="s">
        <v>9</v>
      </c>
      <c r="B889" s="1" t="s">
        <v>201</v>
      </c>
      <c r="C889" s="1" t="s">
        <v>3</v>
      </c>
      <c r="D889" s="1">
        <v>930.38</v>
      </c>
      <c r="E889" s="1">
        <v>0</v>
      </c>
      <c r="F889" s="1">
        <v>256.13</v>
      </c>
      <c r="G889" s="1">
        <v>1383.1110000000001</v>
      </c>
      <c r="H889" s="1">
        <v>3265.7829999999999</v>
      </c>
      <c r="I889" s="1">
        <v>-5582.2879999999996</v>
      </c>
    </row>
    <row r="890" spans="1:9" hidden="1" x14ac:dyDescent="0.25">
      <c r="A890" s="1" t="s">
        <v>9</v>
      </c>
      <c r="B890" s="1" t="s">
        <v>202</v>
      </c>
      <c r="C890" s="1" t="s">
        <v>143</v>
      </c>
      <c r="D890" s="1">
        <v>821.81</v>
      </c>
      <c r="E890" s="1">
        <v>-256.13</v>
      </c>
      <c r="F890" s="1">
        <v>0</v>
      </c>
      <c r="G890" s="1">
        <v>1690.4690000000001</v>
      </c>
      <c r="H890" s="1">
        <v>4930.84</v>
      </c>
      <c r="I890" s="1">
        <v>-6462.63</v>
      </c>
    </row>
    <row r="891" spans="1:9" hidden="1" x14ac:dyDescent="0.25">
      <c r="A891" s="1" t="s">
        <v>9</v>
      </c>
      <c r="B891" s="1" t="s">
        <v>202</v>
      </c>
      <c r="C891" s="1" t="s">
        <v>3</v>
      </c>
      <c r="D891" s="1">
        <v>841.77</v>
      </c>
      <c r="E891" s="1">
        <v>-256.13</v>
      </c>
      <c r="F891" s="1">
        <v>0</v>
      </c>
      <c r="G891" s="1">
        <v>1690.4690000000001</v>
      </c>
      <c r="H891" s="1">
        <v>5050.6419999999998</v>
      </c>
      <c r="I891" s="1">
        <v>-7367.1480000000001</v>
      </c>
    </row>
    <row r="892" spans="1:9" hidden="1" x14ac:dyDescent="0.25">
      <c r="A892" s="1" t="s">
        <v>9</v>
      </c>
      <c r="B892" s="1" t="s">
        <v>203</v>
      </c>
      <c r="C892" s="1" t="s">
        <v>143</v>
      </c>
      <c r="D892" s="1">
        <v>821.81</v>
      </c>
      <c r="E892" s="1">
        <v>-256.13</v>
      </c>
      <c r="F892" s="1">
        <v>0</v>
      </c>
      <c r="G892" s="1">
        <v>1383.1110000000001</v>
      </c>
      <c r="H892" s="1">
        <v>4930.84</v>
      </c>
      <c r="I892" s="1">
        <v>-6462.63</v>
      </c>
    </row>
    <row r="893" spans="1:9" hidden="1" x14ac:dyDescent="0.25">
      <c r="A893" s="1" t="s">
        <v>9</v>
      </c>
      <c r="B893" s="1" t="s">
        <v>203</v>
      </c>
      <c r="C893" s="1" t="s">
        <v>3</v>
      </c>
      <c r="D893" s="1">
        <v>841.77</v>
      </c>
      <c r="E893" s="1">
        <v>-256.13</v>
      </c>
      <c r="F893" s="1">
        <v>0</v>
      </c>
      <c r="G893" s="1">
        <v>1383.1110000000001</v>
      </c>
      <c r="H893" s="1">
        <v>5050.6419999999998</v>
      </c>
      <c r="I893" s="1">
        <v>-7367.1480000000001</v>
      </c>
    </row>
    <row r="894" spans="1:9" hidden="1" x14ac:dyDescent="0.25">
      <c r="A894" s="1" t="s">
        <v>9</v>
      </c>
      <c r="B894" s="1" t="s">
        <v>204</v>
      </c>
      <c r="C894" s="1" t="s">
        <v>143</v>
      </c>
      <c r="D894" s="1">
        <v>821.81</v>
      </c>
      <c r="E894" s="1">
        <v>256.13</v>
      </c>
      <c r="F894" s="1">
        <v>0</v>
      </c>
      <c r="G894" s="1">
        <v>-1690.4690000000001</v>
      </c>
      <c r="H894" s="1">
        <v>4930.84</v>
      </c>
      <c r="I894" s="1">
        <v>-3399.049</v>
      </c>
    </row>
    <row r="895" spans="1:9" hidden="1" x14ac:dyDescent="0.25">
      <c r="A895" s="1" t="s">
        <v>9</v>
      </c>
      <c r="B895" s="1" t="s">
        <v>204</v>
      </c>
      <c r="C895" s="1" t="s">
        <v>3</v>
      </c>
      <c r="D895" s="1">
        <v>841.77</v>
      </c>
      <c r="E895" s="1">
        <v>256.13</v>
      </c>
      <c r="F895" s="1">
        <v>0</v>
      </c>
      <c r="G895" s="1">
        <v>-1690.4690000000001</v>
      </c>
      <c r="H895" s="1">
        <v>5050.6419999999998</v>
      </c>
      <c r="I895" s="1">
        <v>-2734.136</v>
      </c>
    </row>
    <row r="896" spans="1:9" hidden="1" x14ac:dyDescent="0.25">
      <c r="A896" s="1" t="s">
        <v>9</v>
      </c>
      <c r="B896" s="1" t="s">
        <v>205</v>
      </c>
      <c r="C896" s="1" t="s">
        <v>143</v>
      </c>
      <c r="D896" s="1">
        <v>821.81</v>
      </c>
      <c r="E896" s="1">
        <v>256.13</v>
      </c>
      <c r="F896" s="1">
        <v>0</v>
      </c>
      <c r="G896" s="1">
        <v>-1383.1110000000001</v>
      </c>
      <c r="H896" s="1">
        <v>4930.84</v>
      </c>
      <c r="I896" s="1">
        <v>-3399.049</v>
      </c>
    </row>
    <row r="897" spans="1:9" hidden="1" x14ac:dyDescent="0.25">
      <c r="A897" s="1" t="s">
        <v>9</v>
      </c>
      <c r="B897" s="1" t="s">
        <v>205</v>
      </c>
      <c r="C897" s="1" t="s">
        <v>3</v>
      </c>
      <c r="D897" s="1">
        <v>841.77</v>
      </c>
      <c r="E897" s="1">
        <v>256.13</v>
      </c>
      <c r="F897" s="1">
        <v>0</v>
      </c>
      <c r="G897" s="1">
        <v>-1383.1110000000001</v>
      </c>
      <c r="H897" s="1">
        <v>5050.6419999999998</v>
      </c>
      <c r="I897" s="1">
        <v>-2734.136</v>
      </c>
    </row>
    <row r="898" spans="1:9" hidden="1" x14ac:dyDescent="0.25">
      <c r="A898" s="1" t="s">
        <v>9</v>
      </c>
      <c r="B898" s="1" t="s">
        <v>206</v>
      </c>
      <c r="C898" s="1" t="s">
        <v>143</v>
      </c>
      <c r="D898" s="1">
        <v>821.81</v>
      </c>
      <c r="E898" s="1">
        <v>0</v>
      </c>
      <c r="F898" s="1">
        <v>-256.13</v>
      </c>
      <c r="G898" s="1">
        <v>-1690.4690000000001</v>
      </c>
      <c r="H898" s="1">
        <v>6462.63</v>
      </c>
      <c r="I898" s="1">
        <v>-4930.84</v>
      </c>
    </row>
    <row r="899" spans="1:9" hidden="1" x14ac:dyDescent="0.25">
      <c r="A899" s="1" t="s">
        <v>9</v>
      </c>
      <c r="B899" s="1" t="s">
        <v>206</v>
      </c>
      <c r="C899" s="1" t="s">
        <v>3</v>
      </c>
      <c r="D899" s="1">
        <v>841.77</v>
      </c>
      <c r="E899" s="1">
        <v>0</v>
      </c>
      <c r="F899" s="1">
        <v>-256.13</v>
      </c>
      <c r="G899" s="1">
        <v>-1690.4690000000001</v>
      </c>
      <c r="H899" s="1">
        <v>7367.1480000000001</v>
      </c>
      <c r="I899" s="1">
        <v>-5050.6419999999998</v>
      </c>
    </row>
    <row r="900" spans="1:9" hidden="1" x14ac:dyDescent="0.25">
      <c r="A900" s="1" t="s">
        <v>9</v>
      </c>
      <c r="B900" s="1" t="s">
        <v>207</v>
      </c>
      <c r="C900" s="1" t="s">
        <v>143</v>
      </c>
      <c r="D900" s="1">
        <v>821.81</v>
      </c>
      <c r="E900" s="1">
        <v>0</v>
      </c>
      <c r="F900" s="1">
        <v>-256.13</v>
      </c>
      <c r="G900" s="1">
        <v>-1383.1110000000001</v>
      </c>
      <c r="H900" s="1">
        <v>6462.63</v>
      </c>
      <c r="I900" s="1">
        <v>-4930.84</v>
      </c>
    </row>
    <row r="901" spans="1:9" hidden="1" x14ac:dyDescent="0.25">
      <c r="A901" s="1" t="s">
        <v>9</v>
      </c>
      <c r="B901" s="1" t="s">
        <v>207</v>
      </c>
      <c r="C901" s="1" t="s">
        <v>3</v>
      </c>
      <c r="D901" s="1">
        <v>841.77</v>
      </c>
      <c r="E901" s="1">
        <v>0</v>
      </c>
      <c r="F901" s="1">
        <v>-256.13</v>
      </c>
      <c r="G901" s="1">
        <v>-1383.1110000000001</v>
      </c>
      <c r="H901" s="1">
        <v>7367.1480000000001</v>
      </c>
      <c r="I901" s="1">
        <v>-5050.6419999999998</v>
      </c>
    </row>
    <row r="902" spans="1:9" hidden="1" x14ac:dyDescent="0.25">
      <c r="A902" s="1" t="s">
        <v>9</v>
      </c>
      <c r="B902" s="1" t="s">
        <v>208</v>
      </c>
      <c r="C902" s="1" t="s">
        <v>143</v>
      </c>
      <c r="D902" s="1">
        <v>821.81</v>
      </c>
      <c r="E902" s="1">
        <v>0</v>
      </c>
      <c r="F902" s="1">
        <v>256.13</v>
      </c>
      <c r="G902" s="1">
        <v>1690.4690000000001</v>
      </c>
      <c r="H902" s="1">
        <v>3399.049</v>
      </c>
      <c r="I902" s="1">
        <v>-4930.84</v>
      </c>
    </row>
    <row r="903" spans="1:9" hidden="1" x14ac:dyDescent="0.25">
      <c r="A903" s="1" t="s">
        <v>9</v>
      </c>
      <c r="B903" s="1" t="s">
        <v>208</v>
      </c>
      <c r="C903" s="1" t="s">
        <v>3</v>
      </c>
      <c r="D903" s="1">
        <v>841.77</v>
      </c>
      <c r="E903" s="1">
        <v>0</v>
      </c>
      <c r="F903" s="1">
        <v>256.13</v>
      </c>
      <c r="G903" s="1">
        <v>1690.4690000000001</v>
      </c>
      <c r="H903" s="1">
        <v>2734.136</v>
      </c>
      <c r="I903" s="1">
        <v>-5050.6419999999998</v>
      </c>
    </row>
    <row r="904" spans="1:9" hidden="1" x14ac:dyDescent="0.25">
      <c r="A904" s="1" t="s">
        <v>9</v>
      </c>
      <c r="B904" s="1" t="s">
        <v>209</v>
      </c>
      <c r="C904" s="1" t="s">
        <v>143</v>
      </c>
      <c r="D904" s="1">
        <v>821.81</v>
      </c>
      <c r="E904" s="1">
        <v>0</v>
      </c>
      <c r="F904" s="1">
        <v>256.13</v>
      </c>
      <c r="G904" s="1">
        <v>1383.1110000000001</v>
      </c>
      <c r="H904" s="1">
        <v>3399.049</v>
      </c>
      <c r="I904" s="1">
        <v>-4930.84</v>
      </c>
    </row>
    <row r="905" spans="1:9" hidden="1" x14ac:dyDescent="0.25">
      <c r="A905" s="1" t="s">
        <v>9</v>
      </c>
      <c r="B905" s="1" t="s">
        <v>209</v>
      </c>
      <c r="C905" s="1" t="s">
        <v>3</v>
      </c>
      <c r="D905" s="1">
        <v>841.77</v>
      </c>
      <c r="E905" s="1">
        <v>0</v>
      </c>
      <c r="F905" s="1">
        <v>256.13</v>
      </c>
      <c r="G905" s="1">
        <v>1383.1110000000001</v>
      </c>
      <c r="H905" s="1">
        <v>2734.136</v>
      </c>
      <c r="I905" s="1">
        <v>-5050.6419999999998</v>
      </c>
    </row>
    <row r="906" spans="1:9" hidden="1" x14ac:dyDescent="0.25">
      <c r="A906" s="1" t="s">
        <v>9</v>
      </c>
      <c r="B906" s="1" t="s">
        <v>210</v>
      </c>
      <c r="C906" s="1" t="s">
        <v>143</v>
      </c>
      <c r="D906" s="1">
        <v>1009.24</v>
      </c>
      <c r="E906" s="1">
        <v>-76.84</v>
      </c>
      <c r="F906" s="1">
        <v>0</v>
      </c>
      <c r="G906" s="1">
        <v>507.14100000000002</v>
      </c>
      <c r="H906" s="1">
        <v>6055.4170000000004</v>
      </c>
      <c r="I906" s="1">
        <v>-6514.9539999999997</v>
      </c>
    </row>
    <row r="907" spans="1:9" hidden="1" x14ac:dyDescent="0.25">
      <c r="A907" s="1" t="s">
        <v>9</v>
      </c>
      <c r="B907" s="1" t="s">
        <v>210</v>
      </c>
      <c r="C907" s="1" t="s">
        <v>3</v>
      </c>
      <c r="D907" s="1">
        <v>1033.76</v>
      </c>
      <c r="E907" s="1">
        <v>-76.84</v>
      </c>
      <c r="F907" s="1">
        <v>0</v>
      </c>
      <c r="G907" s="1">
        <v>507.14100000000002</v>
      </c>
      <c r="H907" s="1">
        <v>6202.5429999999997</v>
      </c>
      <c r="I907" s="1">
        <v>-6897.4939999999997</v>
      </c>
    </row>
    <row r="908" spans="1:9" hidden="1" x14ac:dyDescent="0.25">
      <c r="A908" s="1" t="s">
        <v>9</v>
      </c>
      <c r="B908" s="1" t="s">
        <v>211</v>
      </c>
      <c r="C908" s="1" t="s">
        <v>143</v>
      </c>
      <c r="D908" s="1">
        <v>1009.24</v>
      </c>
      <c r="E908" s="1">
        <v>-76.84</v>
      </c>
      <c r="F908" s="1">
        <v>0</v>
      </c>
      <c r="G908" s="1">
        <v>414.93299999999999</v>
      </c>
      <c r="H908" s="1">
        <v>6055.4170000000004</v>
      </c>
      <c r="I908" s="1">
        <v>-6514.9539999999997</v>
      </c>
    </row>
    <row r="909" spans="1:9" hidden="1" x14ac:dyDescent="0.25">
      <c r="A909" s="1" t="s">
        <v>9</v>
      </c>
      <c r="B909" s="1" t="s">
        <v>211</v>
      </c>
      <c r="C909" s="1" t="s">
        <v>3</v>
      </c>
      <c r="D909" s="1">
        <v>1033.76</v>
      </c>
      <c r="E909" s="1">
        <v>-76.84</v>
      </c>
      <c r="F909" s="1">
        <v>0</v>
      </c>
      <c r="G909" s="1">
        <v>414.93299999999999</v>
      </c>
      <c r="H909" s="1">
        <v>6202.5429999999997</v>
      </c>
      <c r="I909" s="1">
        <v>-6897.4939999999997</v>
      </c>
    </row>
    <row r="910" spans="1:9" hidden="1" x14ac:dyDescent="0.25">
      <c r="A910" s="1" t="s">
        <v>9</v>
      </c>
      <c r="B910" s="1" t="s">
        <v>212</v>
      </c>
      <c r="C910" s="1" t="s">
        <v>143</v>
      </c>
      <c r="D910" s="1">
        <v>1009.24</v>
      </c>
      <c r="E910" s="1">
        <v>76.84</v>
      </c>
      <c r="F910" s="1">
        <v>0</v>
      </c>
      <c r="G910" s="1">
        <v>-507.14100000000002</v>
      </c>
      <c r="H910" s="1">
        <v>6055.4170000000004</v>
      </c>
      <c r="I910" s="1">
        <v>-5595.88</v>
      </c>
    </row>
    <row r="911" spans="1:9" hidden="1" x14ac:dyDescent="0.25">
      <c r="A911" s="1" t="s">
        <v>9</v>
      </c>
      <c r="B911" s="1" t="s">
        <v>212</v>
      </c>
      <c r="C911" s="1" t="s">
        <v>3</v>
      </c>
      <c r="D911" s="1">
        <v>1033.76</v>
      </c>
      <c r="E911" s="1">
        <v>76.84</v>
      </c>
      <c r="F911" s="1">
        <v>0</v>
      </c>
      <c r="G911" s="1">
        <v>-507.14100000000002</v>
      </c>
      <c r="H911" s="1">
        <v>6202.5429999999997</v>
      </c>
      <c r="I911" s="1">
        <v>-5507.5910000000003</v>
      </c>
    </row>
    <row r="912" spans="1:9" hidden="1" x14ac:dyDescent="0.25">
      <c r="A912" s="1" t="s">
        <v>9</v>
      </c>
      <c r="B912" s="1" t="s">
        <v>213</v>
      </c>
      <c r="C912" s="1" t="s">
        <v>143</v>
      </c>
      <c r="D912" s="1">
        <v>1009.24</v>
      </c>
      <c r="E912" s="1">
        <v>76.84</v>
      </c>
      <c r="F912" s="1">
        <v>0</v>
      </c>
      <c r="G912" s="1">
        <v>-414.93299999999999</v>
      </c>
      <c r="H912" s="1">
        <v>6055.4170000000004</v>
      </c>
      <c r="I912" s="1">
        <v>-5595.88</v>
      </c>
    </row>
    <row r="913" spans="1:9" hidden="1" x14ac:dyDescent="0.25">
      <c r="A913" s="1" t="s">
        <v>9</v>
      </c>
      <c r="B913" s="1" t="s">
        <v>213</v>
      </c>
      <c r="C913" s="1" t="s">
        <v>3</v>
      </c>
      <c r="D913" s="1">
        <v>1033.76</v>
      </c>
      <c r="E913" s="1">
        <v>76.84</v>
      </c>
      <c r="F913" s="1">
        <v>0</v>
      </c>
      <c r="G913" s="1">
        <v>-414.93299999999999</v>
      </c>
      <c r="H913" s="1">
        <v>6202.5429999999997</v>
      </c>
      <c r="I913" s="1">
        <v>-5507.5910000000003</v>
      </c>
    </row>
    <row r="914" spans="1:9" hidden="1" x14ac:dyDescent="0.25">
      <c r="A914" s="1" t="s">
        <v>9</v>
      </c>
      <c r="B914" s="1" t="s">
        <v>214</v>
      </c>
      <c r="C914" s="1" t="s">
        <v>143</v>
      </c>
      <c r="D914" s="1">
        <v>1009.24</v>
      </c>
      <c r="E914" s="1">
        <v>0</v>
      </c>
      <c r="F914" s="1">
        <v>-76.84</v>
      </c>
      <c r="G914" s="1">
        <v>-507.14100000000002</v>
      </c>
      <c r="H914" s="1">
        <v>6514.9539999999997</v>
      </c>
      <c r="I914" s="1">
        <v>-6055.4170000000004</v>
      </c>
    </row>
    <row r="915" spans="1:9" hidden="1" x14ac:dyDescent="0.25">
      <c r="A915" s="1" t="s">
        <v>9</v>
      </c>
      <c r="B915" s="1" t="s">
        <v>214</v>
      </c>
      <c r="C915" s="1" t="s">
        <v>3</v>
      </c>
      <c r="D915" s="1">
        <v>1033.76</v>
      </c>
      <c r="E915" s="1">
        <v>0</v>
      </c>
      <c r="F915" s="1">
        <v>-76.84</v>
      </c>
      <c r="G915" s="1">
        <v>-507.14100000000002</v>
      </c>
      <c r="H915" s="1">
        <v>6897.4939999999997</v>
      </c>
      <c r="I915" s="1">
        <v>-6202.5429999999997</v>
      </c>
    </row>
    <row r="916" spans="1:9" hidden="1" x14ac:dyDescent="0.25">
      <c r="A916" s="1" t="s">
        <v>9</v>
      </c>
      <c r="B916" s="1" t="s">
        <v>215</v>
      </c>
      <c r="C916" s="1" t="s">
        <v>143</v>
      </c>
      <c r="D916" s="1">
        <v>1009.24</v>
      </c>
      <c r="E916" s="1">
        <v>0</v>
      </c>
      <c r="F916" s="1">
        <v>-76.84</v>
      </c>
      <c r="G916" s="1">
        <v>-414.93299999999999</v>
      </c>
      <c r="H916" s="1">
        <v>6514.9539999999997</v>
      </c>
      <c r="I916" s="1">
        <v>-6055.4170000000004</v>
      </c>
    </row>
    <row r="917" spans="1:9" hidden="1" x14ac:dyDescent="0.25">
      <c r="A917" s="1" t="s">
        <v>9</v>
      </c>
      <c r="B917" s="1" t="s">
        <v>215</v>
      </c>
      <c r="C917" s="1" t="s">
        <v>3</v>
      </c>
      <c r="D917" s="1">
        <v>1033.76</v>
      </c>
      <c r="E917" s="1">
        <v>0</v>
      </c>
      <c r="F917" s="1">
        <v>-76.84</v>
      </c>
      <c r="G917" s="1">
        <v>-414.93299999999999</v>
      </c>
      <c r="H917" s="1">
        <v>6897.4939999999997</v>
      </c>
      <c r="I917" s="1">
        <v>-6202.5429999999997</v>
      </c>
    </row>
    <row r="918" spans="1:9" hidden="1" x14ac:dyDescent="0.25">
      <c r="A918" s="1" t="s">
        <v>9</v>
      </c>
      <c r="B918" s="1" t="s">
        <v>216</v>
      </c>
      <c r="C918" s="1" t="s">
        <v>143</v>
      </c>
      <c r="D918" s="1">
        <v>1009.24</v>
      </c>
      <c r="E918" s="1">
        <v>0</v>
      </c>
      <c r="F918" s="1">
        <v>76.84</v>
      </c>
      <c r="G918" s="1">
        <v>507.14100000000002</v>
      </c>
      <c r="H918" s="1">
        <v>5595.88</v>
      </c>
      <c r="I918" s="1">
        <v>-6055.4170000000004</v>
      </c>
    </row>
    <row r="919" spans="1:9" hidden="1" x14ac:dyDescent="0.25">
      <c r="A919" s="1" t="s">
        <v>9</v>
      </c>
      <c r="B919" s="1" t="s">
        <v>216</v>
      </c>
      <c r="C919" s="1" t="s">
        <v>3</v>
      </c>
      <c r="D919" s="1">
        <v>1033.76</v>
      </c>
      <c r="E919" s="1">
        <v>0</v>
      </c>
      <c r="F919" s="1">
        <v>76.84</v>
      </c>
      <c r="G919" s="1">
        <v>507.14100000000002</v>
      </c>
      <c r="H919" s="1">
        <v>5507.5910000000003</v>
      </c>
      <c r="I919" s="1">
        <v>-6202.5429999999997</v>
      </c>
    </row>
    <row r="920" spans="1:9" hidden="1" x14ac:dyDescent="0.25">
      <c r="A920" s="1" t="s">
        <v>9</v>
      </c>
      <c r="B920" s="1" t="s">
        <v>217</v>
      </c>
      <c r="C920" s="1" t="s">
        <v>143</v>
      </c>
      <c r="D920" s="1">
        <v>1009.24</v>
      </c>
      <c r="E920" s="1">
        <v>0</v>
      </c>
      <c r="F920" s="1">
        <v>76.84</v>
      </c>
      <c r="G920" s="1">
        <v>414.93299999999999</v>
      </c>
      <c r="H920" s="1">
        <v>5595.88</v>
      </c>
      <c r="I920" s="1">
        <v>-6055.4170000000004</v>
      </c>
    </row>
    <row r="921" spans="1:9" hidden="1" x14ac:dyDescent="0.25">
      <c r="A921" s="1" t="s">
        <v>9</v>
      </c>
      <c r="B921" s="1" t="s">
        <v>217</v>
      </c>
      <c r="C921" s="1" t="s">
        <v>3</v>
      </c>
      <c r="D921" s="1">
        <v>1033.76</v>
      </c>
      <c r="E921" s="1">
        <v>0</v>
      </c>
      <c r="F921" s="1">
        <v>76.84</v>
      </c>
      <c r="G921" s="1">
        <v>414.93299999999999</v>
      </c>
      <c r="H921" s="1">
        <v>5507.5910000000003</v>
      </c>
      <c r="I921" s="1">
        <v>-6202.5429999999997</v>
      </c>
    </row>
    <row r="922" spans="1:9" hidden="1" x14ac:dyDescent="0.25">
      <c r="A922" s="1" t="s">
        <v>9</v>
      </c>
      <c r="B922" s="1" t="s">
        <v>218</v>
      </c>
      <c r="C922" s="1" t="s">
        <v>143</v>
      </c>
      <c r="D922" s="1">
        <v>720.88</v>
      </c>
      <c r="E922" s="1">
        <v>-76.84</v>
      </c>
      <c r="F922" s="1">
        <v>0</v>
      </c>
      <c r="G922" s="1">
        <v>507.14100000000002</v>
      </c>
      <c r="H922" s="1">
        <v>4325.2979999999998</v>
      </c>
      <c r="I922" s="1">
        <v>-4784.835</v>
      </c>
    </row>
    <row r="923" spans="1:9" hidden="1" x14ac:dyDescent="0.25">
      <c r="A923" s="1" t="s">
        <v>9</v>
      </c>
      <c r="B923" s="1" t="s">
        <v>218</v>
      </c>
      <c r="C923" s="1" t="s">
        <v>3</v>
      </c>
      <c r="D923" s="1">
        <v>738.4</v>
      </c>
      <c r="E923" s="1">
        <v>-76.84</v>
      </c>
      <c r="F923" s="1">
        <v>0</v>
      </c>
      <c r="G923" s="1">
        <v>507.14100000000002</v>
      </c>
      <c r="H923" s="1">
        <v>4430.3879999999999</v>
      </c>
      <c r="I923" s="1">
        <v>-5125.3389999999999</v>
      </c>
    </row>
    <row r="924" spans="1:9" hidden="1" x14ac:dyDescent="0.25">
      <c r="A924" s="1" t="s">
        <v>9</v>
      </c>
      <c r="B924" s="1" t="s">
        <v>219</v>
      </c>
      <c r="C924" s="1" t="s">
        <v>143</v>
      </c>
      <c r="D924" s="1">
        <v>720.88</v>
      </c>
      <c r="E924" s="1">
        <v>-76.84</v>
      </c>
      <c r="F924" s="1">
        <v>0</v>
      </c>
      <c r="G924" s="1">
        <v>414.93299999999999</v>
      </c>
      <c r="H924" s="1">
        <v>4325.2979999999998</v>
      </c>
      <c r="I924" s="1">
        <v>-4784.835</v>
      </c>
    </row>
    <row r="925" spans="1:9" hidden="1" x14ac:dyDescent="0.25">
      <c r="A925" s="1" t="s">
        <v>9</v>
      </c>
      <c r="B925" s="1" t="s">
        <v>219</v>
      </c>
      <c r="C925" s="1" t="s">
        <v>3</v>
      </c>
      <c r="D925" s="1">
        <v>738.4</v>
      </c>
      <c r="E925" s="1">
        <v>-76.84</v>
      </c>
      <c r="F925" s="1">
        <v>0</v>
      </c>
      <c r="G925" s="1">
        <v>414.93299999999999</v>
      </c>
      <c r="H925" s="1">
        <v>4430.3879999999999</v>
      </c>
      <c r="I925" s="1">
        <v>-5125.3389999999999</v>
      </c>
    </row>
    <row r="926" spans="1:9" hidden="1" x14ac:dyDescent="0.25">
      <c r="A926" s="1" t="s">
        <v>9</v>
      </c>
      <c r="B926" s="1" t="s">
        <v>220</v>
      </c>
      <c r="C926" s="1" t="s">
        <v>143</v>
      </c>
      <c r="D926" s="1">
        <v>720.88</v>
      </c>
      <c r="E926" s="1">
        <v>76.84</v>
      </c>
      <c r="F926" s="1">
        <v>0</v>
      </c>
      <c r="G926" s="1">
        <v>-507.14100000000002</v>
      </c>
      <c r="H926" s="1">
        <v>4325.2979999999998</v>
      </c>
      <c r="I926" s="1">
        <v>-3865.761</v>
      </c>
    </row>
    <row r="927" spans="1:9" hidden="1" x14ac:dyDescent="0.25">
      <c r="A927" s="1" t="s">
        <v>9</v>
      </c>
      <c r="B927" s="1" t="s">
        <v>220</v>
      </c>
      <c r="C927" s="1" t="s">
        <v>3</v>
      </c>
      <c r="D927" s="1">
        <v>738.4</v>
      </c>
      <c r="E927" s="1">
        <v>76.84</v>
      </c>
      <c r="F927" s="1">
        <v>0</v>
      </c>
      <c r="G927" s="1">
        <v>-507.14100000000002</v>
      </c>
      <c r="H927" s="1">
        <v>4430.3879999999999</v>
      </c>
      <c r="I927" s="1">
        <v>-3735.4360000000001</v>
      </c>
    </row>
    <row r="928" spans="1:9" hidden="1" x14ac:dyDescent="0.25">
      <c r="A928" s="1" t="s">
        <v>9</v>
      </c>
      <c r="B928" s="1" t="s">
        <v>221</v>
      </c>
      <c r="C928" s="1" t="s">
        <v>143</v>
      </c>
      <c r="D928" s="1">
        <v>720.88</v>
      </c>
      <c r="E928" s="1">
        <v>76.84</v>
      </c>
      <c r="F928" s="1">
        <v>0</v>
      </c>
      <c r="G928" s="1">
        <v>-414.93299999999999</v>
      </c>
      <c r="H928" s="1">
        <v>4325.2979999999998</v>
      </c>
      <c r="I928" s="1">
        <v>-3865.761</v>
      </c>
    </row>
    <row r="929" spans="1:9" hidden="1" x14ac:dyDescent="0.25">
      <c r="A929" s="1" t="s">
        <v>9</v>
      </c>
      <c r="B929" s="1" t="s">
        <v>221</v>
      </c>
      <c r="C929" s="1" t="s">
        <v>3</v>
      </c>
      <c r="D929" s="1">
        <v>738.4</v>
      </c>
      <c r="E929" s="1">
        <v>76.84</v>
      </c>
      <c r="F929" s="1">
        <v>0</v>
      </c>
      <c r="G929" s="1">
        <v>-414.93299999999999</v>
      </c>
      <c r="H929" s="1">
        <v>4430.3879999999999</v>
      </c>
      <c r="I929" s="1">
        <v>-3735.4360000000001</v>
      </c>
    </row>
    <row r="930" spans="1:9" hidden="1" x14ac:dyDescent="0.25">
      <c r="A930" s="1" t="s">
        <v>9</v>
      </c>
      <c r="B930" s="1" t="s">
        <v>222</v>
      </c>
      <c r="C930" s="1" t="s">
        <v>143</v>
      </c>
      <c r="D930" s="1">
        <v>720.88</v>
      </c>
      <c r="E930" s="1">
        <v>0</v>
      </c>
      <c r="F930" s="1">
        <v>-76.84</v>
      </c>
      <c r="G930" s="1">
        <v>-507.14100000000002</v>
      </c>
      <c r="H930" s="1">
        <v>4784.835</v>
      </c>
      <c r="I930" s="1">
        <v>-4325.2979999999998</v>
      </c>
    </row>
    <row r="931" spans="1:9" hidden="1" x14ac:dyDescent="0.25">
      <c r="A931" s="1" t="s">
        <v>9</v>
      </c>
      <c r="B931" s="1" t="s">
        <v>222</v>
      </c>
      <c r="C931" s="1" t="s">
        <v>3</v>
      </c>
      <c r="D931" s="1">
        <v>738.4</v>
      </c>
      <c r="E931" s="1">
        <v>0</v>
      </c>
      <c r="F931" s="1">
        <v>-76.84</v>
      </c>
      <c r="G931" s="1">
        <v>-507.14100000000002</v>
      </c>
      <c r="H931" s="1">
        <v>5125.3389999999999</v>
      </c>
      <c r="I931" s="1">
        <v>-4430.3879999999999</v>
      </c>
    </row>
    <row r="932" spans="1:9" hidden="1" x14ac:dyDescent="0.25">
      <c r="A932" s="1" t="s">
        <v>9</v>
      </c>
      <c r="B932" s="1" t="s">
        <v>223</v>
      </c>
      <c r="C932" s="1" t="s">
        <v>143</v>
      </c>
      <c r="D932" s="1">
        <v>720.88</v>
      </c>
      <c r="E932" s="1">
        <v>0</v>
      </c>
      <c r="F932" s="1">
        <v>-76.84</v>
      </c>
      <c r="G932" s="1">
        <v>-414.93299999999999</v>
      </c>
      <c r="H932" s="1">
        <v>4784.835</v>
      </c>
      <c r="I932" s="1">
        <v>-4325.2979999999998</v>
      </c>
    </row>
    <row r="933" spans="1:9" hidden="1" x14ac:dyDescent="0.25">
      <c r="A933" s="1" t="s">
        <v>9</v>
      </c>
      <c r="B933" s="1" t="s">
        <v>223</v>
      </c>
      <c r="C933" s="1" t="s">
        <v>3</v>
      </c>
      <c r="D933" s="1">
        <v>738.4</v>
      </c>
      <c r="E933" s="1">
        <v>0</v>
      </c>
      <c r="F933" s="1">
        <v>-76.84</v>
      </c>
      <c r="G933" s="1">
        <v>-414.93299999999999</v>
      </c>
      <c r="H933" s="1">
        <v>5125.3389999999999</v>
      </c>
      <c r="I933" s="1">
        <v>-4430.3879999999999</v>
      </c>
    </row>
    <row r="934" spans="1:9" hidden="1" x14ac:dyDescent="0.25">
      <c r="A934" s="1" t="s">
        <v>9</v>
      </c>
      <c r="B934" s="1" t="s">
        <v>224</v>
      </c>
      <c r="C934" s="1" t="s">
        <v>143</v>
      </c>
      <c r="D934" s="1">
        <v>720.88</v>
      </c>
      <c r="E934" s="1">
        <v>0</v>
      </c>
      <c r="F934" s="1">
        <v>76.84</v>
      </c>
      <c r="G934" s="1">
        <v>507.14100000000002</v>
      </c>
      <c r="H934" s="1">
        <v>3865.761</v>
      </c>
      <c r="I934" s="1">
        <v>-4325.2979999999998</v>
      </c>
    </row>
    <row r="935" spans="1:9" hidden="1" x14ac:dyDescent="0.25">
      <c r="A935" s="1" t="s">
        <v>9</v>
      </c>
      <c r="B935" s="1" t="s">
        <v>224</v>
      </c>
      <c r="C935" s="1" t="s">
        <v>3</v>
      </c>
      <c r="D935" s="1">
        <v>738.4</v>
      </c>
      <c r="E935" s="1">
        <v>0</v>
      </c>
      <c r="F935" s="1">
        <v>76.84</v>
      </c>
      <c r="G935" s="1">
        <v>507.14100000000002</v>
      </c>
      <c r="H935" s="1">
        <v>3735.4360000000001</v>
      </c>
      <c r="I935" s="1">
        <v>-4430.3879999999999</v>
      </c>
    </row>
    <row r="936" spans="1:9" hidden="1" x14ac:dyDescent="0.25">
      <c r="A936" s="1" t="s">
        <v>9</v>
      </c>
      <c r="B936" s="1" t="s">
        <v>225</v>
      </c>
      <c r="C936" s="1" t="s">
        <v>143</v>
      </c>
      <c r="D936" s="1">
        <v>720.88</v>
      </c>
      <c r="E936" s="1">
        <v>0</v>
      </c>
      <c r="F936" s="1">
        <v>76.84</v>
      </c>
      <c r="G936" s="1">
        <v>414.93299999999999</v>
      </c>
      <c r="H936" s="1">
        <v>3865.761</v>
      </c>
      <c r="I936" s="1">
        <v>-4325.2979999999998</v>
      </c>
    </row>
    <row r="937" spans="1:9" hidden="1" x14ac:dyDescent="0.25">
      <c r="A937" s="1" t="s">
        <v>9</v>
      </c>
      <c r="B937" s="1" t="s">
        <v>225</v>
      </c>
      <c r="C937" s="1" t="s">
        <v>3</v>
      </c>
      <c r="D937" s="1">
        <v>738.4</v>
      </c>
      <c r="E937" s="1">
        <v>0</v>
      </c>
      <c r="F937" s="1">
        <v>76.84</v>
      </c>
      <c r="G937" s="1">
        <v>414.93299999999999</v>
      </c>
      <c r="H937" s="1">
        <v>3735.4360000000001</v>
      </c>
      <c r="I937" s="1">
        <v>-4430.3879999999999</v>
      </c>
    </row>
    <row r="938" spans="1:9" hidden="1" x14ac:dyDescent="0.25">
      <c r="A938" s="1" t="s">
        <v>9</v>
      </c>
      <c r="B938" s="1" t="s">
        <v>226</v>
      </c>
      <c r="C938" s="1" t="s">
        <v>143</v>
      </c>
      <c r="D938" s="1">
        <v>1283.07</v>
      </c>
      <c r="E938" s="1">
        <v>289.55</v>
      </c>
      <c r="F938" s="1">
        <v>0</v>
      </c>
      <c r="G938" s="1">
        <v>1916.9390000000001</v>
      </c>
      <c r="H938" s="1">
        <v>7698.3950000000004</v>
      </c>
      <c r="I938" s="1">
        <v>-6166.9030000000002</v>
      </c>
    </row>
    <row r="939" spans="1:9" hidden="1" x14ac:dyDescent="0.25">
      <c r="A939" s="1" t="s">
        <v>9</v>
      </c>
      <c r="B939" s="1" t="s">
        <v>226</v>
      </c>
      <c r="C939" s="1" t="s">
        <v>3</v>
      </c>
      <c r="D939" s="1">
        <v>1312.14</v>
      </c>
      <c r="E939" s="1">
        <v>289.55</v>
      </c>
      <c r="F939" s="1">
        <v>0</v>
      </c>
      <c r="G939" s="1">
        <v>1916.9390000000001</v>
      </c>
      <c r="H939" s="1">
        <v>7872.8440000000001</v>
      </c>
      <c r="I939" s="1">
        <v>-5460.5010000000002</v>
      </c>
    </row>
    <row r="940" spans="1:9" hidden="1" x14ac:dyDescent="0.25">
      <c r="A940" s="1" t="s">
        <v>9</v>
      </c>
      <c r="B940" s="1" t="s">
        <v>227</v>
      </c>
      <c r="C940" s="1" t="s">
        <v>143</v>
      </c>
      <c r="D940" s="1">
        <v>1283.07</v>
      </c>
      <c r="E940" s="1">
        <v>-289.55</v>
      </c>
      <c r="F940" s="1">
        <v>0</v>
      </c>
      <c r="G940" s="1">
        <v>-1916.9390000000001</v>
      </c>
      <c r="H940" s="1">
        <v>7698.3950000000004</v>
      </c>
      <c r="I940" s="1">
        <v>-9229.8860000000004</v>
      </c>
    </row>
    <row r="941" spans="1:9" hidden="1" x14ac:dyDescent="0.25">
      <c r="A941" s="1" t="s">
        <v>9</v>
      </c>
      <c r="B941" s="1" t="s">
        <v>227</v>
      </c>
      <c r="C941" s="1" t="s">
        <v>3</v>
      </c>
      <c r="D941" s="1">
        <v>1312.14</v>
      </c>
      <c r="E941" s="1">
        <v>-289.55</v>
      </c>
      <c r="F941" s="1">
        <v>0</v>
      </c>
      <c r="G941" s="1">
        <v>-1916.9390000000001</v>
      </c>
      <c r="H941" s="1">
        <v>7872.8440000000001</v>
      </c>
      <c r="I941" s="1">
        <v>-10285.186</v>
      </c>
    </row>
    <row r="942" spans="1:9" hidden="1" x14ac:dyDescent="0.25">
      <c r="A942" s="1" t="s">
        <v>9</v>
      </c>
      <c r="B942" s="1" t="s">
        <v>228</v>
      </c>
      <c r="C942" s="1" t="s">
        <v>143</v>
      </c>
      <c r="D942" s="1">
        <v>1196.56</v>
      </c>
      <c r="E942" s="1">
        <v>289.55</v>
      </c>
      <c r="F942" s="1">
        <v>0</v>
      </c>
      <c r="G942" s="1">
        <v>1916.9390000000001</v>
      </c>
      <c r="H942" s="1">
        <v>7179.3590000000004</v>
      </c>
      <c r="I942" s="1">
        <v>-5647.8670000000002</v>
      </c>
    </row>
    <row r="943" spans="1:9" hidden="1" x14ac:dyDescent="0.25">
      <c r="A943" s="1" t="s">
        <v>9</v>
      </c>
      <c r="B943" s="1" t="s">
        <v>228</v>
      </c>
      <c r="C943" s="1" t="s">
        <v>3</v>
      </c>
      <c r="D943" s="1">
        <v>1223.53</v>
      </c>
      <c r="E943" s="1">
        <v>289.55</v>
      </c>
      <c r="F943" s="1">
        <v>0</v>
      </c>
      <c r="G943" s="1">
        <v>1916.9390000000001</v>
      </c>
      <c r="H943" s="1">
        <v>7341.1970000000001</v>
      </c>
      <c r="I943" s="1">
        <v>-4928.8549999999996</v>
      </c>
    </row>
    <row r="944" spans="1:9" hidden="1" x14ac:dyDescent="0.25">
      <c r="A944" s="1" t="s">
        <v>9</v>
      </c>
      <c r="B944" s="1" t="s">
        <v>229</v>
      </c>
      <c r="C944" s="1" t="s">
        <v>143</v>
      </c>
      <c r="D944" s="1">
        <v>1196.56</v>
      </c>
      <c r="E944" s="1">
        <v>-289.55</v>
      </c>
      <c r="F944" s="1">
        <v>0</v>
      </c>
      <c r="G944" s="1">
        <v>-1916.9390000000001</v>
      </c>
      <c r="H944" s="1">
        <v>7179.3590000000004</v>
      </c>
      <c r="I944" s="1">
        <v>-8710.8510000000006</v>
      </c>
    </row>
    <row r="945" spans="1:9" hidden="1" x14ac:dyDescent="0.25">
      <c r="A945" s="1" t="s">
        <v>9</v>
      </c>
      <c r="B945" s="1" t="s">
        <v>229</v>
      </c>
      <c r="C945" s="1" t="s">
        <v>3</v>
      </c>
      <c r="D945" s="1">
        <v>1223.53</v>
      </c>
      <c r="E945" s="1">
        <v>-289.55</v>
      </c>
      <c r="F945" s="1">
        <v>0</v>
      </c>
      <c r="G945" s="1">
        <v>-1916.9390000000001</v>
      </c>
      <c r="H945" s="1">
        <v>7341.1970000000001</v>
      </c>
      <c r="I945" s="1">
        <v>-9753.5400000000009</v>
      </c>
    </row>
    <row r="946" spans="1:9" hidden="1" x14ac:dyDescent="0.25">
      <c r="A946" s="1" t="s">
        <v>9</v>
      </c>
      <c r="B946" s="1" t="s">
        <v>230</v>
      </c>
      <c r="C946" s="1" t="s">
        <v>143</v>
      </c>
      <c r="D946" s="1">
        <v>1283.07</v>
      </c>
      <c r="E946" s="1">
        <v>0</v>
      </c>
      <c r="F946" s="1">
        <v>265.42</v>
      </c>
      <c r="G946" s="1">
        <v>1757.194</v>
      </c>
      <c r="H946" s="1">
        <v>9102.2620000000006</v>
      </c>
      <c r="I946" s="1">
        <v>-7698.3950000000004</v>
      </c>
    </row>
    <row r="947" spans="1:9" hidden="1" x14ac:dyDescent="0.25">
      <c r="A947" s="1" t="s">
        <v>9</v>
      </c>
      <c r="B947" s="1" t="s">
        <v>230</v>
      </c>
      <c r="C947" s="1" t="s">
        <v>3</v>
      </c>
      <c r="D947" s="1">
        <v>1312.14</v>
      </c>
      <c r="E947" s="1">
        <v>0</v>
      </c>
      <c r="F947" s="1">
        <v>265.42</v>
      </c>
      <c r="G947" s="1">
        <v>1757.194</v>
      </c>
      <c r="H947" s="1">
        <v>10084.156999999999</v>
      </c>
      <c r="I947" s="1">
        <v>-7872.8440000000001</v>
      </c>
    </row>
    <row r="948" spans="1:9" hidden="1" x14ac:dyDescent="0.25">
      <c r="A948" s="1" t="s">
        <v>9</v>
      </c>
      <c r="B948" s="1" t="s">
        <v>231</v>
      </c>
      <c r="C948" s="1" t="s">
        <v>143</v>
      </c>
      <c r="D948" s="1">
        <v>1283.07</v>
      </c>
      <c r="E948" s="1">
        <v>0</v>
      </c>
      <c r="F948" s="1">
        <v>-265.42</v>
      </c>
      <c r="G948" s="1">
        <v>-1757.194</v>
      </c>
      <c r="H948" s="1">
        <v>6294.527</v>
      </c>
      <c r="I948" s="1">
        <v>-7698.3950000000004</v>
      </c>
    </row>
    <row r="949" spans="1:9" hidden="1" x14ac:dyDescent="0.25">
      <c r="A949" s="1" t="s">
        <v>9</v>
      </c>
      <c r="B949" s="1" t="s">
        <v>231</v>
      </c>
      <c r="C949" s="1" t="s">
        <v>3</v>
      </c>
      <c r="D949" s="1">
        <v>1312.14</v>
      </c>
      <c r="E949" s="1">
        <v>0</v>
      </c>
      <c r="F949" s="1">
        <v>-265.42</v>
      </c>
      <c r="G949" s="1">
        <v>-1757.194</v>
      </c>
      <c r="H949" s="1">
        <v>5661.53</v>
      </c>
      <c r="I949" s="1">
        <v>-7872.8440000000001</v>
      </c>
    </row>
    <row r="950" spans="1:9" hidden="1" x14ac:dyDescent="0.25">
      <c r="A950" s="1" t="s">
        <v>9</v>
      </c>
      <c r="B950" s="1" t="s">
        <v>232</v>
      </c>
      <c r="C950" s="1" t="s">
        <v>143</v>
      </c>
      <c r="D950" s="1">
        <v>1196.56</v>
      </c>
      <c r="E950" s="1">
        <v>0</v>
      </c>
      <c r="F950" s="1">
        <v>265.42</v>
      </c>
      <c r="G950" s="1">
        <v>1757.194</v>
      </c>
      <c r="H950" s="1">
        <v>8583.2260000000006</v>
      </c>
      <c r="I950" s="1">
        <v>-7179.3590000000004</v>
      </c>
    </row>
    <row r="951" spans="1:9" hidden="1" x14ac:dyDescent="0.25">
      <c r="A951" s="1" t="s">
        <v>9</v>
      </c>
      <c r="B951" s="1" t="s">
        <v>232</v>
      </c>
      <c r="C951" s="1" t="s">
        <v>3</v>
      </c>
      <c r="D951" s="1">
        <v>1223.53</v>
      </c>
      <c r="E951" s="1">
        <v>0</v>
      </c>
      <c r="F951" s="1">
        <v>265.42</v>
      </c>
      <c r="G951" s="1">
        <v>1757.194</v>
      </c>
      <c r="H951" s="1">
        <v>9552.5110000000004</v>
      </c>
      <c r="I951" s="1">
        <v>-7341.1970000000001</v>
      </c>
    </row>
    <row r="952" spans="1:9" hidden="1" x14ac:dyDescent="0.25">
      <c r="A952" s="1" t="s">
        <v>9</v>
      </c>
      <c r="B952" s="1" t="s">
        <v>233</v>
      </c>
      <c r="C952" s="1" t="s">
        <v>143</v>
      </c>
      <c r="D952" s="1">
        <v>1196.56</v>
      </c>
      <c r="E952" s="1">
        <v>0</v>
      </c>
      <c r="F952" s="1">
        <v>-265.42</v>
      </c>
      <c r="G952" s="1">
        <v>-1757.194</v>
      </c>
      <c r="H952" s="1">
        <v>5775.491</v>
      </c>
      <c r="I952" s="1">
        <v>-7179.3590000000004</v>
      </c>
    </row>
    <row r="953" spans="1:9" hidden="1" x14ac:dyDescent="0.25">
      <c r="A953" s="1" t="s">
        <v>9</v>
      </c>
      <c r="B953" s="1" t="s">
        <v>233</v>
      </c>
      <c r="C953" s="1" t="s">
        <v>3</v>
      </c>
      <c r="D953" s="1">
        <v>1223.53</v>
      </c>
      <c r="E953" s="1">
        <v>0</v>
      </c>
      <c r="F953" s="1">
        <v>-265.42</v>
      </c>
      <c r="G953" s="1">
        <v>-1757.194</v>
      </c>
      <c r="H953" s="1">
        <v>5129.8829999999998</v>
      </c>
      <c r="I953" s="1">
        <v>-7341.1970000000001</v>
      </c>
    </row>
    <row r="954" spans="1:9" hidden="1" x14ac:dyDescent="0.25">
      <c r="A954" s="1" t="s">
        <v>9</v>
      </c>
      <c r="B954" s="1" t="s">
        <v>234</v>
      </c>
      <c r="C954" s="1" t="s">
        <v>143</v>
      </c>
      <c r="D954" s="1">
        <v>1383.99</v>
      </c>
      <c r="E954" s="1">
        <v>86.86</v>
      </c>
      <c r="F954" s="1">
        <v>0</v>
      </c>
      <c r="G954" s="1">
        <v>575.08199999999999</v>
      </c>
      <c r="H954" s="1">
        <v>8303.9359999999997</v>
      </c>
      <c r="I954" s="1">
        <v>-7844.4889999999996</v>
      </c>
    </row>
    <row r="955" spans="1:9" hidden="1" x14ac:dyDescent="0.25">
      <c r="A955" s="1" t="s">
        <v>9</v>
      </c>
      <c r="B955" s="1" t="s">
        <v>234</v>
      </c>
      <c r="C955" s="1" t="s">
        <v>3</v>
      </c>
      <c r="D955" s="1">
        <v>1415.52</v>
      </c>
      <c r="E955" s="1">
        <v>86.86</v>
      </c>
      <c r="F955" s="1">
        <v>0</v>
      </c>
      <c r="G955" s="1">
        <v>575.08199999999999</v>
      </c>
      <c r="H955" s="1">
        <v>8493.098</v>
      </c>
      <c r="I955" s="1">
        <v>-7769.3950000000004</v>
      </c>
    </row>
    <row r="956" spans="1:9" hidden="1" x14ac:dyDescent="0.25">
      <c r="A956" s="1" t="s">
        <v>9</v>
      </c>
      <c r="B956" s="1" t="s">
        <v>235</v>
      </c>
      <c r="C956" s="1" t="s">
        <v>143</v>
      </c>
      <c r="D956" s="1">
        <v>1383.99</v>
      </c>
      <c r="E956" s="1">
        <v>-86.86</v>
      </c>
      <c r="F956" s="1">
        <v>0</v>
      </c>
      <c r="G956" s="1">
        <v>-575.08199999999999</v>
      </c>
      <c r="H956" s="1">
        <v>8303.9359999999997</v>
      </c>
      <c r="I956" s="1">
        <v>-8763.384</v>
      </c>
    </row>
    <row r="957" spans="1:9" hidden="1" x14ac:dyDescent="0.25">
      <c r="A957" s="1" t="s">
        <v>9</v>
      </c>
      <c r="B957" s="1" t="s">
        <v>235</v>
      </c>
      <c r="C957" s="1" t="s">
        <v>3</v>
      </c>
      <c r="D957" s="1">
        <v>1415.52</v>
      </c>
      <c r="E957" s="1">
        <v>-86.86</v>
      </c>
      <c r="F957" s="1">
        <v>0</v>
      </c>
      <c r="G957" s="1">
        <v>-575.08199999999999</v>
      </c>
      <c r="H957" s="1">
        <v>8493.098</v>
      </c>
      <c r="I957" s="1">
        <v>-9216.8009999999995</v>
      </c>
    </row>
    <row r="958" spans="1:9" hidden="1" x14ac:dyDescent="0.25">
      <c r="A958" s="1" t="s">
        <v>9</v>
      </c>
      <c r="B958" s="1" t="s">
        <v>236</v>
      </c>
      <c r="C958" s="1" t="s">
        <v>143</v>
      </c>
      <c r="D958" s="1">
        <v>1095.6400000000001</v>
      </c>
      <c r="E958" s="1">
        <v>86.86</v>
      </c>
      <c r="F958" s="1">
        <v>0</v>
      </c>
      <c r="G958" s="1">
        <v>575.08199999999999</v>
      </c>
      <c r="H958" s="1">
        <v>6573.817</v>
      </c>
      <c r="I958" s="1">
        <v>-6114.37</v>
      </c>
    </row>
    <row r="959" spans="1:9" hidden="1" x14ac:dyDescent="0.25">
      <c r="A959" s="1" t="s">
        <v>9</v>
      </c>
      <c r="B959" s="1" t="s">
        <v>236</v>
      </c>
      <c r="C959" s="1" t="s">
        <v>3</v>
      </c>
      <c r="D959" s="1">
        <v>1120.1600000000001</v>
      </c>
      <c r="E959" s="1">
        <v>86.86</v>
      </c>
      <c r="F959" s="1">
        <v>0</v>
      </c>
      <c r="G959" s="1">
        <v>575.08199999999999</v>
      </c>
      <c r="H959" s="1">
        <v>6720.9430000000002</v>
      </c>
      <c r="I959" s="1">
        <v>-5997.24</v>
      </c>
    </row>
    <row r="960" spans="1:9" hidden="1" x14ac:dyDescent="0.25">
      <c r="A960" s="1" t="s">
        <v>9</v>
      </c>
      <c r="B960" s="1" t="s">
        <v>237</v>
      </c>
      <c r="C960" s="1" t="s">
        <v>143</v>
      </c>
      <c r="D960" s="1">
        <v>1095.6400000000001</v>
      </c>
      <c r="E960" s="1">
        <v>-86.86</v>
      </c>
      <c r="F960" s="1">
        <v>0</v>
      </c>
      <c r="G960" s="1">
        <v>-575.08199999999999</v>
      </c>
      <c r="H960" s="1">
        <v>6573.817</v>
      </c>
      <c r="I960" s="1">
        <v>-7033.2650000000003</v>
      </c>
    </row>
    <row r="961" spans="1:9" hidden="1" x14ac:dyDescent="0.25">
      <c r="A961" s="1" t="s">
        <v>9</v>
      </c>
      <c r="B961" s="1" t="s">
        <v>237</v>
      </c>
      <c r="C961" s="1" t="s">
        <v>3</v>
      </c>
      <c r="D961" s="1">
        <v>1120.1600000000001</v>
      </c>
      <c r="E961" s="1">
        <v>-86.86</v>
      </c>
      <c r="F961" s="1">
        <v>0</v>
      </c>
      <c r="G961" s="1">
        <v>-575.08199999999999</v>
      </c>
      <c r="H961" s="1">
        <v>6720.9430000000002</v>
      </c>
      <c r="I961" s="1">
        <v>-7444.6450000000004</v>
      </c>
    </row>
    <row r="962" spans="1:9" hidden="1" x14ac:dyDescent="0.25">
      <c r="A962" s="1" t="s">
        <v>9</v>
      </c>
      <c r="B962" s="1" t="s">
        <v>238</v>
      </c>
      <c r="C962" s="1" t="s">
        <v>143</v>
      </c>
      <c r="D962" s="1">
        <v>1383.99</v>
      </c>
      <c r="E962" s="1">
        <v>0</v>
      </c>
      <c r="F962" s="1">
        <v>79.62</v>
      </c>
      <c r="G962" s="1">
        <v>527.15800000000002</v>
      </c>
      <c r="H962" s="1">
        <v>8725.0969999999998</v>
      </c>
      <c r="I962" s="1">
        <v>-8303.9359999999997</v>
      </c>
    </row>
    <row r="963" spans="1:9" hidden="1" x14ac:dyDescent="0.25">
      <c r="A963" s="1" t="s">
        <v>9</v>
      </c>
      <c r="B963" s="1" t="s">
        <v>238</v>
      </c>
      <c r="C963" s="1" t="s">
        <v>3</v>
      </c>
      <c r="D963" s="1">
        <v>1415.52</v>
      </c>
      <c r="E963" s="1">
        <v>0</v>
      </c>
      <c r="F963" s="1">
        <v>79.62</v>
      </c>
      <c r="G963" s="1">
        <v>527.15800000000002</v>
      </c>
      <c r="H963" s="1">
        <v>9156.4920000000002</v>
      </c>
      <c r="I963" s="1">
        <v>-8493.098</v>
      </c>
    </row>
    <row r="964" spans="1:9" hidden="1" x14ac:dyDescent="0.25">
      <c r="A964" s="1" t="s">
        <v>9</v>
      </c>
      <c r="B964" s="1" t="s">
        <v>239</v>
      </c>
      <c r="C964" s="1" t="s">
        <v>143</v>
      </c>
      <c r="D964" s="1">
        <v>1383.99</v>
      </c>
      <c r="E964" s="1">
        <v>0</v>
      </c>
      <c r="F964" s="1">
        <v>-79.62</v>
      </c>
      <c r="G964" s="1">
        <v>-527.15800000000002</v>
      </c>
      <c r="H964" s="1">
        <v>7882.7759999999998</v>
      </c>
      <c r="I964" s="1">
        <v>-8303.9359999999997</v>
      </c>
    </row>
    <row r="965" spans="1:9" hidden="1" x14ac:dyDescent="0.25">
      <c r="A965" s="1" t="s">
        <v>9</v>
      </c>
      <c r="B965" s="1" t="s">
        <v>239</v>
      </c>
      <c r="C965" s="1" t="s">
        <v>3</v>
      </c>
      <c r="D965" s="1">
        <v>1415.52</v>
      </c>
      <c r="E965" s="1">
        <v>0</v>
      </c>
      <c r="F965" s="1">
        <v>-79.62</v>
      </c>
      <c r="G965" s="1">
        <v>-527.15800000000002</v>
      </c>
      <c r="H965" s="1">
        <v>7829.7039999999997</v>
      </c>
      <c r="I965" s="1">
        <v>-8493.098</v>
      </c>
    </row>
    <row r="966" spans="1:9" hidden="1" x14ac:dyDescent="0.25">
      <c r="A966" s="1" t="s">
        <v>9</v>
      </c>
      <c r="B966" s="1" t="s">
        <v>240</v>
      </c>
      <c r="C966" s="1" t="s">
        <v>143</v>
      </c>
      <c r="D966" s="1">
        <v>1095.6400000000001</v>
      </c>
      <c r="E966" s="1">
        <v>0</v>
      </c>
      <c r="F966" s="1">
        <v>79.62</v>
      </c>
      <c r="G966" s="1">
        <v>527.15800000000002</v>
      </c>
      <c r="H966" s="1">
        <v>6994.9769999999999</v>
      </c>
      <c r="I966" s="1">
        <v>-6573.817</v>
      </c>
    </row>
    <row r="967" spans="1:9" hidden="1" x14ac:dyDescent="0.25">
      <c r="A967" s="1" t="s">
        <v>9</v>
      </c>
      <c r="B967" s="1" t="s">
        <v>240</v>
      </c>
      <c r="C967" s="1" t="s">
        <v>3</v>
      </c>
      <c r="D967" s="1">
        <v>1120.1600000000001</v>
      </c>
      <c r="E967" s="1">
        <v>0</v>
      </c>
      <c r="F967" s="1">
        <v>79.62</v>
      </c>
      <c r="G967" s="1">
        <v>527.15800000000002</v>
      </c>
      <c r="H967" s="1">
        <v>7384.3370000000004</v>
      </c>
      <c r="I967" s="1">
        <v>-6720.9430000000002</v>
      </c>
    </row>
    <row r="968" spans="1:9" hidden="1" x14ac:dyDescent="0.25">
      <c r="A968" s="1" t="s">
        <v>9</v>
      </c>
      <c r="B968" s="1" t="s">
        <v>241</v>
      </c>
      <c r="C968" s="1" t="s">
        <v>143</v>
      </c>
      <c r="D968" s="1">
        <v>1095.6400000000001</v>
      </c>
      <c r="E968" s="1">
        <v>0</v>
      </c>
      <c r="F968" s="1">
        <v>-79.62</v>
      </c>
      <c r="G968" s="1">
        <v>-527.15800000000002</v>
      </c>
      <c r="H968" s="1">
        <v>6152.6570000000002</v>
      </c>
      <c r="I968" s="1">
        <v>-6573.817</v>
      </c>
    </row>
    <row r="969" spans="1:9" hidden="1" x14ac:dyDescent="0.25">
      <c r="A969" s="1" t="s">
        <v>9</v>
      </c>
      <c r="B969" s="1" t="s">
        <v>241</v>
      </c>
      <c r="C969" s="1" t="s">
        <v>3</v>
      </c>
      <c r="D969" s="1">
        <v>1120.1600000000001</v>
      </c>
      <c r="E969" s="1">
        <v>0</v>
      </c>
      <c r="F969" s="1">
        <v>-79.62</v>
      </c>
      <c r="G969" s="1">
        <v>-527.15800000000002</v>
      </c>
      <c r="H969" s="1">
        <v>6057.549</v>
      </c>
      <c r="I969" s="1">
        <v>-6720.9430000000002</v>
      </c>
    </row>
    <row r="970" spans="1:9" hidden="1" x14ac:dyDescent="0.25">
      <c r="A970" s="1" t="s">
        <v>9</v>
      </c>
      <c r="B970" s="1" t="s">
        <v>242</v>
      </c>
      <c r="C970" s="1" t="s">
        <v>143</v>
      </c>
      <c r="D970" s="1">
        <v>908.31</v>
      </c>
      <c r="E970" s="1">
        <v>289.55</v>
      </c>
      <c r="F970" s="1">
        <v>0</v>
      </c>
      <c r="G970" s="1">
        <v>1916.9390000000001</v>
      </c>
      <c r="H970" s="1">
        <v>5449.875</v>
      </c>
      <c r="I970" s="1">
        <v>-3918.384</v>
      </c>
    </row>
    <row r="971" spans="1:9" hidden="1" x14ac:dyDescent="0.25">
      <c r="A971" s="1" t="s">
        <v>9</v>
      </c>
      <c r="B971" s="1" t="s">
        <v>242</v>
      </c>
      <c r="C971" s="1" t="s">
        <v>3</v>
      </c>
      <c r="D971" s="1">
        <v>930.38</v>
      </c>
      <c r="E971" s="1">
        <v>289.55</v>
      </c>
      <c r="F971" s="1">
        <v>0</v>
      </c>
      <c r="G971" s="1">
        <v>1916.9390000000001</v>
      </c>
      <c r="H971" s="1">
        <v>5582.2879999999996</v>
      </c>
      <c r="I971" s="1">
        <v>-3169.9459999999999</v>
      </c>
    </row>
    <row r="972" spans="1:9" hidden="1" x14ac:dyDescent="0.25">
      <c r="A972" s="1" t="s">
        <v>9</v>
      </c>
      <c r="B972" s="1" t="s">
        <v>243</v>
      </c>
      <c r="C972" s="1" t="s">
        <v>143</v>
      </c>
      <c r="D972" s="1">
        <v>908.31</v>
      </c>
      <c r="E972" s="1">
        <v>-289.55</v>
      </c>
      <c r="F972" s="1">
        <v>0</v>
      </c>
      <c r="G972" s="1">
        <v>-1916.9390000000001</v>
      </c>
      <c r="H972" s="1">
        <v>5449.875</v>
      </c>
      <c r="I972" s="1">
        <v>-6981.3670000000002</v>
      </c>
    </row>
    <row r="973" spans="1:9" hidden="1" x14ac:dyDescent="0.25">
      <c r="A973" s="1" t="s">
        <v>9</v>
      </c>
      <c r="B973" s="1" t="s">
        <v>243</v>
      </c>
      <c r="C973" s="1" t="s">
        <v>3</v>
      </c>
      <c r="D973" s="1">
        <v>930.38</v>
      </c>
      <c r="E973" s="1">
        <v>-289.55</v>
      </c>
      <c r="F973" s="1">
        <v>0</v>
      </c>
      <c r="G973" s="1">
        <v>-1916.9390000000001</v>
      </c>
      <c r="H973" s="1">
        <v>5582.2879999999996</v>
      </c>
      <c r="I973" s="1">
        <v>-7994.6310000000003</v>
      </c>
    </row>
    <row r="974" spans="1:9" hidden="1" x14ac:dyDescent="0.25">
      <c r="A974" s="1" t="s">
        <v>9</v>
      </c>
      <c r="B974" s="1" t="s">
        <v>244</v>
      </c>
      <c r="C974" s="1" t="s">
        <v>143</v>
      </c>
      <c r="D974" s="1">
        <v>821.81</v>
      </c>
      <c r="E974" s="1">
        <v>289.55</v>
      </c>
      <c r="F974" s="1">
        <v>0</v>
      </c>
      <c r="G974" s="1">
        <v>1916.9390000000001</v>
      </c>
      <c r="H974" s="1">
        <v>4930.84</v>
      </c>
      <c r="I974" s="1">
        <v>-3399.348</v>
      </c>
    </row>
    <row r="975" spans="1:9" hidden="1" x14ac:dyDescent="0.25">
      <c r="A975" s="1" t="s">
        <v>9</v>
      </c>
      <c r="B975" s="1" t="s">
        <v>244</v>
      </c>
      <c r="C975" s="1" t="s">
        <v>3</v>
      </c>
      <c r="D975" s="1">
        <v>841.77</v>
      </c>
      <c r="E975" s="1">
        <v>289.55</v>
      </c>
      <c r="F975" s="1">
        <v>0</v>
      </c>
      <c r="G975" s="1">
        <v>1916.9390000000001</v>
      </c>
      <c r="H975" s="1">
        <v>5050.6419999999998</v>
      </c>
      <c r="I975" s="1">
        <v>-2638.299</v>
      </c>
    </row>
    <row r="976" spans="1:9" hidden="1" x14ac:dyDescent="0.25">
      <c r="A976" s="1" t="s">
        <v>9</v>
      </c>
      <c r="B976" s="1" t="s">
        <v>245</v>
      </c>
      <c r="C976" s="1" t="s">
        <v>143</v>
      </c>
      <c r="D976" s="1">
        <v>821.81</v>
      </c>
      <c r="E976" s="1">
        <v>-289.55</v>
      </c>
      <c r="F976" s="1">
        <v>0</v>
      </c>
      <c r="G976" s="1">
        <v>-1916.9390000000001</v>
      </c>
      <c r="H976" s="1">
        <v>4930.84</v>
      </c>
      <c r="I976" s="1">
        <v>-6462.3310000000001</v>
      </c>
    </row>
    <row r="977" spans="1:9" hidden="1" x14ac:dyDescent="0.25">
      <c r="A977" s="1" t="s">
        <v>9</v>
      </c>
      <c r="B977" s="1" t="s">
        <v>245</v>
      </c>
      <c r="C977" s="1" t="s">
        <v>3</v>
      </c>
      <c r="D977" s="1">
        <v>841.77</v>
      </c>
      <c r="E977" s="1">
        <v>-289.55</v>
      </c>
      <c r="F977" s="1">
        <v>0</v>
      </c>
      <c r="G977" s="1">
        <v>-1916.9390000000001</v>
      </c>
      <c r="H977" s="1">
        <v>5050.6419999999998</v>
      </c>
      <c r="I977" s="1">
        <v>-7462.9840000000004</v>
      </c>
    </row>
    <row r="978" spans="1:9" hidden="1" x14ac:dyDescent="0.25">
      <c r="A978" s="1" t="s">
        <v>9</v>
      </c>
      <c r="B978" s="1" t="s">
        <v>246</v>
      </c>
      <c r="C978" s="1" t="s">
        <v>143</v>
      </c>
      <c r="D978" s="1">
        <v>908.31</v>
      </c>
      <c r="E978" s="1">
        <v>0</v>
      </c>
      <c r="F978" s="1">
        <v>265.42</v>
      </c>
      <c r="G978" s="1">
        <v>1757.194</v>
      </c>
      <c r="H978" s="1">
        <v>6853.7430000000004</v>
      </c>
      <c r="I978" s="1">
        <v>-5449.875</v>
      </c>
    </row>
    <row r="979" spans="1:9" hidden="1" x14ac:dyDescent="0.25">
      <c r="A979" s="1" t="s">
        <v>9</v>
      </c>
      <c r="B979" s="1" t="s">
        <v>246</v>
      </c>
      <c r="C979" s="1" t="s">
        <v>3</v>
      </c>
      <c r="D979" s="1">
        <v>930.38</v>
      </c>
      <c r="E979" s="1">
        <v>0</v>
      </c>
      <c r="F979" s="1">
        <v>265.42</v>
      </c>
      <c r="G979" s="1">
        <v>1757.194</v>
      </c>
      <c r="H979" s="1">
        <v>7793.6019999999999</v>
      </c>
      <c r="I979" s="1">
        <v>-5582.2879999999996</v>
      </c>
    </row>
    <row r="980" spans="1:9" hidden="1" x14ac:dyDescent="0.25">
      <c r="A980" s="1" t="s">
        <v>9</v>
      </c>
      <c r="B980" s="1" t="s">
        <v>247</v>
      </c>
      <c r="C980" s="1" t="s">
        <v>143</v>
      </c>
      <c r="D980" s="1">
        <v>908.31</v>
      </c>
      <c r="E980" s="1">
        <v>0</v>
      </c>
      <c r="F980" s="1">
        <v>-265.42</v>
      </c>
      <c r="G980" s="1">
        <v>-1757.194</v>
      </c>
      <c r="H980" s="1">
        <v>4046.0079999999998</v>
      </c>
      <c r="I980" s="1">
        <v>-5449.875</v>
      </c>
    </row>
    <row r="981" spans="1:9" hidden="1" x14ac:dyDescent="0.25">
      <c r="A981" s="1" t="s">
        <v>9</v>
      </c>
      <c r="B981" s="1" t="s">
        <v>247</v>
      </c>
      <c r="C981" s="1" t="s">
        <v>3</v>
      </c>
      <c r="D981" s="1">
        <v>930.38</v>
      </c>
      <c r="E981" s="1">
        <v>0</v>
      </c>
      <c r="F981" s="1">
        <v>-265.42</v>
      </c>
      <c r="G981" s="1">
        <v>-1757.194</v>
      </c>
      <c r="H981" s="1">
        <v>3370.9740000000002</v>
      </c>
      <c r="I981" s="1">
        <v>-5582.2879999999996</v>
      </c>
    </row>
    <row r="982" spans="1:9" hidden="1" x14ac:dyDescent="0.25">
      <c r="A982" s="1" t="s">
        <v>9</v>
      </c>
      <c r="B982" s="1" t="s">
        <v>248</v>
      </c>
      <c r="C982" s="1" t="s">
        <v>143</v>
      </c>
      <c r="D982" s="1">
        <v>821.81</v>
      </c>
      <c r="E982" s="1">
        <v>0</v>
      </c>
      <c r="F982" s="1">
        <v>265.42</v>
      </c>
      <c r="G982" s="1">
        <v>1757.194</v>
      </c>
      <c r="H982" s="1">
        <v>6334.7070000000003</v>
      </c>
      <c r="I982" s="1">
        <v>-4930.84</v>
      </c>
    </row>
    <row r="983" spans="1:9" hidden="1" x14ac:dyDescent="0.25">
      <c r="A983" s="1" t="s">
        <v>9</v>
      </c>
      <c r="B983" s="1" t="s">
        <v>248</v>
      </c>
      <c r="C983" s="1" t="s">
        <v>3</v>
      </c>
      <c r="D983" s="1">
        <v>841.77</v>
      </c>
      <c r="E983" s="1">
        <v>0</v>
      </c>
      <c r="F983" s="1">
        <v>265.42</v>
      </c>
      <c r="G983" s="1">
        <v>1757.194</v>
      </c>
      <c r="H983" s="1">
        <v>7261.9560000000001</v>
      </c>
      <c r="I983" s="1">
        <v>-5050.6419999999998</v>
      </c>
    </row>
    <row r="984" spans="1:9" hidden="1" x14ac:dyDescent="0.25">
      <c r="A984" s="1" t="s">
        <v>9</v>
      </c>
      <c r="B984" s="1" t="s">
        <v>249</v>
      </c>
      <c r="C984" s="1" t="s">
        <v>143</v>
      </c>
      <c r="D984" s="1">
        <v>821.81</v>
      </c>
      <c r="E984" s="1">
        <v>0</v>
      </c>
      <c r="F984" s="1">
        <v>-265.42</v>
      </c>
      <c r="G984" s="1">
        <v>-1757.194</v>
      </c>
      <c r="H984" s="1">
        <v>3526.9720000000002</v>
      </c>
      <c r="I984" s="1">
        <v>-4930.84</v>
      </c>
    </row>
    <row r="985" spans="1:9" hidden="1" x14ac:dyDescent="0.25">
      <c r="A985" s="1" t="s">
        <v>9</v>
      </c>
      <c r="B985" s="1" t="s">
        <v>249</v>
      </c>
      <c r="C985" s="1" t="s">
        <v>3</v>
      </c>
      <c r="D985" s="1">
        <v>841.77</v>
      </c>
      <c r="E985" s="1">
        <v>0</v>
      </c>
      <c r="F985" s="1">
        <v>-265.42</v>
      </c>
      <c r="G985" s="1">
        <v>-1757.194</v>
      </c>
      <c r="H985" s="1">
        <v>2839.328</v>
      </c>
      <c r="I985" s="1">
        <v>-5050.6419999999998</v>
      </c>
    </row>
    <row r="986" spans="1:9" hidden="1" x14ac:dyDescent="0.25">
      <c r="A986" s="1" t="s">
        <v>9</v>
      </c>
      <c r="B986" s="1" t="s">
        <v>250</v>
      </c>
      <c r="C986" s="1" t="s">
        <v>143</v>
      </c>
      <c r="D986" s="1">
        <v>1009.24</v>
      </c>
      <c r="E986" s="1">
        <v>86.86</v>
      </c>
      <c r="F986" s="1">
        <v>0</v>
      </c>
      <c r="G986" s="1">
        <v>575.08199999999999</v>
      </c>
      <c r="H986" s="1">
        <v>6055.4170000000004</v>
      </c>
      <c r="I986" s="1">
        <v>-5595.97</v>
      </c>
    </row>
    <row r="987" spans="1:9" hidden="1" x14ac:dyDescent="0.25">
      <c r="A987" s="1" t="s">
        <v>9</v>
      </c>
      <c r="B987" s="1" t="s">
        <v>250</v>
      </c>
      <c r="C987" s="1" t="s">
        <v>3</v>
      </c>
      <c r="D987" s="1">
        <v>1033.76</v>
      </c>
      <c r="E987" s="1">
        <v>86.86</v>
      </c>
      <c r="F987" s="1">
        <v>0</v>
      </c>
      <c r="G987" s="1">
        <v>575.08199999999999</v>
      </c>
      <c r="H987" s="1">
        <v>6202.5429999999997</v>
      </c>
      <c r="I987" s="1">
        <v>-5478.84</v>
      </c>
    </row>
    <row r="988" spans="1:9" hidden="1" x14ac:dyDescent="0.25">
      <c r="A988" s="1" t="s">
        <v>9</v>
      </c>
      <c r="B988" s="1" t="s">
        <v>251</v>
      </c>
      <c r="C988" s="1" t="s">
        <v>143</v>
      </c>
      <c r="D988" s="1">
        <v>1009.24</v>
      </c>
      <c r="E988" s="1">
        <v>-86.86</v>
      </c>
      <c r="F988" s="1">
        <v>0</v>
      </c>
      <c r="G988" s="1">
        <v>-575.08199999999999</v>
      </c>
      <c r="H988" s="1">
        <v>6055.4170000000004</v>
      </c>
      <c r="I988" s="1">
        <v>-6514.8649999999998</v>
      </c>
    </row>
    <row r="989" spans="1:9" hidden="1" x14ac:dyDescent="0.25">
      <c r="A989" s="1" t="s">
        <v>9</v>
      </c>
      <c r="B989" s="1" t="s">
        <v>251</v>
      </c>
      <c r="C989" s="1" t="s">
        <v>3</v>
      </c>
      <c r="D989" s="1">
        <v>1033.76</v>
      </c>
      <c r="E989" s="1">
        <v>-86.86</v>
      </c>
      <c r="F989" s="1">
        <v>0</v>
      </c>
      <c r="G989" s="1">
        <v>-575.08199999999999</v>
      </c>
      <c r="H989" s="1">
        <v>6202.5429999999997</v>
      </c>
      <c r="I989" s="1">
        <v>-6926.2449999999999</v>
      </c>
    </row>
    <row r="990" spans="1:9" hidden="1" x14ac:dyDescent="0.25">
      <c r="A990" s="1" t="s">
        <v>9</v>
      </c>
      <c r="B990" s="1" t="s">
        <v>252</v>
      </c>
      <c r="C990" s="1" t="s">
        <v>143</v>
      </c>
      <c r="D990" s="1">
        <v>720.88</v>
      </c>
      <c r="E990" s="1">
        <v>86.86</v>
      </c>
      <c r="F990" s="1">
        <v>0</v>
      </c>
      <c r="G990" s="1">
        <v>575.08199999999999</v>
      </c>
      <c r="H990" s="1">
        <v>4325.2979999999998</v>
      </c>
      <c r="I990" s="1">
        <v>-3865.85</v>
      </c>
    </row>
    <row r="991" spans="1:9" hidden="1" x14ac:dyDescent="0.25">
      <c r="A991" s="1" t="s">
        <v>9</v>
      </c>
      <c r="B991" s="1" t="s">
        <v>252</v>
      </c>
      <c r="C991" s="1" t="s">
        <v>3</v>
      </c>
      <c r="D991" s="1">
        <v>738.4</v>
      </c>
      <c r="E991" s="1">
        <v>86.86</v>
      </c>
      <c r="F991" s="1">
        <v>0</v>
      </c>
      <c r="G991" s="1">
        <v>575.08199999999999</v>
      </c>
      <c r="H991" s="1">
        <v>4430.3879999999999</v>
      </c>
      <c r="I991" s="1">
        <v>-3706.6849999999999</v>
      </c>
    </row>
    <row r="992" spans="1:9" hidden="1" x14ac:dyDescent="0.25">
      <c r="A992" s="1" t="s">
        <v>9</v>
      </c>
      <c r="B992" s="1" t="s">
        <v>253</v>
      </c>
      <c r="C992" s="1" t="s">
        <v>143</v>
      </c>
      <c r="D992" s="1">
        <v>720.88</v>
      </c>
      <c r="E992" s="1">
        <v>-86.86</v>
      </c>
      <c r="F992" s="1">
        <v>0</v>
      </c>
      <c r="G992" s="1">
        <v>-575.08199999999999</v>
      </c>
      <c r="H992" s="1">
        <v>4325.2979999999998</v>
      </c>
      <c r="I992" s="1">
        <v>-4784.7449999999999</v>
      </c>
    </row>
    <row r="993" spans="1:9" hidden="1" x14ac:dyDescent="0.25">
      <c r="A993" s="1" t="s">
        <v>9</v>
      </c>
      <c r="B993" s="1" t="s">
        <v>253</v>
      </c>
      <c r="C993" s="1" t="s">
        <v>3</v>
      </c>
      <c r="D993" s="1">
        <v>738.4</v>
      </c>
      <c r="E993" s="1">
        <v>-86.86</v>
      </c>
      <c r="F993" s="1">
        <v>0</v>
      </c>
      <c r="G993" s="1">
        <v>-575.08199999999999</v>
      </c>
      <c r="H993" s="1">
        <v>4430.3879999999999</v>
      </c>
      <c r="I993" s="1">
        <v>-5154.09</v>
      </c>
    </row>
    <row r="994" spans="1:9" hidden="1" x14ac:dyDescent="0.25">
      <c r="A994" s="1" t="s">
        <v>9</v>
      </c>
      <c r="B994" s="1" t="s">
        <v>254</v>
      </c>
      <c r="C994" s="1" t="s">
        <v>143</v>
      </c>
      <c r="D994" s="1">
        <v>1009.24</v>
      </c>
      <c r="E994" s="1">
        <v>0</v>
      </c>
      <c r="F994" s="1">
        <v>79.62</v>
      </c>
      <c r="G994" s="1">
        <v>527.15800000000002</v>
      </c>
      <c r="H994" s="1">
        <v>6476.5770000000002</v>
      </c>
      <c r="I994" s="1">
        <v>-6055.4170000000004</v>
      </c>
    </row>
    <row r="995" spans="1:9" hidden="1" x14ac:dyDescent="0.25">
      <c r="A995" s="1" t="s">
        <v>9</v>
      </c>
      <c r="B995" s="1" t="s">
        <v>254</v>
      </c>
      <c r="C995" s="1" t="s">
        <v>3</v>
      </c>
      <c r="D995" s="1">
        <v>1033.76</v>
      </c>
      <c r="E995" s="1">
        <v>0</v>
      </c>
      <c r="F995" s="1">
        <v>79.62</v>
      </c>
      <c r="G995" s="1">
        <v>527.15800000000002</v>
      </c>
      <c r="H995" s="1">
        <v>6865.9369999999999</v>
      </c>
      <c r="I995" s="1">
        <v>-6202.5429999999997</v>
      </c>
    </row>
    <row r="996" spans="1:9" hidden="1" x14ac:dyDescent="0.25">
      <c r="A996" s="1" t="s">
        <v>9</v>
      </c>
      <c r="B996" s="1" t="s">
        <v>255</v>
      </c>
      <c r="C996" s="1" t="s">
        <v>143</v>
      </c>
      <c r="D996" s="1">
        <v>1009.24</v>
      </c>
      <c r="E996" s="1">
        <v>0</v>
      </c>
      <c r="F996" s="1">
        <v>-79.62</v>
      </c>
      <c r="G996" s="1">
        <v>-527.15800000000002</v>
      </c>
      <c r="H996" s="1">
        <v>5634.2569999999996</v>
      </c>
      <c r="I996" s="1">
        <v>-6055.4170000000004</v>
      </c>
    </row>
    <row r="997" spans="1:9" hidden="1" x14ac:dyDescent="0.25">
      <c r="A997" s="1" t="s">
        <v>9</v>
      </c>
      <c r="B997" s="1" t="s">
        <v>255</v>
      </c>
      <c r="C997" s="1" t="s">
        <v>3</v>
      </c>
      <c r="D997" s="1">
        <v>1033.76</v>
      </c>
      <c r="E997" s="1">
        <v>0</v>
      </c>
      <c r="F997" s="1">
        <v>-79.62</v>
      </c>
      <c r="G997" s="1">
        <v>-527.15800000000002</v>
      </c>
      <c r="H997" s="1">
        <v>5539.1490000000003</v>
      </c>
      <c r="I997" s="1">
        <v>-6202.5429999999997</v>
      </c>
    </row>
    <row r="998" spans="1:9" hidden="1" x14ac:dyDescent="0.25">
      <c r="A998" s="1" t="s">
        <v>9</v>
      </c>
      <c r="B998" s="1" t="s">
        <v>256</v>
      </c>
      <c r="C998" s="1" t="s">
        <v>143</v>
      </c>
      <c r="D998" s="1">
        <v>720.88</v>
      </c>
      <c r="E998" s="1">
        <v>0</v>
      </c>
      <c r="F998" s="1">
        <v>79.62</v>
      </c>
      <c r="G998" s="1">
        <v>527.15800000000002</v>
      </c>
      <c r="H998" s="1">
        <v>4746.4579999999996</v>
      </c>
      <c r="I998" s="1">
        <v>-4325.2979999999998</v>
      </c>
    </row>
    <row r="999" spans="1:9" hidden="1" x14ac:dyDescent="0.25">
      <c r="A999" s="1" t="s">
        <v>9</v>
      </c>
      <c r="B999" s="1" t="s">
        <v>256</v>
      </c>
      <c r="C999" s="1" t="s">
        <v>3</v>
      </c>
      <c r="D999" s="1">
        <v>738.4</v>
      </c>
      <c r="E999" s="1">
        <v>0</v>
      </c>
      <c r="F999" s="1">
        <v>79.62</v>
      </c>
      <c r="G999" s="1">
        <v>527.15800000000002</v>
      </c>
      <c r="H999" s="1">
        <v>5093.7820000000002</v>
      </c>
      <c r="I999" s="1">
        <v>-4430.3879999999999</v>
      </c>
    </row>
    <row r="1000" spans="1:9" hidden="1" x14ac:dyDescent="0.25">
      <c r="A1000" s="1" t="s">
        <v>9</v>
      </c>
      <c r="B1000" s="1" t="s">
        <v>257</v>
      </c>
      <c r="C1000" s="1" t="s">
        <v>143</v>
      </c>
      <c r="D1000" s="1">
        <v>720.88</v>
      </c>
      <c r="E1000" s="1">
        <v>0</v>
      </c>
      <c r="F1000" s="1">
        <v>-79.62</v>
      </c>
      <c r="G1000" s="1">
        <v>-527.15800000000002</v>
      </c>
      <c r="H1000" s="1">
        <v>3904.1379999999999</v>
      </c>
      <c r="I1000" s="1">
        <v>-4325.2979999999998</v>
      </c>
    </row>
    <row r="1001" spans="1:9" hidden="1" x14ac:dyDescent="0.25">
      <c r="A1001" s="1" t="s">
        <v>9</v>
      </c>
      <c r="B1001" s="1" t="s">
        <v>257</v>
      </c>
      <c r="C1001" s="1" t="s">
        <v>3</v>
      </c>
      <c r="D1001" s="1">
        <v>738.4</v>
      </c>
      <c r="E1001" s="1">
        <v>0</v>
      </c>
      <c r="F1001" s="1">
        <v>-79.62</v>
      </c>
      <c r="G1001" s="1">
        <v>-527.15800000000002</v>
      </c>
      <c r="H1001" s="1">
        <v>3766.9929999999999</v>
      </c>
      <c r="I1001" s="1">
        <v>-4430.3879999999999</v>
      </c>
    </row>
    <row r="1002" spans="1:9" hidden="1" x14ac:dyDescent="0.25">
      <c r="A1002" s="1" t="s">
        <v>10</v>
      </c>
      <c r="B1002" s="1" t="s">
        <v>2</v>
      </c>
      <c r="C1002" s="1" t="s">
        <v>143</v>
      </c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</row>
    <row r="1003" spans="1:9" hidden="1" x14ac:dyDescent="0.25">
      <c r="A1003" s="1" t="s">
        <v>10</v>
      </c>
      <c r="B1003" s="1" t="s">
        <v>2</v>
      </c>
      <c r="C1003" s="1" t="s">
        <v>3</v>
      </c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</row>
    <row r="1004" spans="1:9" hidden="1" x14ac:dyDescent="0.25">
      <c r="A1004" s="1" t="s">
        <v>10</v>
      </c>
      <c r="B1004" s="1" t="s">
        <v>144</v>
      </c>
      <c r="C1004" s="1" t="s">
        <v>143</v>
      </c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</row>
    <row r="1005" spans="1:9" x14ac:dyDescent="0.25">
      <c r="A1005" s="1" t="s">
        <v>10</v>
      </c>
      <c r="B1005" s="1" t="s">
        <v>144</v>
      </c>
      <c r="C1005" s="1" t="s">
        <v>3</v>
      </c>
      <c r="D1005" s="1">
        <v>0</v>
      </c>
      <c r="E1005" s="1">
        <v>0</v>
      </c>
      <c r="F1005" s="1">
        <v>0</v>
      </c>
      <c r="G1005" s="1">
        <v>0</v>
      </c>
      <c r="H1005" s="1">
        <v>0</v>
      </c>
      <c r="I1005" s="1">
        <v>0</v>
      </c>
    </row>
    <row r="1006" spans="1:9" hidden="1" x14ac:dyDescent="0.25">
      <c r="A1006" s="1" t="s">
        <v>10</v>
      </c>
      <c r="B1006" s="1" t="s">
        <v>12</v>
      </c>
      <c r="C1006" s="1" t="s">
        <v>143</v>
      </c>
      <c r="D1006" s="1">
        <v>0</v>
      </c>
      <c r="E1006" s="1">
        <v>0</v>
      </c>
      <c r="F1006" s="1">
        <v>0</v>
      </c>
      <c r="G1006" s="1">
        <v>0</v>
      </c>
      <c r="H1006" s="1">
        <v>0</v>
      </c>
      <c r="I1006" s="1">
        <v>0</v>
      </c>
    </row>
    <row r="1007" spans="1:9" hidden="1" x14ac:dyDescent="0.25">
      <c r="A1007" s="1" t="s">
        <v>10</v>
      </c>
      <c r="B1007" s="1" t="s">
        <v>12</v>
      </c>
      <c r="C1007" s="1" t="s">
        <v>3</v>
      </c>
      <c r="D1007" s="1">
        <v>0</v>
      </c>
      <c r="E1007" s="1">
        <v>0</v>
      </c>
      <c r="F1007" s="1">
        <v>0</v>
      </c>
      <c r="G1007" s="1">
        <v>0</v>
      </c>
      <c r="H1007" s="1">
        <v>0</v>
      </c>
      <c r="I1007" s="1">
        <v>0</v>
      </c>
    </row>
    <row r="1008" spans="1:9" hidden="1" x14ac:dyDescent="0.25">
      <c r="A1008" s="1" t="s">
        <v>10</v>
      </c>
      <c r="B1008" s="1" t="s">
        <v>13</v>
      </c>
      <c r="C1008" s="1" t="s">
        <v>143</v>
      </c>
      <c r="D1008" s="1">
        <v>0</v>
      </c>
      <c r="E1008" s="1">
        <v>0</v>
      </c>
      <c r="F1008" s="1">
        <v>0</v>
      </c>
      <c r="G1008" s="1">
        <v>0</v>
      </c>
      <c r="H1008" s="1">
        <v>0</v>
      </c>
      <c r="I1008" s="1">
        <v>0</v>
      </c>
    </row>
    <row r="1009" spans="1:9" hidden="1" x14ac:dyDescent="0.25">
      <c r="A1009" s="1" t="s">
        <v>10</v>
      </c>
      <c r="B1009" s="1" t="s">
        <v>13</v>
      </c>
      <c r="C1009" s="1" t="s">
        <v>3</v>
      </c>
      <c r="D1009" s="1">
        <v>0</v>
      </c>
      <c r="E1009" s="1">
        <v>0</v>
      </c>
      <c r="F1009" s="1">
        <v>0</v>
      </c>
      <c r="G1009" s="1">
        <v>0</v>
      </c>
      <c r="H1009" s="1">
        <v>0</v>
      </c>
      <c r="I1009" s="1">
        <v>0</v>
      </c>
    </row>
    <row r="1010" spans="1:9" hidden="1" x14ac:dyDescent="0.25">
      <c r="A1010" s="1" t="s">
        <v>10</v>
      </c>
      <c r="B1010" s="1" t="s">
        <v>14</v>
      </c>
      <c r="C1010" s="1" t="s">
        <v>143</v>
      </c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</row>
    <row r="1011" spans="1:9" hidden="1" x14ac:dyDescent="0.25">
      <c r="A1011" s="1" t="s">
        <v>10</v>
      </c>
      <c r="B1011" s="1" t="s">
        <v>14</v>
      </c>
      <c r="C1011" s="1" t="s">
        <v>3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</row>
    <row r="1012" spans="1:9" hidden="1" x14ac:dyDescent="0.25">
      <c r="A1012" s="1" t="s">
        <v>10</v>
      </c>
      <c r="B1012" s="1" t="s">
        <v>15</v>
      </c>
      <c r="C1012" s="1" t="s">
        <v>143</v>
      </c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</v>
      </c>
    </row>
    <row r="1013" spans="1:9" hidden="1" x14ac:dyDescent="0.25">
      <c r="A1013" s="1" t="s">
        <v>10</v>
      </c>
      <c r="B1013" s="1" t="s">
        <v>15</v>
      </c>
      <c r="C1013" s="1" t="s">
        <v>3</v>
      </c>
      <c r="D1013" s="1">
        <v>0</v>
      </c>
      <c r="E1013" s="1">
        <v>0</v>
      </c>
      <c r="F1013" s="1">
        <v>0</v>
      </c>
      <c r="G1013" s="1">
        <v>0</v>
      </c>
      <c r="H1013" s="1">
        <v>0</v>
      </c>
      <c r="I1013" s="1">
        <v>0</v>
      </c>
    </row>
    <row r="1014" spans="1:9" hidden="1" x14ac:dyDescent="0.25">
      <c r="A1014" s="1" t="s">
        <v>10</v>
      </c>
      <c r="B1014" s="1" t="s">
        <v>145</v>
      </c>
      <c r="C1014" s="1" t="s">
        <v>143</v>
      </c>
      <c r="D1014" s="1">
        <v>0</v>
      </c>
      <c r="E1014" s="1">
        <v>0</v>
      </c>
      <c r="F1014" s="1">
        <v>0</v>
      </c>
      <c r="G1014" s="1">
        <v>0</v>
      </c>
      <c r="H1014" s="1">
        <v>0</v>
      </c>
      <c r="I1014" s="1">
        <v>0</v>
      </c>
    </row>
    <row r="1015" spans="1:9" hidden="1" x14ac:dyDescent="0.25">
      <c r="A1015" s="1" t="s">
        <v>10</v>
      </c>
      <c r="B1015" s="1" t="s">
        <v>145</v>
      </c>
      <c r="C1015" s="1" t="s">
        <v>3</v>
      </c>
      <c r="D1015" s="1">
        <v>0</v>
      </c>
      <c r="E1015" s="1">
        <v>0</v>
      </c>
      <c r="F1015" s="1">
        <v>0</v>
      </c>
      <c r="G1015" s="1">
        <v>0</v>
      </c>
      <c r="H1015" s="1">
        <v>0</v>
      </c>
      <c r="I1015" s="1">
        <v>0</v>
      </c>
    </row>
    <row r="1016" spans="1:9" hidden="1" x14ac:dyDescent="0.25">
      <c r="A1016" s="1" t="s">
        <v>10</v>
      </c>
      <c r="B1016" s="1" t="s">
        <v>146</v>
      </c>
      <c r="C1016" s="1" t="s">
        <v>143</v>
      </c>
      <c r="D1016" s="1">
        <v>0</v>
      </c>
      <c r="E1016" s="1">
        <v>0</v>
      </c>
      <c r="F1016" s="1">
        <v>0</v>
      </c>
      <c r="G1016" s="1">
        <v>0</v>
      </c>
      <c r="H1016" s="1">
        <v>0</v>
      </c>
      <c r="I1016" s="1">
        <v>0</v>
      </c>
    </row>
    <row r="1017" spans="1:9" hidden="1" x14ac:dyDescent="0.25">
      <c r="A1017" s="1" t="s">
        <v>10</v>
      </c>
      <c r="B1017" s="1" t="s">
        <v>146</v>
      </c>
      <c r="C1017" s="1" t="s">
        <v>3</v>
      </c>
      <c r="D1017" s="1">
        <v>0</v>
      </c>
      <c r="E1017" s="1">
        <v>0</v>
      </c>
      <c r="F1017" s="1">
        <v>0</v>
      </c>
      <c r="G1017" s="1">
        <v>0</v>
      </c>
      <c r="H1017" s="1">
        <v>0</v>
      </c>
      <c r="I1017" s="1">
        <v>0</v>
      </c>
    </row>
    <row r="1018" spans="1:9" hidden="1" x14ac:dyDescent="0.25">
      <c r="A1018" s="1" t="s">
        <v>10</v>
      </c>
      <c r="B1018" s="1" t="s">
        <v>147</v>
      </c>
      <c r="C1018" s="1" t="s">
        <v>143</v>
      </c>
      <c r="D1018" s="1">
        <v>0</v>
      </c>
      <c r="E1018" s="1">
        <v>0</v>
      </c>
      <c r="F1018" s="1">
        <v>0</v>
      </c>
      <c r="G1018" s="1">
        <v>0</v>
      </c>
      <c r="H1018" s="1">
        <v>0</v>
      </c>
      <c r="I1018" s="1">
        <v>0</v>
      </c>
    </row>
    <row r="1019" spans="1:9" hidden="1" x14ac:dyDescent="0.25">
      <c r="A1019" s="1" t="s">
        <v>10</v>
      </c>
      <c r="B1019" s="1" t="s">
        <v>147</v>
      </c>
      <c r="C1019" s="1" t="s">
        <v>3</v>
      </c>
      <c r="D1019" s="1">
        <v>0</v>
      </c>
      <c r="E1019" s="1">
        <v>0</v>
      </c>
      <c r="F1019" s="1">
        <v>0</v>
      </c>
      <c r="G1019" s="1">
        <v>0</v>
      </c>
      <c r="H1019" s="1">
        <v>0</v>
      </c>
      <c r="I1019" s="1">
        <v>0</v>
      </c>
    </row>
    <row r="1020" spans="1:9" hidden="1" x14ac:dyDescent="0.25">
      <c r="A1020" s="1" t="s">
        <v>10</v>
      </c>
      <c r="B1020" s="1" t="s">
        <v>148</v>
      </c>
      <c r="C1020" s="1" t="s">
        <v>143</v>
      </c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</row>
    <row r="1021" spans="1:9" hidden="1" x14ac:dyDescent="0.25">
      <c r="A1021" s="1" t="s">
        <v>10</v>
      </c>
      <c r="B1021" s="1" t="s">
        <v>148</v>
      </c>
      <c r="C1021" s="1" t="s">
        <v>3</v>
      </c>
      <c r="D1021" s="1">
        <v>0</v>
      </c>
      <c r="E1021" s="1">
        <v>0</v>
      </c>
      <c r="F1021" s="1">
        <v>0</v>
      </c>
      <c r="G1021" s="1">
        <v>0</v>
      </c>
      <c r="H1021" s="1">
        <v>0</v>
      </c>
      <c r="I1021" s="1">
        <v>0</v>
      </c>
    </row>
    <row r="1022" spans="1:9" hidden="1" x14ac:dyDescent="0.25">
      <c r="A1022" s="1" t="s">
        <v>10</v>
      </c>
      <c r="B1022" s="1" t="s">
        <v>149</v>
      </c>
      <c r="C1022" s="1" t="s">
        <v>143</v>
      </c>
      <c r="D1022" s="1">
        <v>0</v>
      </c>
      <c r="E1022" s="1">
        <v>0</v>
      </c>
      <c r="F1022" s="1">
        <v>0</v>
      </c>
      <c r="G1022" s="1">
        <v>0</v>
      </c>
      <c r="H1022" s="1">
        <v>0</v>
      </c>
      <c r="I1022" s="1">
        <v>0</v>
      </c>
    </row>
    <row r="1023" spans="1:9" hidden="1" x14ac:dyDescent="0.25">
      <c r="A1023" s="1" t="s">
        <v>10</v>
      </c>
      <c r="B1023" s="1" t="s">
        <v>149</v>
      </c>
      <c r="C1023" s="1" t="s">
        <v>3</v>
      </c>
      <c r="D1023" s="1">
        <v>0</v>
      </c>
      <c r="E1023" s="1">
        <v>0</v>
      </c>
      <c r="F1023" s="1">
        <v>0</v>
      </c>
      <c r="G1023" s="1">
        <v>0</v>
      </c>
      <c r="H1023" s="1">
        <v>0</v>
      </c>
      <c r="I1023" s="1">
        <v>0</v>
      </c>
    </row>
    <row r="1024" spans="1:9" hidden="1" x14ac:dyDescent="0.25">
      <c r="A1024" s="1" t="s">
        <v>10</v>
      </c>
      <c r="B1024" s="1" t="s">
        <v>150</v>
      </c>
      <c r="C1024" s="1" t="s">
        <v>143</v>
      </c>
      <c r="D1024" s="1">
        <v>0</v>
      </c>
      <c r="E1024" s="1">
        <v>0</v>
      </c>
      <c r="F1024" s="1">
        <v>0</v>
      </c>
      <c r="G1024" s="1">
        <v>0</v>
      </c>
      <c r="H1024" s="1">
        <v>0</v>
      </c>
      <c r="I1024" s="1">
        <v>0</v>
      </c>
    </row>
    <row r="1025" spans="1:9" hidden="1" x14ac:dyDescent="0.25">
      <c r="A1025" s="1" t="s">
        <v>10</v>
      </c>
      <c r="B1025" s="1" t="s">
        <v>150</v>
      </c>
      <c r="C1025" s="1" t="s">
        <v>3</v>
      </c>
      <c r="D1025" s="1">
        <v>0</v>
      </c>
      <c r="E1025" s="1">
        <v>0</v>
      </c>
      <c r="F1025" s="1">
        <v>0</v>
      </c>
      <c r="G1025" s="1">
        <v>0</v>
      </c>
      <c r="H1025" s="1">
        <v>0</v>
      </c>
      <c r="I1025" s="1">
        <v>0</v>
      </c>
    </row>
    <row r="1026" spans="1:9" hidden="1" x14ac:dyDescent="0.25">
      <c r="A1026" s="1" t="s">
        <v>10</v>
      </c>
      <c r="B1026" s="1" t="s">
        <v>16</v>
      </c>
      <c r="C1026" s="1" t="s">
        <v>143</v>
      </c>
      <c r="D1026" s="1">
        <v>0</v>
      </c>
      <c r="E1026" s="1">
        <v>0</v>
      </c>
      <c r="F1026" s="1">
        <v>0</v>
      </c>
      <c r="G1026" s="1">
        <v>0</v>
      </c>
      <c r="H1026" s="1">
        <v>0</v>
      </c>
      <c r="I1026" s="1">
        <v>0</v>
      </c>
    </row>
    <row r="1027" spans="1:9" hidden="1" x14ac:dyDescent="0.25">
      <c r="A1027" s="1" t="s">
        <v>10</v>
      </c>
      <c r="B1027" s="1" t="s">
        <v>16</v>
      </c>
      <c r="C1027" s="1" t="s">
        <v>3</v>
      </c>
      <c r="D1027" s="1">
        <v>0</v>
      </c>
      <c r="E1027" s="1">
        <v>0</v>
      </c>
      <c r="F1027" s="1">
        <v>0</v>
      </c>
      <c r="G1027" s="1">
        <v>0</v>
      </c>
      <c r="H1027" s="1">
        <v>0</v>
      </c>
      <c r="I1027" s="1">
        <v>0</v>
      </c>
    </row>
    <row r="1028" spans="1:9" hidden="1" x14ac:dyDescent="0.25">
      <c r="A1028" s="1" t="s">
        <v>10</v>
      </c>
      <c r="B1028" s="1" t="s">
        <v>151</v>
      </c>
      <c r="C1028" s="1" t="s">
        <v>143</v>
      </c>
      <c r="D1028" s="1">
        <v>0</v>
      </c>
      <c r="E1028" s="1">
        <v>0</v>
      </c>
      <c r="F1028" s="1">
        <v>0</v>
      </c>
      <c r="G1028" s="1">
        <v>0</v>
      </c>
      <c r="H1028" s="1">
        <v>0</v>
      </c>
      <c r="I1028" s="1">
        <v>0</v>
      </c>
    </row>
    <row r="1029" spans="1:9" hidden="1" x14ac:dyDescent="0.25">
      <c r="A1029" s="1" t="s">
        <v>10</v>
      </c>
      <c r="B1029" s="1" t="s">
        <v>151</v>
      </c>
      <c r="C1029" s="1" t="s">
        <v>3</v>
      </c>
      <c r="D1029" s="1">
        <v>0</v>
      </c>
      <c r="E1029" s="1">
        <v>0</v>
      </c>
      <c r="F1029" s="1">
        <v>0</v>
      </c>
      <c r="G1029" s="1">
        <v>0</v>
      </c>
      <c r="H1029" s="1">
        <v>0</v>
      </c>
      <c r="I1029" s="1">
        <v>0</v>
      </c>
    </row>
    <row r="1030" spans="1:9" hidden="1" x14ac:dyDescent="0.25">
      <c r="A1030" s="1" t="s">
        <v>10</v>
      </c>
      <c r="B1030" s="1" t="s">
        <v>152</v>
      </c>
      <c r="C1030" s="1" t="s">
        <v>143</v>
      </c>
      <c r="D1030" s="1">
        <v>0</v>
      </c>
      <c r="E1030" s="1">
        <v>0</v>
      </c>
      <c r="F1030" s="1">
        <v>0</v>
      </c>
      <c r="G1030" s="1">
        <v>0</v>
      </c>
      <c r="H1030" s="1">
        <v>0</v>
      </c>
      <c r="I1030" s="1">
        <v>0</v>
      </c>
    </row>
    <row r="1031" spans="1:9" hidden="1" x14ac:dyDescent="0.25">
      <c r="A1031" s="1" t="s">
        <v>10</v>
      </c>
      <c r="B1031" s="1" t="s">
        <v>152</v>
      </c>
      <c r="C1031" s="1" t="s">
        <v>3</v>
      </c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</row>
    <row r="1032" spans="1:9" hidden="1" x14ac:dyDescent="0.25">
      <c r="A1032" s="1" t="s">
        <v>10</v>
      </c>
      <c r="B1032" s="1" t="s">
        <v>153</v>
      </c>
      <c r="C1032" s="1" t="s">
        <v>143</v>
      </c>
      <c r="D1032" s="1">
        <v>0</v>
      </c>
      <c r="E1032" s="1">
        <v>0</v>
      </c>
      <c r="F1032" s="1">
        <v>0</v>
      </c>
      <c r="G1032" s="1">
        <v>0</v>
      </c>
      <c r="H1032" s="1">
        <v>0</v>
      </c>
      <c r="I1032" s="1">
        <v>0</v>
      </c>
    </row>
    <row r="1033" spans="1:9" hidden="1" x14ac:dyDescent="0.25">
      <c r="A1033" s="1" t="s">
        <v>10</v>
      </c>
      <c r="B1033" s="1" t="s">
        <v>153</v>
      </c>
      <c r="C1033" s="1" t="s">
        <v>3</v>
      </c>
      <c r="D1033" s="1">
        <v>0</v>
      </c>
      <c r="E1033" s="1">
        <v>0</v>
      </c>
      <c r="F1033" s="1">
        <v>0</v>
      </c>
      <c r="G1033" s="1">
        <v>0</v>
      </c>
      <c r="H1033" s="1">
        <v>0</v>
      </c>
      <c r="I1033" s="1">
        <v>0</v>
      </c>
    </row>
    <row r="1034" spans="1:9" hidden="1" x14ac:dyDescent="0.25">
      <c r="A1034" s="1" t="s">
        <v>10</v>
      </c>
      <c r="B1034" s="1" t="s">
        <v>154</v>
      </c>
      <c r="C1034" s="1" t="s">
        <v>143</v>
      </c>
      <c r="D1034" s="1">
        <v>0</v>
      </c>
      <c r="E1034" s="1">
        <v>0</v>
      </c>
      <c r="F1034" s="1">
        <v>0</v>
      </c>
      <c r="G1034" s="1">
        <v>0</v>
      </c>
      <c r="H1034" s="1">
        <v>0</v>
      </c>
      <c r="I1034" s="1">
        <v>0</v>
      </c>
    </row>
    <row r="1035" spans="1:9" hidden="1" x14ac:dyDescent="0.25">
      <c r="A1035" s="1" t="s">
        <v>10</v>
      </c>
      <c r="B1035" s="1" t="s">
        <v>154</v>
      </c>
      <c r="C1035" s="1" t="s">
        <v>3</v>
      </c>
      <c r="D1035" s="1">
        <v>0</v>
      </c>
      <c r="E1035" s="1">
        <v>0</v>
      </c>
      <c r="F1035" s="1">
        <v>0</v>
      </c>
      <c r="G1035" s="1">
        <v>0</v>
      </c>
      <c r="H1035" s="1">
        <v>0</v>
      </c>
      <c r="I1035" s="1">
        <v>0</v>
      </c>
    </row>
    <row r="1036" spans="1:9" hidden="1" x14ac:dyDescent="0.25">
      <c r="A1036" s="1" t="s">
        <v>10</v>
      </c>
      <c r="B1036" s="1" t="s">
        <v>155</v>
      </c>
      <c r="C1036" s="1" t="s">
        <v>143</v>
      </c>
      <c r="D1036" s="1">
        <v>0</v>
      </c>
      <c r="E1036" s="1">
        <v>0</v>
      </c>
      <c r="F1036" s="1">
        <v>0</v>
      </c>
      <c r="G1036" s="1">
        <v>0</v>
      </c>
      <c r="H1036" s="1">
        <v>0</v>
      </c>
      <c r="I1036" s="1">
        <v>0</v>
      </c>
    </row>
    <row r="1037" spans="1:9" hidden="1" x14ac:dyDescent="0.25">
      <c r="A1037" s="1" t="s">
        <v>10</v>
      </c>
      <c r="B1037" s="1" t="s">
        <v>155</v>
      </c>
      <c r="C1037" s="1" t="s">
        <v>3</v>
      </c>
      <c r="D1037" s="1">
        <v>0</v>
      </c>
      <c r="E1037" s="1">
        <v>0</v>
      </c>
      <c r="F1037" s="1">
        <v>0</v>
      </c>
      <c r="G1037" s="1">
        <v>0</v>
      </c>
      <c r="H1037" s="1">
        <v>0</v>
      </c>
      <c r="I1037" s="1">
        <v>0</v>
      </c>
    </row>
    <row r="1038" spans="1:9" hidden="1" x14ac:dyDescent="0.25">
      <c r="A1038" s="1" t="s">
        <v>10</v>
      </c>
      <c r="B1038" s="1" t="s">
        <v>156</v>
      </c>
      <c r="C1038" s="1" t="s">
        <v>143</v>
      </c>
      <c r="D1038" s="1">
        <v>0</v>
      </c>
      <c r="E1038" s="1">
        <v>0</v>
      </c>
      <c r="F1038" s="1">
        <v>0</v>
      </c>
      <c r="G1038" s="1">
        <v>0</v>
      </c>
      <c r="H1038" s="1">
        <v>0</v>
      </c>
      <c r="I1038" s="1">
        <v>0</v>
      </c>
    </row>
    <row r="1039" spans="1:9" hidden="1" x14ac:dyDescent="0.25">
      <c r="A1039" s="1" t="s">
        <v>10</v>
      </c>
      <c r="B1039" s="1" t="s">
        <v>156</v>
      </c>
      <c r="C1039" s="1" t="s">
        <v>3</v>
      </c>
      <c r="D1039" s="1">
        <v>0</v>
      </c>
      <c r="E1039" s="1">
        <v>0</v>
      </c>
      <c r="F1039" s="1">
        <v>0</v>
      </c>
      <c r="G1039" s="1">
        <v>0</v>
      </c>
      <c r="H1039" s="1">
        <v>0</v>
      </c>
      <c r="I1039" s="1">
        <v>0</v>
      </c>
    </row>
    <row r="1040" spans="1:9" hidden="1" x14ac:dyDescent="0.25">
      <c r="A1040" s="1" t="s">
        <v>10</v>
      </c>
      <c r="B1040" s="1" t="s">
        <v>4</v>
      </c>
      <c r="C1040" s="1" t="s">
        <v>143</v>
      </c>
      <c r="D1040" s="1">
        <v>0</v>
      </c>
      <c r="E1040" s="1">
        <v>0</v>
      </c>
      <c r="F1040" s="1">
        <v>0</v>
      </c>
      <c r="G1040" s="1">
        <v>0</v>
      </c>
      <c r="H1040" s="1">
        <v>0</v>
      </c>
      <c r="I1040" s="1">
        <v>0</v>
      </c>
    </row>
    <row r="1041" spans="1:9" hidden="1" x14ac:dyDescent="0.25">
      <c r="A1041" s="1" t="s">
        <v>10</v>
      </c>
      <c r="B1041" s="1" t="s">
        <v>4</v>
      </c>
      <c r="C1041" s="1" t="s">
        <v>3</v>
      </c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</row>
    <row r="1042" spans="1:9" hidden="1" x14ac:dyDescent="0.25">
      <c r="A1042" s="1" t="s">
        <v>10</v>
      </c>
      <c r="B1042" s="1" t="s">
        <v>5</v>
      </c>
      <c r="C1042" s="1" t="s">
        <v>143</v>
      </c>
      <c r="D1042" s="1">
        <v>0</v>
      </c>
      <c r="E1042" s="1">
        <v>0</v>
      </c>
      <c r="F1042" s="1">
        <v>0</v>
      </c>
      <c r="G1042" s="1">
        <v>0</v>
      </c>
      <c r="H1042" s="1">
        <v>0</v>
      </c>
      <c r="I1042" s="1">
        <v>0</v>
      </c>
    </row>
    <row r="1043" spans="1:9" hidden="1" x14ac:dyDescent="0.25">
      <c r="A1043" s="1" t="s">
        <v>10</v>
      </c>
      <c r="B1043" s="1" t="s">
        <v>5</v>
      </c>
      <c r="C1043" s="1" t="s">
        <v>3</v>
      </c>
      <c r="D1043" s="1">
        <v>0</v>
      </c>
      <c r="E1043" s="1">
        <v>0</v>
      </c>
      <c r="F1043" s="1">
        <v>0</v>
      </c>
      <c r="G1043" s="1">
        <v>0</v>
      </c>
      <c r="H1043" s="1">
        <v>0</v>
      </c>
      <c r="I1043" s="1">
        <v>0</v>
      </c>
    </row>
    <row r="1044" spans="1:9" hidden="1" x14ac:dyDescent="0.25">
      <c r="A1044" s="1" t="s">
        <v>10</v>
      </c>
      <c r="B1044" s="1" t="s">
        <v>6</v>
      </c>
      <c r="C1044" s="1" t="s">
        <v>143</v>
      </c>
      <c r="D1044" s="1">
        <v>0</v>
      </c>
      <c r="E1044" s="1">
        <v>0</v>
      </c>
      <c r="F1044" s="1">
        <v>0</v>
      </c>
      <c r="G1044" s="1">
        <v>0</v>
      </c>
      <c r="H1044" s="1">
        <v>0</v>
      </c>
      <c r="I1044" s="1">
        <v>0</v>
      </c>
    </row>
    <row r="1045" spans="1:9" hidden="1" x14ac:dyDescent="0.25">
      <c r="A1045" s="1" t="s">
        <v>10</v>
      </c>
      <c r="B1045" s="1" t="s">
        <v>6</v>
      </c>
      <c r="C1045" s="1" t="s">
        <v>3</v>
      </c>
      <c r="D1045" s="1">
        <v>0</v>
      </c>
      <c r="E1045" s="1">
        <v>0</v>
      </c>
      <c r="F1045" s="1">
        <v>0</v>
      </c>
      <c r="G1045" s="1">
        <v>0</v>
      </c>
      <c r="H1045" s="1">
        <v>0</v>
      </c>
      <c r="I1045" s="1">
        <v>0</v>
      </c>
    </row>
    <row r="1046" spans="1:9" hidden="1" x14ac:dyDescent="0.25">
      <c r="A1046" s="1" t="s">
        <v>10</v>
      </c>
      <c r="B1046" s="1" t="s">
        <v>7</v>
      </c>
      <c r="C1046" s="1" t="s">
        <v>143</v>
      </c>
      <c r="D1046" s="1">
        <v>0</v>
      </c>
      <c r="E1046" s="1">
        <v>0</v>
      </c>
      <c r="F1046" s="1">
        <v>0</v>
      </c>
      <c r="G1046" s="1">
        <v>0</v>
      </c>
      <c r="H1046" s="1">
        <v>0</v>
      </c>
      <c r="I1046" s="1">
        <v>0</v>
      </c>
    </row>
    <row r="1047" spans="1:9" hidden="1" x14ac:dyDescent="0.25">
      <c r="A1047" s="1" t="s">
        <v>10</v>
      </c>
      <c r="B1047" s="1" t="s">
        <v>7</v>
      </c>
      <c r="C1047" s="1" t="s">
        <v>3</v>
      </c>
      <c r="D1047" s="1">
        <v>0</v>
      </c>
      <c r="E1047" s="1">
        <v>0</v>
      </c>
      <c r="F1047" s="1">
        <v>0</v>
      </c>
      <c r="G1047" s="1">
        <v>0</v>
      </c>
      <c r="H1047" s="1">
        <v>0</v>
      </c>
      <c r="I1047" s="1">
        <v>0</v>
      </c>
    </row>
    <row r="1048" spans="1:9" hidden="1" x14ac:dyDescent="0.25">
      <c r="A1048" s="1" t="s">
        <v>10</v>
      </c>
      <c r="B1048" s="1" t="s">
        <v>157</v>
      </c>
      <c r="C1048" s="1" t="s">
        <v>143</v>
      </c>
      <c r="D1048" s="1">
        <v>0</v>
      </c>
      <c r="E1048" s="1">
        <v>0</v>
      </c>
      <c r="F1048" s="1">
        <v>0</v>
      </c>
      <c r="G1048" s="1">
        <v>0</v>
      </c>
      <c r="H1048" s="1">
        <v>0</v>
      </c>
      <c r="I1048" s="1">
        <v>0</v>
      </c>
    </row>
    <row r="1049" spans="1:9" hidden="1" x14ac:dyDescent="0.25">
      <c r="A1049" s="1" t="s">
        <v>10</v>
      </c>
      <c r="B1049" s="1" t="s">
        <v>157</v>
      </c>
      <c r="C1049" s="1" t="s">
        <v>3</v>
      </c>
      <c r="D1049" s="1">
        <v>0</v>
      </c>
      <c r="E1049" s="1">
        <v>0</v>
      </c>
      <c r="F1049" s="1">
        <v>0</v>
      </c>
      <c r="G1049" s="1">
        <v>0</v>
      </c>
      <c r="H1049" s="1">
        <v>0</v>
      </c>
      <c r="I1049" s="1">
        <v>0</v>
      </c>
    </row>
    <row r="1050" spans="1:9" hidden="1" x14ac:dyDescent="0.25">
      <c r="A1050" s="1" t="s">
        <v>10</v>
      </c>
      <c r="B1050" s="1" t="s">
        <v>8</v>
      </c>
      <c r="C1050" s="1" t="s">
        <v>143</v>
      </c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</row>
    <row r="1051" spans="1:9" hidden="1" x14ac:dyDescent="0.25">
      <c r="A1051" s="1" t="s">
        <v>10</v>
      </c>
      <c r="B1051" s="1" t="s">
        <v>8</v>
      </c>
      <c r="C1051" s="1" t="s">
        <v>3</v>
      </c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</row>
    <row r="1052" spans="1:9" hidden="1" x14ac:dyDescent="0.25">
      <c r="A1052" s="1" t="s">
        <v>10</v>
      </c>
      <c r="B1052" s="1" t="s">
        <v>158</v>
      </c>
      <c r="C1052" s="1" t="s">
        <v>143</v>
      </c>
      <c r="D1052" s="1">
        <v>0</v>
      </c>
      <c r="E1052" s="1">
        <v>0</v>
      </c>
      <c r="F1052" s="1">
        <v>0</v>
      </c>
      <c r="G1052" s="1">
        <v>0</v>
      </c>
      <c r="H1052" s="1">
        <v>0</v>
      </c>
      <c r="I1052" s="1">
        <v>0</v>
      </c>
    </row>
    <row r="1053" spans="1:9" hidden="1" x14ac:dyDescent="0.25">
      <c r="A1053" s="1" t="s">
        <v>10</v>
      </c>
      <c r="B1053" s="1" t="s">
        <v>158</v>
      </c>
      <c r="C1053" s="1" t="s">
        <v>3</v>
      </c>
      <c r="D1053" s="1">
        <v>0</v>
      </c>
      <c r="E1053" s="1">
        <v>0</v>
      </c>
      <c r="F1053" s="1">
        <v>0</v>
      </c>
      <c r="G1053" s="1">
        <v>0</v>
      </c>
      <c r="H1053" s="1">
        <v>0</v>
      </c>
      <c r="I1053" s="1">
        <v>0</v>
      </c>
    </row>
    <row r="1054" spans="1:9" hidden="1" x14ac:dyDescent="0.25">
      <c r="A1054" s="1" t="s">
        <v>10</v>
      </c>
      <c r="B1054" s="1" t="s">
        <v>159</v>
      </c>
      <c r="C1054" s="1" t="s">
        <v>143</v>
      </c>
      <c r="D1054" s="1">
        <v>0</v>
      </c>
      <c r="E1054" s="1">
        <v>0</v>
      </c>
      <c r="F1054" s="1">
        <v>0</v>
      </c>
      <c r="G1054" s="1">
        <v>0</v>
      </c>
      <c r="H1054" s="1">
        <v>0</v>
      </c>
      <c r="I1054" s="1">
        <v>0</v>
      </c>
    </row>
    <row r="1055" spans="1:9" hidden="1" x14ac:dyDescent="0.25">
      <c r="A1055" s="1" t="s">
        <v>10</v>
      </c>
      <c r="B1055" s="1" t="s">
        <v>159</v>
      </c>
      <c r="C1055" s="1" t="s">
        <v>3</v>
      </c>
      <c r="D1055" s="1">
        <v>0</v>
      </c>
      <c r="E1055" s="1">
        <v>0</v>
      </c>
      <c r="F1055" s="1">
        <v>0</v>
      </c>
      <c r="G1055" s="1">
        <v>0</v>
      </c>
      <c r="H1055" s="1">
        <v>0</v>
      </c>
      <c r="I1055" s="1">
        <v>0</v>
      </c>
    </row>
    <row r="1056" spans="1:9" hidden="1" x14ac:dyDescent="0.25">
      <c r="A1056" s="1" t="s">
        <v>10</v>
      </c>
      <c r="B1056" s="1" t="s">
        <v>160</v>
      </c>
      <c r="C1056" s="1" t="s">
        <v>143</v>
      </c>
      <c r="D1056" s="1">
        <v>0</v>
      </c>
      <c r="E1056" s="1">
        <v>0</v>
      </c>
      <c r="F1056" s="1">
        <v>0</v>
      </c>
      <c r="G1056" s="1">
        <v>0</v>
      </c>
      <c r="H1056" s="1">
        <v>0</v>
      </c>
      <c r="I1056" s="1">
        <v>0</v>
      </c>
    </row>
    <row r="1057" spans="1:9" hidden="1" x14ac:dyDescent="0.25">
      <c r="A1057" s="1" t="s">
        <v>10</v>
      </c>
      <c r="B1057" s="1" t="s">
        <v>160</v>
      </c>
      <c r="C1057" s="1" t="s">
        <v>3</v>
      </c>
      <c r="D1057" s="1">
        <v>0</v>
      </c>
      <c r="E1057" s="1">
        <v>0</v>
      </c>
      <c r="F1057" s="1">
        <v>0</v>
      </c>
      <c r="G1057" s="1">
        <v>0</v>
      </c>
      <c r="H1057" s="1">
        <v>0</v>
      </c>
      <c r="I1057" s="1">
        <v>0</v>
      </c>
    </row>
    <row r="1058" spans="1:9" hidden="1" x14ac:dyDescent="0.25">
      <c r="A1058" s="1" t="s">
        <v>10</v>
      </c>
      <c r="B1058" s="1" t="s">
        <v>161</v>
      </c>
      <c r="C1058" s="1" t="s">
        <v>143</v>
      </c>
      <c r="D1058" s="1">
        <v>0</v>
      </c>
      <c r="E1058" s="1">
        <v>0</v>
      </c>
      <c r="F1058" s="1">
        <v>0</v>
      </c>
      <c r="G1058" s="1">
        <v>0</v>
      </c>
      <c r="H1058" s="1">
        <v>0</v>
      </c>
      <c r="I1058" s="1">
        <v>0</v>
      </c>
    </row>
    <row r="1059" spans="1:9" hidden="1" x14ac:dyDescent="0.25">
      <c r="A1059" s="1" t="s">
        <v>10</v>
      </c>
      <c r="B1059" s="1" t="s">
        <v>161</v>
      </c>
      <c r="C1059" s="1" t="s">
        <v>3</v>
      </c>
      <c r="D1059" s="1">
        <v>0</v>
      </c>
      <c r="E1059" s="1">
        <v>0</v>
      </c>
      <c r="F1059" s="1">
        <v>0</v>
      </c>
      <c r="G1059" s="1">
        <v>0</v>
      </c>
      <c r="H1059" s="1">
        <v>0</v>
      </c>
      <c r="I1059" s="1">
        <v>0</v>
      </c>
    </row>
    <row r="1060" spans="1:9" hidden="1" x14ac:dyDescent="0.25">
      <c r="A1060" s="1" t="s">
        <v>10</v>
      </c>
      <c r="B1060" s="1" t="s">
        <v>162</v>
      </c>
      <c r="C1060" s="1" t="s">
        <v>143</v>
      </c>
      <c r="D1060" s="1">
        <v>0</v>
      </c>
      <c r="E1060" s="1">
        <v>0</v>
      </c>
      <c r="F1060" s="1">
        <v>0</v>
      </c>
      <c r="G1060" s="1">
        <v>0</v>
      </c>
      <c r="H1060" s="1">
        <v>0</v>
      </c>
      <c r="I1060" s="1">
        <v>0</v>
      </c>
    </row>
    <row r="1061" spans="1:9" hidden="1" x14ac:dyDescent="0.25">
      <c r="A1061" s="1" t="s">
        <v>10</v>
      </c>
      <c r="B1061" s="1" t="s">
        <v>162</v>
      </c>
      <c r="C1061" s="1" t="s">
        <v>3</v>
      </c>
      <c r="D1061" s="1">
        <v>0</v>
      </c>
      <c r="E1061" s="1">
        <v>0</v>
      </c>
      <c r="F1061" s="1">
        <v>0</v>
      </c>
      <c r="G1061" s="1">
        <v>0</v>
      </c>
      <c r="H1061" s="1">
        <v>0</v>
      </c>
      <c r="I1061" s="1">
        <v>0</v>
      </c>
    </row>
    <row r="1062" spans="1:9" hidden="1" x14ac:dyDescent="0.25">
      <c r="A1062" s="1" t="s">
        <v>10</v>
      </c>
      <c r="B1062" s="1" t="s">
        <v>163</v>
      </c>
      <c r="C1062" s="1" t="s">
        <v>143</v>
      </c>
      <c r="D1062" s="1">
        <v>0</v>
      </c>
      <c r="E1062" s="1">
        <v>0</v>
      </c>
      <c r="F1062" s="1">
        <v>0</v>
      </c>
      <c r="G1062" s="1">
        <v>0</v>
      </c>
      <c r="H1062" s="1">
        <v>0</v>
      </c>
      <c r="I1062" s="1">
        <v>0</v>
      </c>
    </row>
    <row r="1063" spans="1:9" hidden="1" x14ac:dyDescent="0.25">
      <c r="A1063" s="1" t="s">
        <v>10</v>
      </c>
      <c r="B1063" s="1" t="s">
        <v>163</v>
      </c>
      <c r="C1063" s="1" t="s">
        <v>3</v>
      </c>
      <c r="D1063" s="1">
        <v>0</v>
      </c>
      <c r="E1063" s="1">
        <v>0</v>
      </c>
      <c r="F1063" s="1">
        <v>0</v>
      </c>
      <c r="G1063" s="1">
        <v>0</v>
      </c>
      <c r="H1063" s="1">
        <v>0</v>
      </c>
      <c r="I1063" s="1">
        <v>0</v>
      </c>
    </row>
    <row r="1064" spans="1:9" hidden="1" x14ac:dyDescent="0.25">
      <c r="A1064" s="1" t="s">
        <v>10</v>
      </c>
      <c r="B1064" s="1" t="s">
        <v>164</v>
      </c>
      <c r="C1064" s="1" t="s">
        <v>143</v>
      </c>
      <c r="D1064" s="1">
        <v>0</v>
      </c>
      <c r="E1064" s="1">
        <v>0</v>
      </c>
      <c r="F1064" s="1">
        <v>0</v>
      </c>
      <c r="G1064" s="1">
        <v>0</v>
      </c>
      <c r="H1064" s="1">
        <v>0</v>
      </c>
      <c r="I1064" s="1">
        <v>0</v>
      </c>
    </row>
    <row r="1065" spans="1:9" hidden="1" x14ac:dyDescent="0.25">
      <c r="A1065" s="1" t="s">
        <v>10</v>
      </c>
      <c r="B1065" s="1" t="s">
        <v>164</v>
      </c>
      <c r="C1065" s="1" t="s">
        <v>3</v>
      </c>
      <c r="D1065" s="1">
        <v>0</v>
      </c>
      <c r="E1065" s="1">
        <v>0</v>
      </c>
      <c r="F1065" s="1">
        <v>0</v>
      </c>
      <c r="G1065" s="1">
        <v>0</v>
      </c>
      <c r="H1065" s="1">
        <v>0</v>
      </c>
      <c r="I1065" s="1">
        <v>0</v>
      </c>
    </row>
    <row r="1066" spans="1:9" hidden="1" x14ac:dyDescent="0.25">
      <c r="A1066" s="1" t="s">
        <v>10</v>
      </c>
      <c r="B1066" s="1" t="s">
        <v>165</v>
      </c>
      <c r="C1066" s="1" t="s">
        <v>143</v>
      </c>
      <c r="D1066" s="1">
        <v>0</v>
      </c>
      <c r="E1066" s="1">
        <v>0</v>
      </c>
      <c r="F1066" s="1">
        <v>0</v>
      </c>
      <c r="G1066" s="1">
        <v>0</v>
      </c>
      <c r="H1066" s="1">
        <v>0</v>
      </c>
      <c r="I1066" s="1">
        <v>0</v>
      </c>
    </row>
    <row r="1067" spans="1:9" hidden="1" x14ac:dyDescent="0.25">
      <c r="A1067" s="1" t="s">
        <v>10</v>
      </c>
      <c r="B1067" s="1" t="s">
        <v>165</v>
      </c>
      <c r="C1067" s="1" t="s">
        <v>3</v>
      </c>
      <c r="D1067" s="1">
        <v>0</v>
      </c>
      <c r="E1067" s="1">
        <v>0</v>
      </c>
      <c r="F1067" s="1">
        <v>0</v>
      </c>
      <c r="G1067" s="1">
        <v>0</v>
      </c>
      <c r="H1067" s="1">
        <v>0</v>
      </c>
      <c r="I1067" s="1">
        <v>0</v>
      </c>
    </row>
    <row r="1068" spans="1:9" hidden="1" x14ac:dyDescent="0.25">
      <c r="A1068" s="1" t="s">
        <v>10</v>
      </c>
      <c r="B1068" s="1" t="s">
        <v>166</v>
      </c>
      <c r="C1068" s="1" t="s">
        <v>143</v>
      </c>
      <c r="D1068" s="1">
        <v>0</v>
      </c>
      <c r="E1068" s="1">
        <v>0</v>
      </c>
      <c r="F1068" s="1">
        <v>0</v>
      </c>
      <c r="G1068" s="1">
        <v>0</v>
      </c>
      <c r="H1068" s="1">
        <v>0</v>
      </c>
      <c r="I1068" s="1">
        <v>0</v>
      </c>
    </row>
    <row r="1069" spans="1:9" hidden="1" x14ac:dyDescent="0.25">
      <c r="A1069" s="1" t="s">
        <v>10</v>
      </c>
      <c r="B1069" s="1" t="s">
        <v>166</v>
      </c>
      <c r="C1069" s="1" t="s">
        <v>3</v>
      </c>
      <c r="D1069" s="1">
        <v>0</v>
      </c>
      <c r="E1069" s="1">
        <v>0</v>
      </c>
      <c r="F1069" s="1">
        <v>0</v>
      </c>
      <c r="G1069" s="1">
        <v>0</v>
      </c>
      <c r="H1069" s="1">
        <v>0</v>
      </c>
      <c r="I1069" s="1">
        <v>0</v>
      </c>
    </row>
    <row r="1070" spans="1:9" hidden="1" x14ac:dyDescent="0.25">
      <c r="A1070" s="1" t="s">
        <v>10</v>
      </c>
      <c r="B1070" s="1" t="s">
        <v>167</v>
      </c>
      <c r="C1070" s="1" t="s">
        <v>143</v>
      </c>
      <c r="D1070" s="1">
        <v>0</v>
      </c>
      <c r="E1070" s="1">
        <v>0</v>
      </c>
      <c r="F1070" s="1">
        <v>0</v>
      </c>
      <c r="G1070" s="1">
        <v>0</v>
      </c>
      <c r="H1070" s="1">
        <v>0</v>
      </c>
      <c r="I1070" s="1">
        <v>0</v>
      </c>
    </row>
    <row r="1071" spans="1:9" hidden="1" x14ac:dyDescent="0.25">
      <c r="A1071" s="1" t="s">
        <v>10</v>
      </c>
      <c r="B1071" s="1" t="s">
        <v>167</v>
      </c>
      <c r="C1071" s="1" t="s">
        <v>3</v>
      </c>
      <c r="D1071" s="1">
        <v>0</v>
      </c>
      <c r="E1071" s="1">
        <v>0</v>
      </c>
      <c r="F1071" s="1">
        <v>0</v>
      </c>
      <c r="G1071" s="1">
        <v>0</v>
      </c>
      <c r="H1071" s="1">
        <v>0</v>
      </c>
      <c r="I1071" s="1">
        <v>0</v>
      </c>
    </row>
    <row r="1072" spans="1:9" hidden="1" x14ac:dyDescent="0.25">
      <c r="A1072" s="1" t="s">
        <v>10</v>
      </c>
      <c r="B1072" s="1" t="s">
        <v>168</v>
      </c>
      <c r="C1072" s="1" t="s">
        <v>143</v>
      </c>
      <c r="D1072" s="1">
        <v>0</v>
      </c>
      <c r="E1072" s="1">
        <v>0</v>
      </c>
      <c r="F1072" s="1">
        <v>0</v>
      </c>
      <c r="G1072" s="1">
        <v>0</v>
      </c>
      <c r="H1072" s="1">
        <v>0</v>
      </c>
      <c r="I1072" s="1">
        <v>0</v>
      </c>
    </row>
    <row r="1073" spans="1:9" hidden="1" x14ac:dyDescent="0.25">
      <c r="A1073" s="1" t="s">
        <v>10</v>
      </c>
      <c r="B1073" s="1" t="s">
        <v>168</v>
      </c>
      <c r="C1073" s="1" t="s">
        <v>3</v>
      </c>
      <c r="D1073" s="1">
        <v>0</v>
      </c>
      <c r="E1073" s="1">
        <v>0</v>
      </c>
      <c r="F1073" s="1">
        <v>0</v>
      </c>
      <c r="G1073" s="1">
        <v>0</v>
      </c>
      <c r="H1073" s="1">
        <v>0</v>
      </c>
      <c r="I1073" s="1">
        <v>0</v>
      </c>
    </row>
    <row r="1074" spans="1:9" hidden="1" x14ac:dyDescent="0.25">
      <c r="A1074" s="1" t="s">
        <v>10</v>
      </c>
      <c r="B1074" s="1" t="s">
        <v>169</v>
      </c>
      <c r="C1074" s="1" t="s">
        <v>143</v>
      </c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</row>
    <row r="1075" spans="1:9" hidden="1" x14ac:dyDescent="0.25">
      <c r="A1075" s="1" t="s">
        <v>10</v>
      </c>
      <c r="B1075" s="1" t="s">
        <v>169</v>
      </c>
      <c r="C1075" s="1" t="s">
        <v>3</v>
      </c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</row>
    <row r="1076" spans="1:9" hidden="1" x14ac:dyDescent="0.25">
      <c r="A1076" s="1" t="s">
        <v>10</v>
      </c>
      <c r="B1076" s="1" t="s">
        <v>170</v>
      </c>
      <c r="C1076" s="1" t="s">
        <v>143</v>
      </c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</row>
    <row r="1077" spans="1:9" hidden="1" x14ac:dyDescent="0.25">
      <c r="A1077" s="1" t="s">
        <v>10</v>
      </c>
      <c r="B1077" s="1" t="s">
        <v>170</v>
      </c>
      <c r="C1077" s="1" t="s">
        <v>3</v>
      </c>
      <c r="D1077" s="1">
        <v>0</v>
      </c>
      <c r="E1077" s="1">
        <v>0</v>
      </c>
      <c r="F1077" s="1">
        <v>0</v>
      </c>
      <c r="G1077" s="1">
        <v>0</v>
      </c>
      <c r="H1077" s="1">
        <v>0</v>
      </c>
      <c r="I1077" s="1">
        <v>0</v>
      </c>
    </row>
    <row r="1078" spans="1:9" hidden="1" x14ac:dyDescent="0.25">
      <c r="A1078" s="1" t="s">
        <v>10</v>
      </c>
      <c r="B1078" s="1" t="s">
        <v>171</v>
      </c>
      <c r="C1078" s="1" t="s">
        <v>143</v>
      </c>
      <c r="D1078" s="1">
        <v>0</v>
      </c>
      <c r="E1078" s="1">
        <v>0</v>
      </c>
      <c r="F1078" s="1">
        <v>0</v>
      </c>
      <c r="G1078" s="1">
        <v>0</v>
      </c>
      <c r="H1078" s="1">
        <v>0</v>
      </c>
      <c r="I1078" s="1">
        <v>0</v>
      </c>
    </row>
    <row r="1079" spans="1:9" hidden="1" x14ac:dyDescent="0.25">
      <c r="A1079" s="1" t="s">
        <v>10</v>
      </c>
      <c r="B1079" s="1" t="s">
        <v>171</v>
      </c>
      <c r="C1079" s="1" t="s">
        <v>3</v>
      </c>
      <c r="D1079" s="1">
        <v>0</v>
      </c>
      <c r="E1079" s="1">
        <v>0</v>
      </c>
      <c r="F1079" s="1">
        <v>0</v>
      </c>
      <c r="G1079" s="1">
        <v>0</v>
      </c>
      <c r="H1079" s="1">
        <v>0</v>
      </c>
      <c r="I1079" s="1">
        <v>0</v>
      </c>
    </row>
    <row r="1080" spans="1:9" hidden="1" x14ac:dyDescent="0.25">
      <c r="A1080" s="1" t="s">
        <v>10</v>
      </c>
      <c r="B1080" s="1" t="s">
        <v>172</v>
      </c>
      <c r="C1080" s="1" t="s">
        <v>143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10</v>
      </c>
      <c r="B1081" s="1" t="s">
        <v>172</v>
      </c>
      <c r="C1081" s="1" t="s">
        <v>3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10</v>
      </c>
      <c r="B1082" s="1" t="s">
        <v>173</v>
      </c>
      <c r="C1082" s="1" t="s">
        <v>143</v>
      </c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</row>
    <row r="1083" spans="1:9" hidden="1" x14ac:dyDescent="0.25">
      <c r="A1083" s="1" t="s">
        <v>10</v>
      </c>
      <c r="B1083" s="1" t="s">
        <v>173</v>
      </c>
      <c r="C1083" s="1" t="s">
        <v>3</v>
      </c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</row>
    <row r="1084" spans="1:9" hidden="1" x14ac:dyDescent="0.25">
      <c r="A1084" s="1" t="s">
        <v>10</v>
      </c>
      <c r="B1084" s="1" t="s">
        <v>174</v>
      </c>
      <c r="C1084" s="1" t="s">
        <v>143</v>
      </c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</row>
    <row r="1085" spans="1:9" hidden="1" x14ac:dyDescent="0.25">
      <c r="A1085" s="1" t="s">
        <v>10</v>
      </c>
      <c r="B1085" s="1" t="s">
        <v>174</v>
      </c>
      <c r="C1085" s="1" t="s">
        <v>3</v>
      </c>
      <c r="D1085" s="1">
        <v>0</v>
      </c>
      <c r="E1085" s="1">
        <v>0</v>
      </c>
      <c r="F1085" s="1">
        <v>0</v>
      </c>
      <c r="G1085" s="1">
        <v>0</v>
      </c>
      <c r="H1085" s="1">
        <v>0</v>
      </c>
      <c r="I1085" s="1">
        <v>0</v>
      </c>
    </row>
    <row r="1086" spans="1:9" hidden="1" x14ac:dyDescent="0.25">
      <c r="A1086" s="1" t="s">
        <v>10</v>
      </c>
      <c r="B1086" s="1" t="s">
        <v>175</v>
      </c>
      <c r="C1086" s="1" t="s">
        <v>143</v>
      </c>
      <c r="D1086" s="1">
        <v>0</v>
      </c>
      <c r="E1086" s="1">
        <v>0</v>
      </c>
      <c r="F1086" s="1">
        <v>0</v>
      </c>
      <c r="G1086" s="1">
        <v>0</v>
      </c>
      <c r="H1086" s="1">
        <v>0</v>
      </c>
      <c r="I1086" s="1">
        <v>0</v>
      </c>
    </row>
    <row r="1087" spans="1:9" hidden="1" x14ac:dyDescent="0.25">
      <c r="A1087" s="1" t="s">
        <v>10</v>
      </c>
      <c r="B1087" s="1" t="s">
        <v>175</v>
      </c>
      <c r="C1087" s="1" t="s">
        <v>3</v>
      </c>
      <c r="D1087" s="1">
        <v>0</v>
      </c>
      <c r="E1087" s="1">
        <v>0</v>
      </c>
      <c r="F1087" s="1">
        <v>0</v>
      </c>
      <c r="G1087" s="1">
        <v>0</v>
      </c>
      <c r="H1087" s="1">
        <v>0</v>
      </c>
      <c r="I1087" s="1">
        <v>0</v>
      </c>
    </row>
    <row r="1088" spans="1:9" hidden="1" x14ac:dyDescent="0.25">
      <c r="A1088" s="1" t="s">
        <v>10</v>
      </c>
      <c r="B1088" s="1" t="s">
        <v>176</v>
      </c>
      <c r="C1088" s="1" t="s">
        <v>143</v>
      </c>
      <c r="D1088" s="1">
        <v>0</v>
      </c>
      <c r="E1088" s="1">
        <v>0</v>
      </c>
      <c r="F1088" s="1">
        <v>0</v>
      </c>
      <c r="G1088" s="1">
        <v>0</v>
      </c>
      <c r="H1088" s="1">
        <v>0</v>
      </c>
      <c r="I1088" s="1">
        <v>0</v>
      </c>
    </row>
    <row r="1089" spans="1:9" hidden="1" x14ac:dyDescent="0.25">
      <c r="A1089" s="1" t="s">
        <v>10</v>
      </c>
      <c r="B1089" s="1" t="s">
        <v>176</v>
      </c>
      <c r="C1089" s="1" t="s">
        <v>3</v>
      </c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</row>
    <row r="1090" spans="1:9" hidden="1" x14ac:dyDescent="0.25">
      <c r="A1090" s="1" t="s">
        <v>10</v>
      </c>
      <c r="B1090" s="1" t="s">
        <v>177</v>
      </c>
      <c r="C1090" s="1" t="s">
        <v>143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10</v>
      </c>
      <c r="B1091" s="1" t="s">
        <v>177</v>
      </c>
      <c r="C1091" s="1" t="s">
        <v>3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10</v>
      </c>
      <c r="B1092" s="1" t="s">
        <v>178</v>
      </c>
      <c r="C1092" s="1" t="s">
        <v>143</v>
      </c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</row>
    <row r="1093" spans="1:9" hidden="1" x14ac:dyDescent="0.25">
      <c r="A1093" s="1" t="s">
        <v>10</v>
      </c>
      <c r="B1093" s="1" t="s">
        <v>178</v>
      </c>
      <c r="C1093" s="1" t="s">
        <v>3</v>
      </c>
      <c r="D1093" s="1">
        <v>0</v>
      </c>
      <c r="E1093" s="1">
        <v>0</v>
      </c>
      <c r="F1093" s="1">
        <v>0</v>
      </c>
      <c r="G1093" s="1">
        <v>0</v>
      </c>
      <c r="H1093" s="1">
        <v>0</v>
      </c>
      <c r="I1093" s="1">
        <v>0</v>
      </c>
    </row>
    <row r="1094" spans="1:9" hidden="1" x14ac:dyDescent="0.25">
      <c r="A1094" s="1" t="s">
        <v>10</v>
      </c>
      <c r="B1094" s="1" t="s">
        <v>179</v>
      </c>
      <c r="C1094" s="1" t="s">
        <v>143</v>
      </c>
      <c r="D1094" s="1">
        <v>0</v>
      </c>
      <c r="E1094" s="1">
        <v>0</v>
      </c>
      <c r="F1094" s="1">
        <v>0</v>
      </c>
      <c r="G1094" s="1">
        <v>0</v>
      </c>
      <c r="H1094" s="1">
        <v>0</v>
      </c>
      <c r="I1094" s="1">
        <v>0</v>
      </c>
    </row>
    <row r="1095" spans="1:9" hidden="1" x14ac:dyDescent="0.25">
      <c r="A1095" s="1" t="s">
        <v>10</v>
      </c>
      <c r="B1095" s="1" t="s">
        <v>179</v>
      </c>
      <c r="C1095" s="1" t="s">
        <v>3</v>
      </c>
      <c r="D1095" s="1">
        <v>0</v>
      </c>
      <c r="E1095" s="1">
        <v>0</v>
      </c>
      <c r="F1095" s="1">
        <v>0</v>
      </c>
      <c r="G1095" s="1">
        <v>0</v>
      </c>
      <c r="H1095" s="1">
        <v>0</v>
      </c>
      <c r="I1095" s="1">
        <v>0</v>
      </c>
    </row>
    <row r="1096" spans="1:9" hidden="1" x14ac:dyDescent="0.25">
      <c r="A1096" s="1" t="s">
        <v>10</v>
      </c>
      <c r="B1096" s="1" t="s">
        <v>180</v>
      </c>
      <c r="C1096" s="1" t="s">
        <v>143</v>
      </c>
      <c r="D1096" s="1">
        <v>0</v>
      </c>
      <c r="E1096" s="1">
        <v>0</v>
      </c>
      <c r="F1096" s="1">
        <v>0</v>
      </c>
      <c r="G1096" s="1">
        <v>0</v>
      </c>
      <c r="H1096" s="1">
        <v>0</v>
      </c>
      <c r="I1096" s="1">
        <v>0</v>
      </c>
    </row>
    <row r="1097" spans="1:9" hidden="1" x14ac:dyDescent="0.25">
      <c r="A1097" s="1" t="s">
        <v>10</v>
      </c>
      <c r="B1097" s="1" t="s">
        <v>180</v>
      </c>
      <c r="C1097" s="1" t="s">
        <v>3</v>
      </c>
      <c r="D1097" s="1">
        <v>0</v>
      </c>
      <c r="E1097" s="1">
        <v>0</v>
      </c>
      <c r="F1097" s="1">
        <v>0</v>
      </c>
      <c r="G1097" s="1">
        <v>0</v>
      </c>
      <c r="H1097" s="1">
        <v>0</v>
      </c>
      <c r="I1097" s="1">
        <v>0</v>
      </c>
    </row>
    <row r="1098" spans="1:9" hidden="1" x14ac:dyDescent="0.25">
      <c r="A1098" s="1" t="s">
        <v>10</v>
      </c>
      <c r="B1098" s="1" t="s">
        <v>181</v>
      </c>
      <c r="C1098" s="1" t="s">
        <v>143</v>
      </c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</row>
    <row r="1099" spans="1:9" hidden="1" x14ac:dyDescent="0.25">
      <c r="A1099" s="1" t="s">
        <v>10</v>
      </c>
      <c r="B1099" s="1" t="s">
        <v>181</v>
      </c>
      <c r="C1099" s="1" t="s">
        <v>3</v>
      </c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</row>
    <row r="1100" spans="1:9" hidden="1" x14ac:dyDescent="0.25">
      <c r="A1100" s="1" t="s">
        <v>10</v>
      </c>
      <c r="B1100" s="1" t="s">
        <v>182</v>
      </c>
      <c r="C1100" s="1" t="s">
        <v>143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10</v>
      </c>
      <c r="B1101" s="1" t="s">
        <v>182</v>
      </c>
      <c r="C1101" s="1" t="s">
        <v>3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10</v>
      </c>
      <c r="B1102" s="1" t="s">
        <v>183</v>
      </c>
      <c r="C1102" s="1" t="s">
        <v>143</v>
      </c>
      <c r="D1102" s="1">
        <v>0</v>
      </c>
      <c r="E1102" s="1">
        <v>0</v>
      </c>
      <c r="F1102" s="1">
        <v>0</v>
      </c>
      <c r="G1102" s="1">
        <v>0</v>
      </c>
      <c r="H1102" s="1">
        <v>0</v>
      </c>
      <c r="I1102" s="1">
        <v>0</v>
      </c>
    </row>
    <row r="1103" spans="1:9" hidden="1" x14ac:dyDescent="0.25">
      <c r="A1103" s="1" t="s">
        <v>10</v>
      </c>
      <c r="B1103" s="1" t="s">
        <v>183</v>
      </c>
      <c r="C1103" s="1" t="s">
        <v>3</v>
      </c>
      <c r="D1103" s="1">
        <v>0</v>
      </c>
      <c r="E1103" s="1">
        <v>0</v>
      </c>
      <c r="F1103" s="1">
        <v>0</v>
      </c>
      <c r="G1103" s="1">
        <v>0</v>
      </c>
      <c r="H1103" s="1">
        <v>0</v>
      </c>
      <c r="I1103" s="1">
        <v>0</v>
      </c>
    </row>
    <row r="1104" spans="1:9" hidden="1" x14ac:dyDescent="0.25">
      <c r="A1104" s="1" t="s">
        <v>10</v>
      </c>
      <c r="B1104" s="1" t="s">
        <v>184</v>
      </c>
      <c r="C1104" s="1" t="s">
        <v>143</v>
      </c>
      <c r="D1104" s="1">
        <v>0</v>
      </c>
      <c r="E1104" s="1">
        <v>0</v>
      </c>
      <c r="F1104" s="1">
        <v>0</v>
      </c>
      <c r="G1104" s="1">
        <v>0</v>
      </c>
      <c r="H1104" s="1">
        <v>0</v>
      </c>
      <c r="I1104" s="1">
        <v>0</v>
      </c>
    </row>
    <row r="1105" spans="1:9" hidden="1" x14ac:dyDescent="0.25">
      <c r="A1105" s="1" t="s">
        <v>10</v>
      </c>
      <c r="B1105" s="1" t="s">
        <v>184</v>
      </c>
      <c r="C1105" s="1" t="s">
        <v>3</v>
      </c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</row>
    <row r="1106" spans="1:9" hidden="1" x14ac:dyDescent="0.25">
      <c r="A1106" s="1" t="s">
        <v>10</v>
      </c>
      <c r="B1106" s="1" t="s">
        <v>185</v>
      </c>
      <c r="C1106" s="1" t="s">
        <v>143</v>
      </c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</row>
    <row r="1107" spans="1:9" hidden="1" x14ac:dyDescent="0.25">
      <c r="A1107" s="1" t="s">
        <v>10</v>
      </c>
      <c r="B1107" s="1" t="s">
        <v>185</v>
      </c>
      <c r="C1107" s="1" t="s">
        <v>3</v>
      </c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</row>
    <row r="1108" spans="1:9" hidden="1" x14ac:dyDescent="0.25">
      <c r="A1108" s="1" t="s">
        <v>10</v>
      </c>
      <c r="B1108" s="1" t="s">
        <v>186</v>
      </c>
      <c r="C1108" s="1" t="s">
        <v>143</v>
      </c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</row>
    <row r="1109" spans="1:9" hidden="1" x14ac:dyDescent="0.25">
      <c r="A1109" s="1" t="s">
        <v>10</v>
      </c>
      <c r="B1109" s="1" t="s">
        <v>186</v>
      </c>
      <c r="C1109" s="1" t="s">
        <v>3</v>
      </c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</row>
    <row r="1110" spans="1:9" hidden="1" x14ac:dyDescent="0.25">
      <c r="A1110" s="1" t="s">
        <v>10</v>
      </c>
      <c r="B1110" s="1" t="s">
        <v>187</v>
      </c>
      <c r="C1110" s="1" t="s">
        <v>143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10</v>
      </c>
      <c r="B1111" s="1" t="s">
        <v>187</v>
      </c>
      <c r="C1111" s="1" t="s">
        <v>3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10</v>
      </c>
      <c r="B1112" s="1" t="s">
        <v>188</v>
      </c>
      <c r="C1112" s="1" t="s">
        <v>143</v>
      </c>
      <c r="D1112" s="1">
        <v>0</v>
      </c>
      <c r="E1112" s="1">
        <v>0</v>
      </c>
      <c r="F1112" s="1">
        <v>0</v>
      </c>
      <c r="G1112" s="1">
        <v>0</v>
      </c>
      <c r="H1112" s="1">
        <v>0</v>
      </c>
      <c r="I1112" s="1">
        <v>0</v>
      </c>
    </row>
    <row r="1113" spans="1:9" hidden="1" x14ac:dyDescent="0.25">
      <c r="A1113" s="1" t="s">
        <v>10</v>
      </c>
      <c r="B1113" s="1" t="s">
        <v>188</v>
      </c>
      <c r="C1113" s="1" t="s">
        <v>3</v>
      </c>
      <c r="D1113" s="1">
        <v>0</v>
      </c>
      <c r="E1113" s="1">
        <v>0</v>
      </c>
      <c r="F1113" s="1">
        <v>0</v>
      </c>
      <c r="G1113" s="1">
        <v>0</v>
      </c>
      <c r="H1113" s="1">
        <v>0</v>
      </c>
      <c r="I1113" s="1">
        <v>0</v>
      </c>
    </row>
    <row r="1114" spans="1:9" hidden="1" x14ac:dyDescent="0.25">
      <c r="A1114" s="1" t="s">
        <v>10</v>
      </c>
      <c r="B1114" s="1" t="s">
        <v>189</v>
      </c>
      <c r="C1114" s="1" t="s">
        <v>143</v>
      </c>
      <c r="D1114" s="1">
        <v>0</v>
      </c>
      <c r="E1114" s="1">
        <v>0</v>
      </c>
      <c r="F1114" s="1">
        <v>0</v>
      </c>
      <c r="G1114" s="1">
        <v>0</v>
      </c>
      <c r="H1114" s="1">
        <v>0</v>
      </c>
      <c r="I1114" s="1">
        <v>0</v>
      </c>
    </row>
    <row r="1115" spans="1:9" hidden="1" x14ac:dyDescent="0.25">
      <c r="A1115" s="1" t="s">
        <v>10</v>
      </c>
      <c r="B1115" s="1" t="s">
        <v>189</v>
      </c>
      <c r="C1115" s="1" t="s">
        <v>3</v>
      </c>
      <c r="D1115" s="1">
        <v>0</v>
      </c>
      <c r="E1115" s="1">
        <v>0</v>
      </c>
      <c r="F1115" s="1">
        <v>0</v>
      </c>
      <c r="G1115" s="1">
        <v>0</v>
      </c>
      <c r="H1115" s="1">
        <v>0</v>
      </c>
      <c r="I1115" s="1">
        <v>0</v>
      </c>
    </row>
    <row r="1116" spans="1:9" hidden="1" x14ac:dyDescent="0.25">
      <c r="A1116" s="1" t="s">
        <v>10</v>
      </c>
      <c r="B1116" s="1" t="s">
        <v>190</v>
      </c>
      <c r="C1116" s="1" t="s">
        <v>143</v>
      </c>
      <c r="D1116" s="1">
        <v>0</v>
      </c>
      <c r="E1116" s="1">
        <v>0</v>
      </c>
      <c r="F1116" s="1">
        <v>0</v>
      </c>
      <c r="G1116" s="1">
        <v>0</v>
      </c>
      <c r="H1116" s="1">
        <v>0</v>
      </c>
      <c r="I1116" s="1">
        <v>0</v>
      </c>
    </row>
    <row r="1117" spans="1:9" hidden="1" x14ac:dyDescent="0.25">
      <c r="A1117" s="1" t="s">
        <v>10</v>
      </c>
      <c r="B1117" s="1" t="s">
        <v>190</v>
      </c>
      <c r="C1117" s="1" t="s">
        <v>3</v>
      </c>
      <c r="D1117" s="1">
        <v>0</v>
      </c>
      <c r="E1117" s="1">
        <v>0</v>
      </c>
      <c r="F1117" s="1">
        <v>0</v>
      </c>
      <c r="G1117" s="1">
        <v>0</v>
      </c>
      <c r="H1117" s="1">
        <v>0</v>
      </c>
      <c r="I1117" s="1">
        <v>0</v>
      </c>
    </row>
    <row r="1118" spans="1:9" hidden="1" x14ac:dyDescent="0.25">
      <c r="A1118" s="1" t="s">
        <v>10</v>
      </c>
      <c r="B1118" s="1" t="s">
        <v>191</v>
      </c>
      <c r="C1118" s="1" t="s">
        <v>143</v>
      </c>
      <c r="D1118" s="1">
        <v>0</v>
      </c>
      <c r="E1118" s="1">
        <v>0</v>
      </c>
      <c r="F1118" s="1">
        <v>0</v>
      </c>
      <c r="G1118" s="1">
        <v>0</v>
      </c>
      <c r="H1118" s="1">
        <v>0</v>
      </c>
      <c r="I1118" s="1">
        <v>0</v>
      </c>
    </row>
    <row r="1119" spans="1:9" hidden="1" x14ac:dyDescent="0.25">
      <c r="A1119" s="1" t="s">
        <v>10</v>
      </c>
      <c r="B1119" s="1" t="s">
        <v>191</v>
      </c>
      <c r="C1119" s="1" t="s">
        <v>3</v>
      </c>
      <c r="D1119" s="1">
        <v>0</v>
      </c>
      <c r="E1119" s="1">
        <v>0</v>
      </c>
      <c r="F1119" s="1">
        <v>0</v>
      </c>
      <c r="G1119" s="1">
        <v>0</v>
      </c>
      <c r="H1119" s="1">
        <v>0</v>
      </c>
      <c r="I1119" s="1">
        <v>0</v>
      </c>
    </row>
    <row r="1120" spans="1:9" hidden="1" x14ac:dyDescent="0.25">
      <c r="A1120" s="1" t="s">
        <v>10</v>
      </c>
      <c r="B1120" s="1" t="s">
        <v>192</v>
      </c>
      <c r="C1120" s="1" t="s">
        <v>143</v>
      </c>
      <c r="D1120" s="1">
        <v>0</v>
      </c>
      <c r="E1120" s="1">
        <v>0</v>
      </c>
      <c r="F1120" s="1">
        <v>0</v>
      </c>
      <c r="G1120" s="1">
        <v>0</v>
      </c>
      <c r="H1120" s="1">
        <v>0</v>
      </c>
      <c r="I1120" s="1">
        <v>0</v>
      </c>
    </row>
    <row r="1121" spans="1:9" hidden="1" x14ac:dyDescent="0.25">
      <c r="A1121" s="1" t="s">
        <v>10</v>
      </c>
      <c r="B1121" s="1" t="s">
        <v>192</v>
      </c>
      <c r="C1121" s="1" t="s">
        <v>3</v>
      </c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</row>
    <row r="1122" spans="1:9" hidden="1" x14ac:dyDescent="0.25">
      <c r="A1122" s="1" t="s">
        <v>10</v>
      </c>
      <c r="B1122" s="1" t="s">
        <v>193</v>
      </c>
      <c r="C1122" s="1" t="s">
        <v>143</v>
      </c>
      <c r="D1122" s="1">
        <v>0</v>
      </c>
      <c r="E1122" s="1">
        <v>0</v>
      </c>
      <c r="F1122" s="1">
        <v>0</v>
      </c>
      <c r="G1122" s="1">
        <v>0</v>
      </c>
      <c r="H1122" s="1">
        <v>0</v>
      </c>
      <c r="I1122" s="1">
        <v>0</v>
      </c>
    </row>
    <row r="1123" spans="1:9" hidden="1" x14ac:dyDescent="0.25">
      <c r="A1123" s="1" t="s">
        <v>10</v>
      </c>
      <c r="B1123" s="1" t="s">
        <v>193</v>
      </c>
      <c r="C1123" s="1" t="s">
        <v>3</v>
      </c>
      <c r="D1123" s="1">
        <v>0</v>
      </c>
      <c r="E1123" s="1">
        <v>0</v>
      </c>
      <c r="F1123" s="1">
        <v>0</v>
      </c>
      <c r="G1123" s="1">
        <v>0</v>
      </c>
      <c r="H1123" s="1">
        <v>0</v>
      </c>
      <c r="I1123" s="1">
        <v>0</v>
      </c>
    </row>
    <row r="1124" spans="1:9" hidden="1" x14ac:dyDescent="0.25">
      <c r="A1124" s="1" t="s">
        <v>10</v>
      </c>
      <c r="B1124" s="1" t="s">
        <v>194</v>
      </c>
      <c r="C1124" s="1" t="s">
        <v>143</v>
      </c>
      <c r="D1124" s="1">
        <v>0</v>
      </c>
      <c r="E1124" s="1">
        <v>0</v>
      </c>
      <c r="F1124" s="1">
        <v>0</v>
      </c>
      <c r="G1124" s="1">
        <v>0</v>
      </c>
      <c r="H1124" s="1">
        <v>0</v>
      </c>
      <c r="I1124" s="1">
        <v>0</v>
      </c>
    </row>
    <row r="1125" spans="1:9" hidden="1" x14ac:dyDescent="0.25">
      <c r="A1125" s="1" t="s">
        <v>10</v>
      </c>
      <c r="B1125" s="1" t="s">
        <v>194</v>
      </c>
      <c r="C1125" s="1" t="s">
        <v>3</v>
      </c>
      <c r="D1125" s="1">
        <v>0</v>
      </c>
      <c r="E1125" s="1">
        <v>0</v>
      </c>
      <c r="F1125" s="1">
        <v>0</v>
      </c>
      <c r="G1125" s="1">
        <v>0</v>
      </c>
      <c r="H1125" s="1">
        <v>0</v>
      </c>
      <c r="I1125" s="1">
        <v>0</v>
      </c>
    </row>
    <row r="1126" spans="1:9" hidden="1" x14ac:dyDescent="0.25">
      <c r="A1126" s="1" t="s">
        <v>10</v>
      </c>
      <c r="B1126" s="1" t="s">
        <v>195</v>
      </c>
      <c r="C1126" s="1" t="s">
        <v>143</v>
      </c>
      <c r="D1126" s="1">
        <v>0</v>
      </c>
      <c r="E1126" s="1">
        <v>0</v>
      </c>
      <c r="F1126" s="1">
        <v>0</v>
      </c>
      <c r="G1126" s="1">
        <v>0</v>
      </c>
      <c r="H1126" s="1">
        <v>0</v>
      </c>
      <c r="I1126" s="1">
        <v>0</v>
      </c>
    </row>
    <row r="1127" spans="1:9" hidden="1" x14ac:dyDescent="0.25">
      <c r="A1127" s="1" t="s">
        <v>10</v>
      </c>
      <c r="B1127" s="1" t="s">
        <v>195</v>
      </c>
      <c r="C1127" s="1" t="s">
        <v>3</v>
      </c>
      <c r="D1127" s="1">
        <v>0</v>
      </c>
      <c r="E1127" s="1">
        <v>0</v>
      </c>
      <c r="F1127" s="1">
        <v>0</v>
      </c>
      <c r="G1127" s="1">
        <v>0</v>
      </c>
      <c r="H1127" s="1">
        <v>0</v>
      </c>
      <c r="I1127" s="1">
        <v>0</v>
      </c>
    </row>
    <row r="1128" spans="1:9" hidden="1" x14ac:dyDescent="0.25">
      <c r="A1128" s="1" t="s">
        <v>10</v>
      </c>
      <c r="B1128" s="1" t="s">
        <v>196</v>
      </c>
      <c r="C1128" s="1" t="s">
        <v>143</v>
      </c>
      <c r="D1128" s="1">
        <v>0</v>
      </c>
      <c r="E1128" s="1">
        <v>0</v>
      </c>
      <c r="F1128" s="1">
        <v>0</v>
      </c>
      <c r="G1128" s="1">
        <v>0</v>
      </c>
      <c r="H1128" s="1">
        <v>0</v>
      </c>
      <c r="I1128" s="1">
        <v>0</v>
      </c>
    </row>
    <row r="1129" spans="1:9" hidden="1" x14ac:dyDescent="0.25">
      <c r="A1129" s="1" t="s">
        <v>10</v>
      </c>
      <c r="B1129" s="1" t="s">
        <v>196</v>
      </c>
      <c r="C1129" s="1" t="s">
        <v>3</v>
      </c>
      <c r="D1129" s="1">
        <v>0</v>
      </c>
      <c r="E1129" s="1">
        <v>0</v>
      </c>
      <c r="F1129" s="1">
        <v>0</v>
      </c>
      <c r="G1129" s="1">
        <v>0</v>
      </c>
      <c r="H1129" s="1">
        <v>0</v>
      </c>
      <c r="I1129" s="1">
        <v>0</v>
      </c>
    </row>
    <row r="1130" spans="1:9" hidden="1" x14ac:dyDescent="0.25">
      <c r="A1130" s="1" t="s">
        <v>10</v>
      </c>
      <c r="B1130" s="1" t="s">
        <v>197</v>
      </c>
      <c r="C1130" s="1" t="s">
        <v>143</v>
      </c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</row>
    <row r="1131" spans="1:9" hidden="1" x14ac:dyDescent="0.25">
      <c r="A1131" s="1" t="s">
        <v>10</v>
      </c>
      <c r="B1131" s="1" t="s">
        <v>197</v>
      </c>
      <c r="C1131" s="1" t="s">
        <v>3</v>
      </c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</row>
    <row r="1132" spans="1:9" hidden="1" x14ac:dyDescent="0.25">
      <c r="A1132" s="1" t="s">
        <v>10</v>
      </c>
      <c r="B1132" s="1" t="s">
        <v>198</v>
      </c>
      <c r="C1132" s="1" t="s">
        <v>143</v>
      </c>
      <c r="D1132" s="1">
        <v>0</v>
      </c>
      <c r="E1132" s="1">
        <v>0</v>
      </c>
      <c r="F1132" s="1">
        <v>0</v>
      </c>
      <c r="G1132" s="1">
        <v>0</v>
      </c>
      <c r="H1132" s="1">
        <v>0</v>
      </c>
      <c r="I1132" s="1">
        <v>0</v>
      </c>
    </row>
    <row r="1133" spans="1:9" hidden="1" x14ac:dyDescent="0.25">
      <c r="A1133" s="1" t="s">
        <v>10</v>
      </c>
      <c r="B1133" s="1" t="s">
        <v>198</v>
      </c>
      <c r="C1133" s="1" t="s">
        <v>3</v>
      </c>
      <c r="D1133" s="1">
        <v>0</v>
      </c>
      <c r="E1133" s="1">
        <v>0</v>
      </c>
      <c r="F1133" s="1">
        <v>0</v>
      </c>
      <c r="G1133" s="1">
        <v>0</v>
      </c>
      <c r="H1133" s="1">
        <v>0</v>
      </c>
      <c r="I1133" s="1">
        <v>0</v>
      </c>
    </row>
    <row r="1134" spans="1:9" hidden="1" x14ac:dyDescent="0.25">
      <c r="A1134" s="1" t="s">
        <v>10</v>
      </c>
      <c r="B1134" s="1" t="s">
        <v>199</v>
      </c>
      <c r="C1134" s="1" t="s">
        <v>143</v>
      </c>
      <c r="D1134" s="1">
        <v>0</v>
      </c>
      <c r="E1134" s="1">
        <v>0</v>
      </c>
      <c r="F1134" s="1">
        <v>0</v>
      </c>
      <c r="G1134" s="1">
        <v>0</v>
      </c>
      <c r="H1134" s="1">
        <v>0</v>
      </c>
      <c r="I1134" s="1">
        <v>0</v>
      </c>
    </row>
    <row r="1135" spans="1:9" hidden="1" x14ac:dyDescent="0.25">
      <c r="A1135" s="1" t="s">
        <v>10</v>
      </c>
      <c r="B1135" s="1" t="s">
        <v>199</v>
      </c>
      <c r="C1135" s="1" t="s">
        <v>3</v>
      </c>
      <c r="D1135" s="1">
        <v>0</v>
      </c>
      <c r="E1135" s="1">
        <v>0</v>
      </c>
      <c r="F1135" s="1">
        <v>0</v>
      </c>
      <c r="G1135" s="1">
        <v>0</v>
      </c>
      <c r="H1135" s="1">
        <v>0</v>
      </c>
      <c r="I1135" s="1">
        <v>0</v>
      </c>
    </row>
    <row r="1136" spans="1:9" hidden="1" x14ac:dyDescent="0.25">
      <c r="A1136" s="1" t="s">
        <v>10</v>
      </c>
      <c r="B1136" s="1" t="s">
        <v>200</v>
      </c>
      <c r="C1136" s="1" t="s">
        <v>143</v>
      </c>
      <c r="D1136" s="1">
        <v>0</v>
      </c>
      <c r="E1136" s="1">
        <v>0</v>
      </c>
      <c r="F1136" s="1">
        <v>0</v>
      </c>
      <c r="G1136" s="1">
        <v>0</v>
      </c>
      <c r="H1136" s="1">
        <v>0</v>
      </c>
      <c r="I1136" s="1">
        <v>0</v>
      </c>
    </row>
    <row r="1137" spans="1:9" hidden="1" x14ac:dyDescent="0.25">
      <c r="A1137" s="1" t="s">
        <v>10</v>
      </c>
      <c r="B1137" s="1" t="s">
        <v>200</v>
      </c>
      <c r="C1137" s="1" t="s">
        <v>3</v>
      </c>
      <c r="D1137" s="1">
        <v>0</v>
      </c>
      <c r="E1137" s="1">
        <v>0</v>
      </c>
      <c r="F1137" s="1">
        <v>0</v>
      </c>
      <c r="G1137" s="1">
        <v>0</v>
      </c>
      <c r="H1137" s="1">
        <v>0</v>
      </c>
      <c r="I1137" s="1">
        <v>0</v>
      </c>
    </row>
    <row r="1138" spans="1:9" hidden="1" x14ac:dyDescent="0.25">
      <c r="A1138" s="1" t="s">
        <v>10</v>
      </c>
      <c r="B1138" s="1" t="s">
        <v>201</v>
      </c>
      <c r="C1138" s="1" t="s">
        <v>143</v>
      </c>
      <c r="D1138" s="1">
        <v>0</v>
      </c>
      <c r="E1138" s="1">
        <v>0</v>
      </c>
      <c r="F1138" s="1">
        <v>0</v>
      </c>
      <c r="G1138" s="1">
        <v>0</v>
      </c>
      <c r="H1138" s="1">
        <v>0</v>
      </c>
      <c r="I1138" s="1">
        <v>0</v>
      </c>
    </row>
    <row r="1139" spans="1:9" hidden="1" x14ac:dyDescent="0.25">
      <c r="A1139" s="1" t="s">
        <v>10</v>
      </c>
      <c r="B1139" s="1" t="s">
        <v>201</v>
      </c>
      <c r="C1139" s="1" t="s">
        <v>3</v>
      </c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</v>
      </c>
    </row>
    <row r="1140" spans="1:9" hidden="1" x14ac:dyDescent="0.25">
      <c r="A1140" s="1" t="s">
        <v>10</v>
      </c>
      <c r="B1140" s="1" t="s">
        <v>202</v>
      </c>
      <c r="C1140" s="1" t="s">
        <v>143</v>
      </c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</row>
    <row r="1141" spans="1:9" hidden="1" x14ac:dyDescent="0.25">
      <c r="A1141" s="1" t="s">
        <v>10</v>
      </c>
      <c r="B1141" s="1" t="s">
        <v>202</v>
      </c>
      <c r="C1141" s="1" t="s">
        <v>3</v>
      </c>
      <c r="D1141" s="1">
        <v>0</v>
      </c>
      <c r="E1141" s="1">
        <v>0</v>
      </c>
      <c r="F1141" s="1">
        <v>0</v>
      </c>
      <c r="G1141" s="1">
        <v>0</v>
      </c>
      <c r="H1141" s="1">
        <v>0</v>
      </c>
      <c r="I1141" s="1">
        <v>0</v>
      </c>
    </row>
    <row r="1142" spans="1:9" hidden="1" x14ac:dyDescent="0.25">
      <c r="A1142" s="1" t="s">
        <v>10</v>
      </c>
      <c r="B1142" s="1" t="s">
        <v>203</v>
      </c>
      <c r="C1142" s="1" t="s">
        <v>143</v>
      </c>
      <c r="D1142" s="1">
        <v>0</v>
      </c>
      <c r="E1142" s="1">
        <v>0</v>
      </c>
      <c r="F1142" s="1">
        <v>0</v>
      </c>
      <c r="G1142" s="1">
        <v>0</v>
      </c>
      <c r="H1142" s="1">
        <v>0</v>
      </c>
      <c r="I1142" s="1">
        <v>0</v>
      </c>
    </row>
    <row r="1143" spans="1:9" hidden="1" x14ac:dyDescent="0.25">
      <c r="A1143" s="1" t="s">
        <v>10</v>
      </c>
      <c r="B1143" s="1" t="s">
        <v>203</v>
      </c>
      <c r="C1143" s="1" t="s">
        <v>3</v>
      </c>
      <c r="D1143" s="1">
        <v>0</v>
      </c>
      <c r="E1143" s="1">
        <v>0</v>
      </c>
      <c r="F1143" s="1">
        <v>0</v>
      </c>
      <c r="G1143" s="1">
        <v>0</v>
      </c>
      <c r="H1143" s="1">
        <v>0</v>
      </c>
      <c r="I1143" s="1">
        <v>0</v>
      </c>
    </row>
    <row r="1144" spans="1:9" hidden="1" x14ac:dyDescent="0.25">
      <c r="A1144" s="1" t="s">
        <v>10</v>
      </c>
      <c r="B1144" s="1" t="s">
        <v>204</v>
      </c>
      <c r="C1144" s="1" t="s">
        <v>143</v>
      </c>
      <c r="D1144" s="1">
        <v>0</v>
      </c>
      <c r="E1144" s="1">
        <v>0</v>
      </c>
      <c r="F1144" s="1">
        <v>0</v>
      </c>
      <c r="G1144" s="1">
        <v>0</v>
      </c>
      <c r="H1144" s="1">
        <v>0</v>
      </c>
      <c r="I1144" s="1">
        <v>0</v>
      </c>
    </row>
    <row r="1145" spans="1:9" hidden="1" x14ac:dyDescent="0.25">
      <c r="A1145" s="1" t="s">
        <v>10</v>
      </c>
      <c r="B1145" s="1" t="s">
        <v>204</v>
      </c>
      <c r="C1145" s="1" t="s">
        <v>3</v>
      </c>
      <c r="D1145" s="1">
        <v>0</v>
      </c>
      <c r="E1145" s="1">
        <v>0</v>
      </c>
      <c r="F1145" s="1">
        <v>0</v>
      </c>
      <c r="G1145" s="1">
        <v>0</v>
      </c>
      <c r="H1145" s="1">
        <v>0</v>
      </c>
      <c r="I1145" s="1">
        <v>0</v>
      </c>
    </row>
    <row r="1146" spans="1:9" hidden="1" x14ac:dyDescent="0.25">
      <c r="A1146" s="1" t="s">
        <v>10</v>
      </c>
      <c r="B1146" s="1" t="s">
        <v>205</v>
      </c>
      <c r="C1146" s="1" t="s">
        <v>143</v>
      </c>
      <c r="D1146" s="1">
        <v>0</v>
      </c>
      <c r="E1146" s="1">
        <v>0</v>
      </c>
      <c r="F1146" s="1">
        <v>0</v>
      </c>
      <c r="G1146" s="1">
        <v>0</v>
      </c>
      <c r="H1146" s="1">
        <v>0</v>
      </c>
      <c r="I1146" s="1">
        <v>0</v>
      </c>
    </row>
    <row r="1147" spans="1:9" hidden="1" x14ac:dyDescent="0.25">
      <c r="A1147" s="1" t="s">
        <v>10</v>
      </c>
      <c r="B1147" s="1" t="s">
        <v>205</v>
      </c>
      <c r="C1147" s="1" t="s">
        <v>3</v>
      </c>
      <c r="D1147" s="1">
        <v>0</v>
      </c>
      <c r="E1147" s="1">
        <v>0</v>
      </c>
      <c r="F1147" s="1">
        <v>0</v>
      </c>
      <c r="G1147" s="1">
        <v>0</v>
      </c>
      <c r="H1147" s="1">
        <v>0</v>
      </c>
      <c r="I1147" s="1">
        <v>0</v>
      </c>
    </row>
    <row r="1148" spans="1:9" hidden="1" x14ac:dyDescent="0.25">
      <c r="A1148" s="1" t="s">
        <v>10</v>
      </c>
      <c r="B1148" s="1" t="s">
        <v>206</v>
      </c>
      <c r="C1148" s="1" t="s">
        <v>143</v>
      </c>
      <c r="D1148" s="1">
        <v>0</v>
      </c>
      <c r="E1148" s="1">
        <v>0</v>
      </c>
      <c r="F1148" s="1">
        <v>0</v>
      </c>
      <c r="G1148" s="1">
        <v>0</v>
      </c>
      <c r="H1148" s="1">
        <v>0</v>
      </c>
      <c r="I1148" s="1">
        <v>0</v>
      </c>
    </row>
    <row r="1149" spans="1:9" hidden="1" x14ac:dyDescent="0.25">
      <c r="A1149" s="1" t="s">
        <v>10</v>
      </c>
      <c r="B1149" s="1" t="s">
        <v>206</v>
      </c>
      <c r="C1149" s="1" t="s">
        <v>3</v>
      </c>
      <c r="D1149" s="1">
        <v>0</v>
      </c>
      <c r="E1149" s="1">
        <v>0</v>
      </c>
      <c r="F1149" s="1">
        <v>0</v>
      </c>
      <c r="G1149" s="1">
        <v>0</v>
      </c>
      <c r="H1149" s="1">
        <v>0</v>
      </c>
      <c r="I1149" s="1">
        <v>0</v>
      </c>
    </row>
    <row r="1150" spans="1:9" hidden="1" x14ac:dyDescent="0.25">
      <c r="A1150" s="1" t="s">
        <v>10</v>
      </c>
      <c r="B1150" s="1" t="s">
        <v>207</v>
      </c>
      <c r="C1150" s="1" t="s">
        <v>143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</v>
      </c>
    </row>
    <row r="1151" spans="1:9" hidden="1" x14ac:dyDescent="0.25">
      <c r="A1151" s="1" t="s">
        <v>10</v>
      </c>
      <c r="B1151" s="1" t="s">
        <v>207</v>
      </c>
      <c r="C1151" s="1" t="s">
        <v>3</v>
      </c>
      <c r="D1151" s="1">
        <v>0</v>
      </c>
      <c r="E1151" s="1">
        <v>0</v>
      </c>
      <c r="F1151" s="1">
        <v>0</v>
      </c>
      <c r="G1151" s="1">
        <v>0</v>
      </c>
      <c r="H1151" s="1">
        <v>0</v>
      </c>
      <c r="I1151" s="1">
        <v>0</v>
      </c>
    </row>
    <row r="1152" spans="1:9" hidden="1" x14ac:dyDescent="0.25">
      <c r="A1152" s="1" t="s">
        <v>10</v>
      </c>
      <c r="B1152" s="1" t="s">
        <v>208</v>
      </c>
      <c r="C1152" s="1" t="s">
        <v>143</v>
      </c>
      <c r="D1152" s="1">
        <v>0</v>
      </c>
      <c r="E1152" s="1">
        <v>0</v>
      </c>
      <c r="F1152" s="1">
        <v>0</v>
      </c>
      <c r="G1152" s="1">
        <v>0</v>
      </c>
      <c r="H1152" s="1">
        <v>0</v>
      </c>
      <c r="I1152" s="1">
        <v>0</v>
      </c>
    </row>
    <row r="1153" spans="1:9" hidden="1" x14ac:dyDescent="0.25">
      <c r="A1153" s="1" t="s">
        <v>10</v>
      </c>
      <c r="B1153" s="1" t="s">
        <v>208</v>
      </c>
      <c r="C1153" s="1" t="s">
        <v>3</v>
      </c>
      <c r="D1153" s="1">
        <v>0</v>
      </c>
      <c r="E1153" s="1">
        <v>0</v>
      </c>
      <c r="F1153" s="1">
        <v>0</v>
      </c>
      <c r="G1153" s="1">
        <v>0</v>
      </c>
      <c r="H1153" s="1">
        <v>0</v>
      </c>
      <c r="I1153" s="1">
        <v>0</v>
      </c>
    </row>
    <row r="1154" spans="1:9" hidden="1" x14ac:dyDescent="0.25">
      <c r="A1154" s="1" t="s">
        <v>10</v>
      </c>
      <c r="B1154" s="1" t="s">
        <v>209</v>
      </c>
      <c r="C1154" s="1" t="s">
        <v>143</v>
      </c>
      <c r="D1154" s="1">
        <v>0</v>
      </c>
      <c r="E1154" s="1">
        <v>0</v>
      </c>
      <c r="F1154" s="1">
        <v>0</v>
      </c>
      <c r="G1154" s="1">
        <v>0</v>
      </c>
      <c r="H1154" s="1">
        <v>0</v>
      </c>
      <c r="I1154" s="1">
        <v>0</v>
      </c>
    </row>
    <row r="1155" spans="1:9" hidden="1" x14ac:dyDescent="0.25">
      <c r="A1155" s="1" t="s">
        <v>10</v>
      </c>
      <c r="B1155" s="1" t="s">
        <v>209</v>
      </c>
      <c r="C1155" s="1" t="s">
        <v>3</v>
      </c>
      <c r="D1155" s="1">
        <v>0</v>
      </c>
      <c r="E1155" s="1">
        <v>0</v>
      </c>
      <c r="F1155" s="1">
        <v>0</v>
      </c>
      <c r="G1155" s="1">
        <v>0</v>
      </c>
      <c r="H1155" s="1">
        <v>0</v>
      </c>
      <c r="I1155" s="1">
        <v>0</v>
      </c>
    </row>
    <row r="1156" spans="1:9" hidden="1" x14ac:dyDescent="0.25">
      <c r="A1156" s="1" t="s">
        <v>10</v>
      </c>
      <c r="B1156" s="1" t="s">
        <v>210</v>
      </c>
      <c r="C1156" s="1" t="s">
        <v>143</v>
      </c>
      <c r="D1156" s="1">
        <v>0</v>
      </c>
      <c r="E1156" s="1">
        <v>0</v>
      </c>
      <c r="F1156" s="1">
        <v>0</v>
      </c>
      <c r="G1156" s="1">
        <v>0</v>
      </c>
      <c r="H1156" s="1">
        <v>0</v>
      </c>
      <c r="I1156" s="1">
        <v>0</v>
      </c>
    </row>
    <row r="1157" spans="1:9" hidden="1" x14ac:dyDescent="0.25">
      <c r="A1157" s="1" t="s">
        <v>10</v>
      </c>
      <c r="B1157" s="1" t="s">
        <v>210</v>
      </c>
      <c r="C1157" s="1" t="s">
        <v>3</v>
      </c>
      <c r="D1157" s="1">
        <v>0</v>
      </c>
      <c r="E1157" s="1">
        <v>0</v>
      </c>
      <c r="F1157" s="1">
        <v>0</v>
      </c>
      <c r="G1157" s="1">
        <v>0</v>
      </c>
      <c r="H1157" s="1">
        <v>0</v>
      </c>
      <c r="I1157" s="1">
        <v>0</v>
      </c>
    </row>
    <row r="1158" spans="1:9" hidden="1" x14ac:dyDescent="0.25">
      <c r="A1158" s="1" t="s">
        <v>10</v>
      </c>
      <c r="B1158" s="1" t="s">
        <v>211</v>
      </c>
      <c r="C1158" s="1" t="s">
        <v>143</v>
      </c>
      <c r="D1158" s="1">
        <v>0</v>
      </c>
      <c r="E1158" s="1">
        <v>0</v>
      </c>
      <c r="F1158" s="1">
        <v>0</v>
      </c>
      <c r="G1158" s="1">
        <v>0</v>
      </c>
      <c r="H1158" s="1">
        <v>0</v>
      </c>
      <c r="I1158" s="1">
        <v>0</v>
      </c>
    </row>
    <row r="1159" spans="1:9" hidden="1" x14ac:dyDescent="0.25">
      <c r="A1159" s="1" t="s">
        <v>10</v>
      </c>
      <c r="B1159" s="1" t="s">
        <v>211</v>
      </c>
      <c r="C1159" s="1" t="s">
        <v>3</v>
      </c>
      <c r="D1159" s="1">
        <v>0</v>
      </c>
      <c r="E1159" s="1">
        <v>0</v>
      </c>
      <c r="F1159" s="1">
        <v>0</v>
      </c>
      <c r="G1159" s="1">
        <v>0</v>
      </c>
      <c r="H1159" s="1">
        <v>0</v>
      </c>
      <c r="I1159" s="1">
        <v>0</v>
      </c>
    </row>
    <row r="1160" spans="1:9" hidden="1" x14ac:dyDescent="0.25">
      <c r="A1160" s="1" t="s">
        <v>10</v>
      </c>
      <c r="B1160" s="1" t="s">
        <v>212</v>
      </c>
      <c r="C1160" s="1" t="s">
        <v>143</v>
      </c>
      <c r="D1160" s="1">
        <v>0</v>
      </c>
      <c r="E1160" s="1">
        <v>0</v>
      </c>
      <c r="F1160" s="1">
        <v>0</v>
      </c>
      <c r="G1160" s="1">
        <v>0</v>
      </c>
      <c r="H1160" s="1">
        <v>0</v>
      </c>
      <c r="I1160" s="1">
        <v>0</v>
      </c>
    </row>
    <row r="1161" spans="1:9" hidden="1" x14ac:dyDescent="0.25">
      <c r="A1161" s="1" t="s">
        <v>10</v>
      </c>
      <c r="B1161" s="1" t="s">
        <v>212</v>
      </c>
      <c r="C1161" s="1" t="s">
        <v>3</v>
      </c>
      <c r="D1161" s="1">
        <v>0</v>
      </c>
      <c r="E1161" s="1">
        <v>0</v>
      </c>
      <c r="F1161" s="1">
        <v>0</v>
      </c>
      <c r="G1161" s="1">
        <v>0</v>
      </c>
      <c r="H1161" s="1">
        <v>0</v>
      </c>
      <c r="I1161" s="1">
        <v>0</v>
      </c>
    </row>
    <row r="1162" spans="1:9" hidden="1" x14ac:dyDescent="0.25">
      <c r="A1162" s="1" t="s">
        <v>10</v>
      </c>
      <c r="B1162" s="1" t="s">
        <v>213</v>
      </c>
      <c r="C1162" s="1" t="s">
        <v>143</v>
      </c>
      <c r="D1162" s="1">
        <v>0</v>
      </c>
      <c r="E1162" s="1">
        <v>0</v>
      </c>
      <c r="F1162" s="1">
        <v>0</v>
      </c>
      <c r="G1162" s="1">
        <v>0</v>
      </c>
      <c r="H1162" s="1">
        <v>0</v>
      </c>
      <c r="I1162" s="1">
        <v>0</v>
      </c>
    </row>
    <row r="1163" spans="1:9" hidden="1" x14ac:dyDescent="0.25">
      <c r="A1163" s="1" t="s">
        <v>10</v>
      </c>
      <c r="B1163" s="1" t="s">
        <v>213</v>
      </c>
      <c r="C1163" s="1" t="s">
        <v>3</v>
      </c>
      <c r="D1163" s="1">
        <v>0</v>
      </c>
      <c r="E1163" s="1">
        <v>0</v>
      </c>
      <c r="F1163" s="1">
        <v>0</v>
      </c>
      <c r="G1163" s="1">
        <v>0</v>
      </c>
      <c r="H1163" s="1">
        <v>0</v>
      </c>
      <c r="I1163" s="1">
        <v>0</v>
      </c>
    </row>
    <row r="1164" spans="1:9" hidden="1" x14ac:dyDescent="0.25">
      <c r="A1164" s="1" t="s">
        <v>10</v>
      </c>
      <c r="B1164" s="1" t="s">
        <v>214</v>
      </c>
      <c r="C1164" s="1" t="s">
        <v>143</v>
      </c>
      <c r="D1164" s="1">
        <v>0</v>
      </c>
      <c r="E1164" s="1">
        <v>0</v>
      </c>
      <c r="F1164" s="1">
        <v>0</v>
      </c>
      <c r="G1164" s="1">
        <v>0</v>
      </c>
      <c r="H1164" s="1">
        <v>0</v>
      </c>
      <c r="I1164" s="1">
        <v>0</v>
      </c>
    </row>
    <row r="1165" spans="1:9" hidden="1" x14ac:dyDescent="0.25">
      <c r="A1165" s="1" t="s">
        <v>10</v>
      </c>
      <c r="B1165" s="1" t="s">
        <v>214</v>
      </c>
      <c r="C1165" s="1" t="s">
        <v>3</v>
      </c>
      <c r="D1165" s="1">
        <v>0</v>
      </c>
      <c r="E1165" s="1">
        <v>0</v>
      </c>
      <c r="F1165" s="1">
        <v>0</v>
      </c>
      <c r="G1165" s="1">
        <v>0</v>
      </c>
      <c r="H1165" s="1">
        <v>0</v>
      </c>
      <c r="I1165" s="1">
        <v>0</v>
      </c>
    </row>
    <row r="1166" spans="1:9" hidden="1" x14ac:dyDescent="0.25">
      <c r="A1166" s="1" t="s">
        <v>10</v>
      </c>
      <c r="B1166" s="1" t="s">
        <v>215</v>
      </c>
      <c r="C1166" s="1" t="s">
        <v>143</v>
      </c>
      <c r="D1166" s="1">
        <v>0</v>
      </c>
      <c r="E1166" s="1">
        <v>0</v>
      </c>
      <c r="F1166" s="1">
        <v>0</v>
      </c>
      <c r="G1166" s="1">
        <v>0</v>
      </c>
      <c r="H1166" s="1">
        <v>0</v>
      </c>
      <c r="I1166" s="1">
        <v>0</v>
      </c>
    </row>
    <row r="1167" spans="1:9" hidden="1" x14ac:dyDescent="0.25">
      <c r="A1167" s="1" t="s">
        <v>10</v>
      </c>
      <c r="B1167" s="1" t="s">
        <v>215</v>
      </c>
      <c r="C1167" s="1" t="s">
        <v>3</v>
      </c>
      <c r="D1167" s="1">
        <v>0</v>
      </c>
      <c r="E1167" s="1">
        <v>0</v>
      </c>
      <c r="F1167" s="1">
        <v>0</v>
      </c>
      <c r="G1167" s="1">
        <v>0</v>
      </c>
      <c r="H1167" s="1">
        <v>0</v>
      </c>
      <c r="I1167" s="1">
        <v>0</v>
      </c>
    </row>
    <row r="1168" spans="1:9" hidden="1" x14ac:dyDescent="0.25">
      <c r="A1168" s="1" t="s">
        <v>10</v>
      </c>
      <c r="B1168" s="1" t="s">
        <v>216</v>
      </c>
      <c r="C1168" s="1" t="s">
        <v>143</v>
      </c>
      <c r="D1168" s="1">
        <v>0</v>
      </c>
      <c r="E1168" s="1">
        <v>0</v>
      </c>
      <c r="F1168" s="1">
        <v>0</v>
      </c>
      <c r="G1168" s="1">
        <v>0</v>
      </c>
      <c r="H1168" s="1">
        <v>0</v>
      </c>
      <c r="I1168" s="1">
        <v>0</v>
      </c>
    </row>
    <row r="1169" spans="1:9" hidden="1" x14ac:dyDescent="0.25">
      <c r="A1169" s="1" t="s">
        <v>10</v>
      </c>
      <c r="B1169" s="1" t="s">
        <v>216</v>
      </c>
      <c r="C1169" s="1" t="s">
        <v>3</v>
      </c>
      <c r="D1169" s="1">
        <v>0</v>
      </c>
      <c r="E1169" s="1">
        <v>0</v>
      </c>
      <c r="F1169" s="1">
        <v>0</v>
      </c>
      <c r="G1169" s="1">
        <v>0</v>
      </c>
      <c r="H1169" s="1">
        <v>0</v>
      </c>
      <c r="I1169" s="1">
        <v>0</v>
      </c>
    </row>
    <row r="1170" spans="1:9" hidden="1" x14ac:dyDescent="0.25">
      <c r="A1170" s="1" t="s">
        <v>10</v>
      </c>
      <c r="B1170" s="1" t="s">
        <v>217</v>
      </c>
      <c r="C1170" s="1" t="s">
        <v>143</v>
      </c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</row>
    <row r="1171" spans="1:9" hidden="1" x14ac:dyDescent="0.25">
      <c r="A1171" s="1" t="s">
        <v>10</v>
      </c>
      <c r="B1171" s="1" t="s">
        <v>217</v>
      </c>
      <c r="C1171" s="1" t="s">
        <v>3</v>
      </c>
      <c r="D1171" s="1">
        <v>0</v>
      </c>
      <c r="E1171" s="1">
        <v>0</v>
      </c>
      <c r="F1171" s="1">
        <v>0</v>
      </c>
      <c r="G1171" s="1">
        <v>0</v>
      </c>
      <c r="H1171" s="1">
        <v>0</v>
      </c>
      <c r="I1171" s="1">
        <v>0</v>
      </c>
    </row>
    <row r="1172" spans="1:9" hidden="1" x14ac:dyDescent="0.25">
      <c r="A1172" s="1" t="s">
        <v>10</v>
      </c>
      <c r="B1172" s="1" t="s">
        <v>218</v>
      </c>
      <c r="C1172" s="1" t="s">
        <v>143</v>
      </c>
      <c r="D1172" s="1">
        <v>0</v>
      </c>
      <c r="E1172" s="1">
        <v>0</v>
      </c>
      <c r="F1172" s="1">
        <v>0</v>
      </c>
      <c r="G1172" s="1">
        <v>0</v>
      </c>
      <c r="H1172" s="1">
        <v>0</v>
      </c>
      <c r="I1172" s="1">
        <v>0</v>
      </c>
    </row>
    <row r="1173" spans="1:9" hidden="1" x14ac:dyDescent="0.25">
      <c r="A1173" s="1" t="s">
        <v>10</v>
      </c>
      <c r="B1173" s="1" t="s">
        <v>218</v>
      </c>
      <c r="C1173" s="1" t="s">
        <v>3</v>
      </c>
      <c r="D1173" s="1">
        <v>0</v>
      </c>
      <c r="E1173" s="1">
        <v>0</v>
      </c>
      <c r="F1173" s="1">
        <v>0</v>
      </c>
      <c r="G1173" s="1">
        <v>0</v>
      </c>
      <c r="H1173" s="1">
        <v>0</v>
      </c>
      <c r="I1173" s="1">
        <v>0</v>
      </c>
    </row>
    <row r="1174" spans="1:9" hidden="1" x14ac:dyDescent="0.25">
      <c r="A1174" s="1" t="s">
        <v>10</v>
      </c>
      <c r="B1174" s="1" t="s">
        <v>219</v>
      </c>
      <c r="C1174" s="1" t="s">
        <v>143</v>
      </c>
      <c r="D1174" s="1">
        <v>0</v>
      </c>
      <c r="E1174" s="1">
        <v>0</v>
      </c>
      <c r="F1174" s="1">
        <v>0</v>
      </c>
      <c r="G1174" s="1">
        <v>0</v>
      </c>
      <c r="H1174" s="1">
        <v>0</v>
      </c>
      <c r="I1174" s="1">
        <v>0</v>
      </c>
    </row>
    <row r="1175" spans="1:9" hidden="1" x14ac:dyDescent="0.25">
      <c r="A1175" s="1" t="s">
        <v>10</v>
      </c>
      <c r="B1175" s="1" t="s">
        <v>219</v>
      </c>
      <c r="C1175" s="1" t="s">
        <v>3</v>
      </c>
      <c r="D1175" s="1">
        <v>0</v>
      </c>
      <c r="E1175" s="1">
        <v>0</v>
      </c>
      <c r="F1175" s="1">
        <v>0</v>
      </c>
      <c r="G1175" s="1">
        <v>0</v>
      </c>
      <c r="H1175" s="1">
        <v>0</v>
      </c>
      <c r="I1175" s="1">
        <v>0</v>
      </c>
    </row>
    <row r="1176" spans="1:9" hidden="1" x14ac:dyDescent="0.25">
      <c r="A1176" s="1" t="s">
        <v>10</v>
      </c>
      <c r="B1176" s="1" t="s">
        <v>220</v>
      </c>
      <c r="C1176" s="1" t="s">
        <v>143</v>
      </c>
      <c r="D1176" s="1">
        <v>0</v>
      </c>
      <c r="E1176" s="1">
        <v>0</v>
      </c>
      <c r="F1176" s="1">
        <v>0</v>
      </c>
      <c r="G1176" s="1">
        <v>0</v>
      </c>
      <c r="H1176" s="1">
        <v>0</v>
      </c>
      <c r="I1176" s="1">
        <v>0</v>
      </c>
    </row>
    <row r="1177" spans="1:9" hidden="1" x14ac:dyDescent="0.25">
      <c r="A1177" s="1" t="s">
        <v>10</v>
      </c>
      <c r="B1177" s="1" t="s">
        <v>220</v>
      </c>
      <c r="C1177" s="1" t="s">
        <v>3</v>
      </c>
      <c r="D1177" s="1">
        <v>0</v>
      </c>
      <c r="E1177" s="1">
        <v>0</v>
      </c>
      <c r="F1177" s="1">
        <v>0</v>
      </c>
      <c r="G1177" s="1">
        <v>0</v>
      </c>
      <c r="H1177" s="1">
        <v>0</v>
      </c>
      <c r="I1177" s="1">
        <v>0</v>
      </c>
    </row>
    <row r="1178" spans="1:9" hidden="1" x14ac:dyDescent="0.25">
      <c r="A1178" s="1" t="s">
        <v>10</v>
      </c>
      <c r="B1178" s="1" t="s">
        <v>221</v>
      </c>
      <c r="C1178" s="1" t="s">
        <v>143</v>
      </c>
      <c r="D1178" s="1">
        <v>0</v>
      </c>
      <c r="E1178" s="1">
        <v>0</v>
      </c>
      <c r="F1178" s="1">
        <v>0</v>
      </c>
      <c r="G1178" s="1">
        <v>0</v>
      </c>
      <c r="H1178" s="1">
        <v>0</v>
      </c>
      <c r="I1178" s="1">
        <v>0</v>
      </c>
    </row>
    <row r="1179" spans="1:9" hidden="1" x14ac:dyDescent="0.25">
      <c r="A1179" s="1" t="s">
        <v>10</v>
      </c>
      <c r="B1179" s="1" t="s">
        <v>221</v>
      </c>
      <c r="C1179" s="1" t="s">
        <v>3</v>
      </c>
      <c r="D1179" s="1">
        <v>0</v>
      </c>
      <c r="E1179" s="1">
        <v>0</v>
      </c>
      <c r="F1179" s="1">
        <v>0</v>
      </c>
      <c r="G1179" s="1">
        <v>0</v>
      </c>
      <c r="H1179" s="1">
        <v>0</v>
      </c>
      <c r="I1179" s="1">
        <v>0</v>
      </c>
    </row>
    <row r="1180" spans="1:9" hidden="1" x14ac:dyDescent="0.25">
      <c r="A1180" s="1" t="s">
        <v>10</v>
      </c>
      <c r="B1180" s="1" t="s">
        <v>222</v>
      </c>
      <c r="C1180" s="1" t="s">
        <v>143</v>
      </c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</row>
    <row r="1181" spans="1:9" hidden="1" x14ac:dyDescent="0.25">
      <c r="A1181" s="1" t="s">
        <v>10</v>
      </c>
      <c r="B1181" s="1" t="s">
        <v>222</v>
      </c>
      <c r="C1181" s="1" t="s">
        <v>3</v>
      </c>
      <c r="D1181" s="1">
        <v>0</v>
      </c>
      <c r="E1181" s="1">
        <v>0</v>
      </c>
      <c r="F1181" s="1">
        <v>0</v>
      </c>
      <c r="G1181" s="1">
        <v>0</v>
      </c>
      <c r="H1181" s="1">
        <v>0</v>
      </c>
      <c r="I1181" s="1">
        <v>0</v>
      </c>
    </row>
    <row r="1182" spans="1:9" hidden="1" x14ac:dyDescent="0.25">
      <c r="A1182" s="1" t="s">
        <v>10</v>
      </c>
      <c r="B1182" s="1" t="s">
        <v>223</v>
      </c>
      <c r="C1182" s="1" t="s">
        <v>143</v>
      </c>
      <c r="D1182" s="1">
        <v>0</v>
      </c>
      <c r="E1182" s="1">
        <v>0</v>
      </c>
      <c r="F1182" s="1">
        <v>0</v>
      </c>
      <c r="G1182" s="1">
        <v>0</v>
      </c>
      <c r="H1182" s="1">
        <v>0</v>
      </c>
      <c r="I1182" s="1">
        <v>0</v>
      </c>
    </row>
    <row r="1183" spans="1:9" hidden="1" x14ac:dyDescent="0.25">
      <c r="A1183" s="1" t="s">
        <v>10</v>
      </c>
      <c r="B1183" s="1" t="s">
        <v>223</v>
      </c>
      <c r="C1183" s="1" t="s">
        <v>3</v>
      </c>
      <c r="D1183" s="1">
        <v>0</v>
      </c>
      <c r="E1183" s="1">
        <v>0</v>
      </c>
      <c r="F1183" s="1">
        <v>0</v>
      </c>
      <c r="G1183" s="1">
        <v>0</v>
      </c>
      <c r="H1183" s="1">
        <v>0</v>
      </c>
      <c r="I1183" s="1">
        <v>0</v>
      </c>
    </row>
    <row r="1184" spans="1:9" hidden="1" x14ac:dyDescent="0.25">
      <c r="A1184" s="1" t="s">
        <v>10</v>
      </c>
      <c r="B1184" s="1" t="s">
        <v>224</v>
      </c>
      <c r="C1184" s="1" t="s">
        <v>143</v>
      </c>
      <c r="D1184" s="1">
        <v>0</v>
      </c>
      <c r="E1184" s="1">
        <v>0</v>
      </c>
      <c r="F1184" s="1">
        <v>0</v>
      </c>
      <c r="G1184" s="1">
        <v>0</v>
      </c>
      <c r="H1184" s="1">
        <v>0</v>
      </c>
      <c r="I1184" s="1">
        <v>0</v>
      </c>
    </row>
    <row r="1185" spans="1:9" hidden="1" x14ac:dyDescent="0.25">
      <c r="A1185" s="1" t="s">
        <v>10</v>
      </c>
      <c r="B1185" s="1" t="s">
        <v>224</v>
      </c>
      <c r="C1185" s="1" t="s">
        <v>3</v>
      </c>
      <c r="D1185" s="1">
        <v>0</v>
      </c>
      <c r="E1185" s="1">
        <v>0</v>
      </c>
      <c r="F1185" s="1">
        <v>0</v>
      </c>
      <c r="G1185" s="1">
        <v>0</v>
      </c>
      <c r="H1185" s="1">
        <v>0</v>
      </c>
      <c r="I1185" s="1">
        <v>0</v>
      </c>
    </row>
    <row r="1186" spans="1:9" hidden="1" x14ac:dyDescent="0.25">
      <c r="A1186" s="1" t="s">
        <v>10</v>
      </c>
      <c r="B1186" s="1" t="s">
        <v>225</v>
      </c>
      <c r="C1186" s="1" t="s">
        <v>143</v>
      </c>
      <c r="D1186" s="1">
        <v>0</v>
      </c>
      <c r="E1186" s="1">
        <v>0</v>
      </c>
      <c r="F1186" s="1">
        <v>0</v>
      </c>
      <c r="G1186" s="1">
        <v>0</v>
      </c>
      <c r="H1186" s="1">
        <v>0</v>
      </c>
      <c r="I1186" s="1">
        <v>0</v>
      </c>
    </row>
    <row r="1187" spans="1:9" hidden="1" x14ac:dyDescent="0.25">
      <c r="A1187" s="1" t="s">
        <v>10</v>
      </c>
      <c r="B1187" s="1" t="s">
        <v>225</v>
      </c>
      <c r="C1187" s="1" t="s">
        <v>3</v>
      </c>
      <c r="D1187" s="1">
        <v>0</v>
      </c>
      <c r="E1187" s="1">
        <v>0</v>
      </c>
      <c r="F1187" s="1">
        <v>0</v>
      </c>
      <c r="G1187" s="1">
        <v>0</v>
      </c>
      <c r="H1187" s="1">
        <v>0</v>
      </c>
      <c r="I1187" s="1">
        <v>0</v>
      </c>
    </row>
    <row r="1188" spans="1:9" hidden="1" x14ac:dyDescent="0.25">
      <c r="A1188" s="1" t="s">
        <v>10</v>
      </c>
      <c r="B1188" s="1" t="s">
        <v>226</v>
      </c>
      <c r="C1188" s="1" t="s">
        <v>143</v>
      </c>
      <c r="D1188" s="1">
        <v>0</v>
      </c>
      <c r="E1188" s="1">
        <v>0</v>
      </c>
      <c r="F1188" s="1">
        <v>0</v>
      </c>
      <c r="G1188" s="1">
        <v>0</v>
      </c>
      <c r="H1188" s="1">
        <v>0</v>
      </c>
      <c r="I1188" s="1">
        <v>0</v>
      </c>
    </row>
    <row r="1189" spans="1:9" hidden="1" x14ac:dyDescent="0.25">
      <c r="A1189" s="1" t="s">
        <v>10</v>
      </c>
      <c r="B1189" s="1" t="s">
        <v>226</v>
      </c>
      <c r="C1189" s="1" t="s">
        <v>3</v>
      </c>
      <c r="D1189" s="1">
        <v>0</v>
      </c>
      <c r="E1189" s="1">
        <v>0</v>
      </c>
      <c r="F1189" s="1">
        <v>0</v>
      </c>
      <c r="G1189" s="1">
        <v>0</v>
      </c>
      <c r="H1189" s="1">
        <v>0</v>
      </c>
      <c r="I1189" s="1">
        <v>0</v>
      </c>
    </row>
    <row r="1190" spans="1:9" hidden="1" x14ac:dyDescent="0.25">
      <c r="A1190" s="1" t="s">
        <v>10</v>
      </c>
      <c r="B1190" s="1" t="s">
        <v>227</v>
      </c>
      <c r="C1190" s="1" t="s">
        <v>143</v>
      </c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0</v>
      </c>
    </row>
    <row r="1191" spans="1:9" hidden="1" x14ac:dyDescent="0.25">
      <c r="A1191" s="1" t="s">
        <v>10</v>
      </c>
      <c r="B1191" s="1" t="s">
        <v>227</v>
      </c>
      <c r="C1191" s="1" t="s">
        <v>3</v>
      </c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0</v>
      </c>
    </row>
    <row r="1192" spans="1:9" hidden="1" x14ac:dyDescent="0.25">
      <c r="A1192" s="1" t="s">
        <v>10</v>
      </c>
      <c r="B1192" s="1" t="s">
        <v>228</v>
      </c>
      <c r="C1192" s="1" t="s">
        <v>143</v>
      </c>
      <c r="D1192" s="1">
        <v>0</v>
      </c>
      <c r="E1192" s="1">
        <v>0</v>
      </c>
      <c r="F1192" s="1">
        <v>0</v>
      </c>
      <c r="G1192" s="1">
        <v>0</v>
      </c>
      <c r="H1192" s="1">
        <v>0</v>
      </c>
      <c r="I1192" s="1">
        <v>0</v>
      </c>
    </row>
    <row r="1193" spans="1:9" hidden="1" x14ac:dyDescent="0.25">
      <c r="A1193" s="1" t="s">
        <v>10</v>
      </c>
      <c r="B1193" s="1" t="s">
        <v>228</v>
      </c>
      <c r="C1193" s="1" t="s">
        <v>3</v>
      </c>
      <c r="D1193" s="1">
        <v>0</v>
      </c>
      <c r="E1193" s="1">
        <v>0</v>
      </c>
      <c r="F1193" s="1">
        <v>0</v>
      </c>
      <c r="G1193" s="1">
        <v>0</v>
      </c>
      <c r="H1193" s="1">
        <v>0</v>
      </c>
      <c r="I1193" s="1">
        <v>0</v>
      </c>
    </row>
    <row r="1194" spans="1:9" hidden="1" x14ac:dyDescent="0.25">
      <c r="A1194" s="1" t="s">
        <v>10</v>
      </c>
      <c r="B1194" s="1" t="s">
        <v>229</v>
      </c>
      <c r="C1194" s="1" t="s">
        <v>143</v>
      </c>
      <c r="D1194" s="1">
        <v>0</v>
      </c>
      <c r="E1194" s="1">
        <v>0</v>
      </c>
      <c r="F1194" s="1">
        <v>0</v>
      </c>
      <c r="G1194" s="1">
        <v>0</v>
      </c>
      <c r="H1194" s="1">
        <v>0</v>
      </c>
      <c r="I1194" s="1">
        <v>0</v>
      </c>
    </row>
    <row r="1195" spans="1:9" hidden="1" x14ac:dyDescent="0.25">
      <c r="A1195" s="1" t="s">
        <v>10</v>
      </c>
      <c r="B1195" s="1" t="s">
        <v>229</v>
      </c>
      <c r="C1195" s="1" t="s">
        <v>3</v>
      </c>
      <c r="D1195" s="1">
        <v>0</v>
      </c>
      <c r="E1195" s="1">
        <v>0</v>
      </c>
      <c r="F1195" s="1">
        <v>0</v>
      </c>
      <c r="G1195" s="1">
        <v>0</v>
      </c>
      <c r="H1195" s="1">
        <v>0</v>
      </c>
      <c r="I1195" s="1">
        <v>0</v>
      </c>
    </row>
    <row r="1196" spans="1:9" hidden="1" x14ac:dyDescent="0.25">
      <c r="A1196" s="1" t="s">
        <v>10</v>
      </c>
      <c r="B1196" s="1" t="s">
        <v>230</v>
      </c>
      <c r="C1196" s="1" t="s">
        <v>143</v>
      </c>
      <c r="D1196" s="1">
        <v>0</v>
      </c>
      <c r="E1196" s="1">
        <v>0</v>
      </c>
      <c r="F1196" s="1">
        <v>0</v>
      </c>
      <c r="G1196" s="1">
        <v>0</v>
      </c>
      <c r="H1196" s="1">
        <v>0</v>
      </c>
      <c r="I1196" s="1">
        <v>0</v>
      </c>
    </row>
    <row r="1197" spans="1:9" hidden="1" x14ac:dyDescent="0.25">
      <c r="A1197" s="1" t="s">
        <v>10</v>
      </c>
      <c r="B1197" s="1" t="s">
        <v>230</v>
      </c>
      <c r="C1197" s="1" t="s">
        <v>3</v>
      </c>
      <c r="D1197" s="1">
        <v>0</v>
      </c>
      <c r="E1197" s="1">
        <v>0</v>
      </c>
      <c r="F1197" s="1">
        <v>0</v>
      </c>
      <c r="G1197" s="1">
        <v>0</v>
      </c>
      <c r="H1197" s="1">
        <v>0</v>
      </c>
      <c r="I1197" s="1">
        <v>0</v>
      </c>
    </row>
    <row r="1198" spans="1:9" hidden="1" x14ac:dyDescent="0.25">
      <c r="A1198" s="1" t="s">
        <v>10</v>
      </c>
      <c r="B1198" s="1" t="s">
        <v>231</v>
      </c>
      <c r="C1198" s="1" t="s">
        <v>143</v>
      </c>
      <c r="D1198" s="1">
        <v>0</v>
      </c>
      <c r="E1198" s="1">
        <v>0</v>
      </c>
      <c r="F1198" s="1">
        <v>0</v>
      </c>
      <c r="G1198" s="1">
        <v>0</v>
      </c>
      <c r="H1198" s="1">
        <v>0</v>
      </c>
      <c r="I1198" s="1">
        <v>0</v>
      </c>
    </row>
    <row r="1199" spans="1:9" hidden="1" x14ac:dyDescent="0.25">
      <c r="A1199" s="1" t="s">
        <v>10</v>
      </c>
      <c r="B1199" s="1" t="s">
        <v>231</v>
      </c>
      <c r="C1199" s="1" t="s">
        <v>3</v>
      </c>
      <c r="D1199" s="1">
        <v>0</v>
      </c>
      <c r="E1199" s="1">
        <v>0</v>
      </c>
      <c r="F1199" s="1">
        <v>0</v>
      </c>
      <c r="G1199" s="1">
        <v>0</v>
      </c>
      <c r="H1199" s="1">
        <v>0</v>
      </c>
      <c r="I1199" s="1">
        <v>0</v>
      </c>
    </row>
    <row r="1200" spans="1:9" hidden="1" x14ac:dyDescent="0.25">
      <c r="A1200" s="1" t="s">
        <v>10</v>
      </c>
      <c r="B1200" s="1" t="s">
        <v>232</v>
      </c>
      <c r="C1200" s="1" t="s">
        <v>143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</row>
    <row r="1201" spans="1:9" hidden="1" x14ac:dyDescent="0.25">
      <c r="A1201" s="1" t="s">
        <v>10</v>
      </c>
      <c r="B1201" s="1" t="s">
        <v>232</v>
      </c>
      <c r="C1201" s="1" t="s">
        <v>3</v>
      </c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</row>
    <row r="1202" spans="1:9" hidden="1" x14ac:dyDescent="0.25">
      <c r="A1202" s="1" t="s">
        <v>10</v>
      </c>
      <c r="B1202" s="1" t="s">
        <v>233</v>
      </c>
      <c r="C1202" s="1" t="s">
        <v>143</v>
      </c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</row>
    <row r="1203" spans="1:9" hidden="1" x14ac:dyDescent="0.25">
      <c r="A1203" s="1" t="s">
        <v>10</v>
      </c>
      <c r="B1203" s="1" t="s">
        <v>233</v>
      </c>
      <c r="C1203" s="1" t="s">
        <v>3</v>
      </c>
      <c r="D1203" s="1">
        <v>0</v>
      </c>
      <c r="E1203" s="1">
        <v>0</v>
      </c>
      <c r="F1203" s="1">
        <v>0</v>
      </c>
      <c r="G1203" s="1">
        <v>0</v>
      </c>
      <c r="H1203" s="1">
        <v>0</v>
      </c>
      <c r="I1203" s="1">
        <v>0</v>
      </c>
    </row>
    <row r="1204" spans="1:9" hidden="1" x14ac:dyDescent="0.25">
      <c r="A1204" s="1" t="s">
        <v>10</v>
      </c>
      <c r="B1204" s="1" t="s">
        <v>234</v>
      </c>
      <c r="C1204" s="1" t="s">
        <v>143</v>
      </c>
      <c r="D1204" s="1">
        <v>0</v>
      </c>
      <c r="E1204" s="1">
        <v>0</v>
      </c>
      <c r="F1204" s="1">
        <v>0</v>
      </c>
      <c r="G1204" s="1">
        <v>0</v>
      </c>
      <c r="H1204" s="1">
        <v>0</v>
      </c>
      <c r="I1204" s="1">
        <v>0</v>
      </c>
    </row>
    <row r="1205" spans="1:9" hidden="1" x14ac:dyDescent="0.25">
      <c r="A1205" s="1" t="s">
        <v>10</v>
      </c>
      <c r="B1205" s="1" t="s">
        <v>234</v>
      </c>
      <c r="C1205" s="1" t="s">
        <v>3</v>
      </c>
      <c r="D1205" s="1">
        <v>0</v>
      </c>
      <c r="E1205" s="1">
        <v>0</v>
      </c>
      <c r="F1205" s="1">
        <v>0</v>
      </c>
      <c r="G1205" s="1">
        <v>0</v>
      </c>
      <c r="H1205" s="1">
        <v>0</v>
      </c>
      <c r="I1205" s="1">
        <v>0</v>
      </c>
    </row>
    <row r="1206" spans="1:9" hidden="1" x14ac:dyDescent="0.25">
      <c r="A1206" s="1" t="s">
        <v>10</v>
      </c>
      <c r="B1206" s="1" t="s">
        <v>235</v>
      </c>
      <c r="C1206" s="1" t="s">
        <v>143</v>
      </c>
      <c r="D1206" s="1">
        <v>0</v>
      </c>
      <c r="E1206" s="1">
        <v>0</v>
      </c>
      <c r="F1206" s="1">
        <v>0</v>
      </c>
      <c r="G1206" s="1">
        <v>0</v>
      </c>
      <c r="H1206" s="1">
        <v>0</v>
      </c>
      <c r="I1206" s="1">
        <v>0</v>
      </c>
    </row>
    <row r="1207" spans="1:9" hidden="1" x14ac:dyDescent="0.25">
      <c r="A1207" s="1" t="s">
        <v>10</v>
      </c>
      <c r="B1207" s="1" t="s">
        <v>235</v>
      </c>
      <c r="C1207" s="1" t="s">
        <v>3</v>
      </c>
      <c r="D1207" s="1">
        <v>0</v>
      </c>
      <c r="E1207" s="1">
        <v>0</v>
      </c>
      <c r="F1207" s="1">
        <v>0</v>
      </c>
      <c r="G1207" s="1">
        <v>0</v>
      </c>
      <c r="H1207" s="1">
        <v>0</v>
      </c>
      <c r="I1207" s="1">
        <v>0</v>
      </c>
    </row>
    <row r="1208" spans="1:9" hidden="1" x14ac:dyDescent="0.25">
      <c r="A1208" s="1" t="s">
        <v>10</v>
      </c>
      <c r="B1208" s="1" t="s">
        <v>236</v>
      </c>
      <c r="C1208" s="1" t="s">
        <v>143</v>
      </c>
      <c r="D1208" s="1">
        <v>0</v>
      </c>
      <c r="E1208" s="1">
        <v>0</v>
      </c>
      <c r="F1208" s="1">
        <v>0</v>
      </c>
      <c r="G1208" s="1">
        <v>0</v>
      </c>
      <c r="H1208" s="1">
        <v>0</v>
      </c>
      <c r="I1208" s="1">
        <v>0</v>
      </c>
    </row>
    <row r="1209" spans="1:9" hidden="1" x14ac:dyDescent="0.25">
      <c r="A1209" s="1" t="s">
        <v>10</v>
      </c>
      <c r="B1209" s="1" t="s">
        <v>236</v>
      </c>
      <c r="C1209" s="1" t="s">
        <v>3</v>
      </c>
      <c r="D1209" s="1">
        <v>0</v>
      </c>
      <c r="E1209" s="1">
        <v>0</v>
      </c>
      <c r="F1209" s="1">
        <v>0</v>
      </c>
      <c r="G1209" s="1">
        <v>0</v>
      </c>
      <c r="H1209" s="1">
        <v>0</v>
      </c>
      <c r="I1209" s="1">
        <v>0</v>
      </c>
    </row>
    <row r="1210" spans="1:9" hidden="1" x14ac:dyDescent="0.25">
      <c r="A1210" s="1" t="s">
        <v>10</v>
      </c>
      <c r="B1210" s="1" t="s">
        <v>237</v>
      </c>
      <c r="C1210" s="1" t="s">
        <v>143</v>
      </c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</row>
    <row r="1211" spans="1:9" hidden="1" x14ac:dyDescent="0.25">
      <c r="A1211" s="1" t="s">
        <v>10</v>
      </c>
      <c r="B1211" s="1" t="s">
        <v>237</v>
      </c>
      <c r="C1211" s="1" t="s">
        <v>3</v>
      </c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</row>
    <row r="1212" spans="1:9" hidden="1" x14ac:dyDescent="0.25">
      <c r="A1212" s="1" t="s">
        <v>10</v>
      </c>
      <c r="B1212" s="1" t="s">
        <v>238</v>
      </c>
      <c r="C1212" s="1" t="s">
        <v>143</v>
      </c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</row>
    <row r="1213" spans="1:9" hidden="1" x14ac:dyDescent="0.25">
      <c r="A1213" s="1" t="s">
        <v>10</v>
      </c>
      <c r="B1213" s="1" t="s">
        <v>238</v>
      </c>
      <c r="C1213" s="1" t="s">
        <v>3</v>
      </c>
      <c r="D1213" s="1">
        <v>0</v>
      </c>
      <c r="E1213" s="1">
        <v>0</v>
      </c>
      <c r="F1213" s="1">
        <v>0</v>
      </c>
      <c r="G1213" s="1">
        <v>0</v>
      </c>
      <c r="H1213" s="1">
        <v>0</v>
      </c>
      <c r="I1213" s="1">
        <v>0</v>
      </c>
    </row>
    <row r="1214" spans="1:9" hidden="1" x14ac:dyDescent="0.25">
      <c r="A1214" s="1" t="s">
        <v>10</v>
      </c>
      <c r="B1214" s="1" t="s">
        <v>239</v>
      </c>
      <c r="C1214" s="1" t="s">
        <v>143</v>
      </c>
      <c r="D1214" s="1">
        <v>0</v>
      </c>
      <c r="E1214" s="1">
        <v>0</v>
      </c>
      <c r="F1214" s="1">
        <v>0</v>
      </c>
      <c r="G1214" s="1">
        <v>0</v>
      </c>
      <c r="H1214" s="1">
        <v>0</v>
      </c>
      <c r="I1214" s="1">
        <v>0</v>
      </c>
    </row>
    <row r="1215" spans="1:9" hidden="1" x14ac:dyDescent="0.25">
      <c r="A1215" s="1" t="s">
        <v>10</v>
      </c>
      <c r="B1215" s="1" t="s">
        <v>239</v>
      </c>
      <c r="C1215" s="1" t="s">
        <v>3</v>
      </c>
      <c r="D1215" s="1">
        <v>0</v>
      </c>
      <c r="E1215" s="1">
        <v>0</v>
      </c>
      <c r="F1215" s="1">
        <v>0</v>
      </c>
      <c r="G1215" s="1">
        <v>0</v>
      </c>
      <c r="H1215" s="1">
        <v>0</v>
      </c>
      <c r="I1215" s="1">
        <v>0</v>
      </c>
    </row>
    <row r="1216" spans="1:9" hidden="1" x14ac:dyDescent="0.25">
      <c r="A1216" s="1" t="s">
        <v>10</v>
      </c>
      <c r="B1216" s="1" t="s">
        <v>240</v>
      </c>
      <c r="C1216" s="1" t="s">
        <v>143</v>
      </c>
      <c r="D1216" s="1">
        <v>0</v>
      </c>
      <c r="E1216" s="1">
        <v>0</v>
      </c>
      <c r="F1216" s="1">
        <v>0</v>
      </c>
      <c r="G1216" s="1">
        <v>0</v>
      </c>
      <c r="H1216" s="1">
        <v>0</v>
      </c>
      <c r="I1216" s="1">
        <v>0</v>
      </c>
    </row>
    <row r="1217" spans="1:9" hidden="1" x14ac:dyDescent="0.25">
      <c r="A1217" s="1" t="s">
        <v>10</v>
      </c>
      <c r="B1217" s="1" t="s">
        <v>240</v>
      </c>
      <c r="C1217" s="1" t="s">
        <v>3</v>
      </c>
      <c r="D1217" s="1">
        <v>0</v>
      </c>
      <c r="E1217" s="1">
        <v>0</v>
      </c>
      <c r="F1217" s="1">
        <v>0</v>
      </c>
      <c r="G1217" s="1">
        <v>0</v>
      </c>
      <c r="H1217" s="1">
        <v>0</v>
      </c>
      <c r="I1217" s="1">
        <v>0</v>
      </c>
    </row>
    <row r="1218" spans="1:9" hidden="1" x14ac:dyDescent="0.25">
      <c r="A1218" s="1" t="s">
        <v>10</v>
      </c>
      <c r="B1218" s="1" t="s">
        <v>241</v>
      </c>
      <c r="C1218" s="1" t="s">
        <v>143</v>
      </c>
      <c r="D1218" s="1">
        <v>0</v>
      </c>
      <c r="E1218" s="1">
        <v>0</v>
      </c>
      <c r="F1218" s="1">
        <v>0</v>
      </c>
      <c r="G1218" s="1">
        <v>0</v>
      </c>
      <c r="H1218" s="1">
        <v>0</v>
      </c>
      <c r="I1218" s="1">
        <v>0</v>
      </c>
    </row>
    <row r="1219" spans="1:9" hidden="1" x14ac:dyDescent="0.25">
      <c r="A1219" s="1" t="s">
        <v>10</v>
      </c>
      <c r="B1219" s="1" t="s">
        <v>241</v>
      </c>
      <c r="C1219" s="1" t="s">
        <v>3</v>
      </c>
      <c r="D1219" s="1">
        <v>0</v>
      </c>
      <c r="E1219" s="1">
        <v>0</v>
      </c>
      <c r="F1219" s="1">
        <v>0</v>
      </c>
      <c r="G1219" s="1">
        <v>0</v>
      </c>
      <c r="H1219" s="1">
        <v>0</v>
      </c>
      <c r="I1219" s="1">
        <v>0</v>
      </c>
    </row>
    <row r="1220" spans="1:9" hidden="1" x14ac:dyDescent="0.25">
      <c r="A1220" s="1" t="s">
        <v>10</v>
      </c>
      <c r="B1220" s="1" t="s">
        <v>242</v>
      </c>
      <c r="C1220" s="1" t="s">
        <v>143</v>
      </c>
      <c r="D1220" s="1">
        <v>0</v>
      </c>
      <c r="E1220" s="1">
        <v>0</v>
      </c>
      <c r="F1220" s="1">
        <v>0</v>
      </c>
      <c r="G1220" s="1">
        <v>0</v>
      </c>
      <c r="H1220" s="1">
        <v>0</v>
      </c>
      <c r="I1220" s="1">
        <v>0</v>
      </c>
    </row>
    <row r="1221" spans="1:9" hidden="1" x14ac:dyDescent="0.25">
      <c r="A1221" s="1" t="s">
        <v>10</v>
      </c>
      <c r="B1221" s="1" t="s">
        <v>242</v>
      </c>
      <c r="C1221" s="1" t="s">
        <v>3</v>
      </c>
      <c r="D1221" s="1">
        <v>0</v>
      </c>
      <c r="E1221" s="1">
        <v>0</v>
      </c>
      <c r="F1221" s="1">
        <v>0</v>
      </c>
      <c r="G1221" s="1">
        <v>0</v>
      </c>
      <c r="H1221" s="1">
        <v>0</v>
      </c>
      <c r="I1221" s="1">
        <v>0</v>
      </c>
    </row>
    <row r="1222" spans="1:9" hidden="1" x14ac:dyDescent="0.25">
      <c r="A1222" s="1" t="s">
        <v>10</v>
      </c>
      <c r="B1222" s="1" t="s">
        <v>243</v>
      </c>
      <c r="C1222" s="1" t="s">
        <v>143</v>
      </c>
      <c r="D1222" s="1">
        <v>0</v>
      </c>
      <c r="E1222" s="1">
        <v>0</v>
      </c>
      <c r="F1222" s="1">
        <v>0</v>
      </c>
      <c r="G1222" s="1">
        <v>0</v>
      </c>
      <c r="H1222" s="1">
        <v>0</v>
      </c>
      <c r="I1222" s="1">
        <v>0</v>
      </c>
    </row>
    <row r="1223" spans="1:9" hidden="1" x14ac:dyDescent="0.25">
      <c r="A1223" s="1" t="s">
        <v>10</v>
      </c>
      <c r="B1223" s="1" t="s">
        <v>243</v>
      </c>
      <c r="C1223" s="1" t="s">
        <v>3</v>
      </c>
      <c r="D1223" s="1">
        <v>0</v>
      </c>
      <c r="E1223" s="1">
        <v>0</v>
      </c>
      <c r="F1223" s="1">
        <v>0</v>
      </c>
      <c r="G1223" s="1">
        <v>0</v>
      </c>
      <c r="H1223" s="1">
        <v>0</v>
      </c>
      <c r="I1223" s="1">
        <v>0</v>
      </c>
    </row>
    <row r="1224" spans="1:9" hidden="1" x14ac:dyDescent="0.25">
      <c r="A1224" s="1" t="s">
        <v>10</v>
      </c>
      <c r="B1224" s="1" t="s">
        <v>244</v>
      </c>
      <c r="C1224" s="1" t="s">
        <v>143</v>
      </c>
      <c r="D1224" s="1">
        <v>0</v>
      </c>
      <c r="E1224" s="1">
        <v>0</v>
      </c>
      <c r="F1224" s="1">
        <v>0</v>
      </c>
      <c r="G1224" s="1">
        <v>0</v>
      </c>
      <c r="H1224" s="1">
        <v>0</v>
      </c>
      <c r="I1224" s="1">
        <v>0</v>
      </c>
    </row>
    <row r="1225" spans="1:9" hidden="1" x14ac:dyDescent="0.25">
      <c r="A1225" s="1" t="s">
        <v>10</v>
      </c>
      <c r="B1225" s="1" t="s">
        <v>244</v>
      </c>
      <c r="C1225" s="1" t="s">
        <v>3</v>
      </c>
      <c r="D1225" s="1">
        <v>0</v>
      </c>
      <c r="E1225" s="1">
        <v>0</v>
      </c>
      <c r="F1225" s="1">
        <v>0</v>
      </c>
      <c r="G1225" s="1">
        <v>0</v>
      </c>
      <c r="H1225" s="1">
        <v>0</v>
      </c>
      <c r="I1225" s="1">
        <v>0</v>
      </c>
    </row>
    <row r="1226" spans="1:9" hidden="1" x14ac:dyDescent="0.25">
      <c r="A1226" s="1" t="s">
        <v>10</v>
      </c>
      <c r="B1226" s="1" t="s">
        <v>245</v>
      </c>
      <c r="C1226" s="1" t="s">
        <v>143</v>
      </c>
      <c r="D1226" s="1">
        <v>0</v>
      </c>
      <c r="E1226" s="1">
        <v>0</v>
      </c>
      <c r="F1226" s="1">
        <v>0</v>
      </c>
      <c r="G1226" s="1">
        <v>0</v>
      </c>
      <c r="H1226" s="1">
        <v>0</v>
      </c>
      <c r="I1226" s="1">
        <v>0</v>
      </c>
    </row>
    <row r="1227" spans="1:9" hidden="1" x14ac:dyDescent="0.25">
      <c r="A1227" s="1" t="s">
        <v>10</v>
      </c>
      <c r="B1227" s="1" t="s">
        <v>245</v>
      </c>
      <c r="C1227" s="1" t="s">
        <v>3</v>
      </c>
      <c r="D1227" s="1">
        <v>0</v>
      </c>
      <c r="E1227" s="1">
        <v>0</v>
      </c>
      <c r="F1227" s="1">
        <v>0</v>
      </c>
      <c r="G1227" s="1">
        <v>0</v>
      </c>
      <c r="H1227" s="1">
        <v>0</v>
      </c>
      <c r="I1227" s="1">
        <v>0</v>
      </c>
    </row>
    <row r="1228" spans="1:9" hidden="1" x14ac:dyDescent="0.25">
      <c r="A1228" s="1" t="s">
        <v>10</v>
      </c>
      <c r="B1228" s="1" t="s">
        <v>246</v>
      </c>
      <c r="C1228" s="1" t="s">
        <v>143</v>
      </c>
      <c r="D1228" s="1">
        <v>0</v>
      </c>
      <c r="E1228" s="1">
        <v>0</v>
      </c>
      <c r="F1228" s="1">
        <v>0</v>
      </c>
      <c r="G1228" s="1">
        <v>0</v>
      </c>
      <c r="H1228" s="1">
        <v>0</v>
      </c>
      <c r="I1228" s="1">
        <v>0</v>
      </c>
    </row>
    <row r="1229" spans="1:9" hidden="1" x14ac:dyDescent="0.25">
      <c r="A1229" s="1" t="s">
        <v>10</v>
      </c>
      <c r="B1229" s="1" t="s">
        <v>246</v>
      </c>
      <c r="C1229" s="1" t="s">
        <v>3</v>
      </c>
      <c r="D1229" s="1">
        <v>0</v>
      </c>
      <c r="E1229" s="1">
        <v>0</v>
      </c>
      <c r="F1229" s="1">
        <v>0</v>
      </c>
      <c r="G1229" s="1">
        <v>0</v>
      </c>
      <c r="H1229" s="1">
        <v>0</v>
      </c>
      <c r="I1229" s="1">
        <v>0</v>
      </c>
    </row>
    <row r="1230" spans="1:9" hidden="1" x14ac:dyDescent="0.25">
      <c r="A1230" s="1" t="s">
        <v>10</v>
      </c>
      <c r="B1230" s="1" t="s">
        <v>247</v>
      </c>
      <c r="C1230" s="1" t="s">
        <v>143</v>
      </c>
      <c r="D1230" s="1">
        <v>0</v>
      </c>
      <c r="E1230" s="1">
        <v>0</v>
      </c>
      <c r="F1230" s="1">
        <v>0</v>
      </c>
      <c r="G1230" s="1">
        <v>0</v>
      </c>
      <c r="H1230" s="1">
        <v>0</v>
      </c>
      <c r="I1230" s="1">
        <v>0</v>
      </c>
    </row>
    <row r="1231" spans="1:9" hidden="1" x14ac:dyDescent="0.25">
      <c r="A1231" s="1" t="s">
        <v>10</v>
      </c>
      <c r="B1231" s="1" t="s">
        <v>247</v>
      </c>
      <c r="C1231" s="1" t="s">
        <v>3</v>
      </c>
      <c r="D1231" s="1">
        <v>0</v>
      </c>
      <c r="E1231" s="1">
        <v>0</v>
      </c>
      <c r="F1231" s="1">
        <v>0</v>
      </c>
      <c r="G1231" s="1">
        <v>0</v>
      </c>
      <c r="H1231" s="1">
        <v>0</v>
      </c>
      <c r="I1231" s="1">
        <v>0</v>
      </c>
    </row>
    <row r="1232" spans="1:9" hidden="1" x14ac:dyDescent="0.25">
      <c r="A1232" s="1" t="s">
        <v>10</v>
      </c>
      <c r="B1232" s="1" t="s">
        <v>248</v>
      </c>
      <c r="C1232" s="1" t="s">
        <v>143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10</v>
      </c>
      <c r="B1233" s="1" t="s">
        <v>248</v>
      </c>
      <c r="C1233" s="1" t="s">
        <v>3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10</v>
      </c>
      <c r="B1234" s="1" t="s">
        <v>249</v>
      </c>
      <c r="C1234" s="1" t="s">
        <v>143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10</v>
      </c>
      <c r="B1235" s="1" t="s">
        <v>249</v>
      </c>
      <c r="C1235" s="1" t="s">
        <v>3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10</v>
      </c>
      <c r="B1236" s="1" t="s">
        <v>250</v>
      </c>
      <c r="C1236" s="1" t="s">
        <v>143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10</v>
      </c>
      <c r="B1237" s="1" t="s">
        <v>250</v>
      </c>
      <c r="C1237" s="1" t="s">
        <v>3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10</v>
      </c>
      <c r="B1238" s="1" t="s">
        <v>251</v>
      </c>
      <c r="C1238" s="1" t="s">
        <v>143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10</v>
      </c>
      <c r="B1239" s="1" t="s">
        <v>251</v>
      </c>
      <c r="C1239" s="1" t="s">
        <v>3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10</v>
      </c>
      <c r="B1240" s="1" t="s">
        <v>252</v>
      </c>
      <c r="C1240" s="1" t="s">
        <v>143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10</v>
      </c>
      <c r="B1241" s="1" t="s">
        <v>252</v>
      </c>
      <c r="C1241" s="1" t="s">
        <v>3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10</v>
      </c>
      <c r="B1242" s="1" t="s">
        <v>253</v>
      </c>
      <c r="C1242" s="1" t="s">
        <v>143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10</v>
      </c>
      <c r="B1243" s="1" t="s">
        <v>253</v>
      </c>
      <c r="C1243" s="1" t="s">
        <v>3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10</v>
      </c>
      <c r="B1244" s="1" t="s">
        <v>254</v>
      </c>
      <c r="C1244" s="1" t="s">
        <v>143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10</v>
      </c>
      <c r="B1245" s="1" t="s">
        <v>254</v>
      </c>
      <c r="C1245" s="1" t="s">
        <v>3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10</v>
      </c>
      <c r="B1246" s="1" t="s">
        <v>255</v>
      </c>
      <c r="C1246" s="1" t="s">
        <v>143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10</v>
      </c>
      <c r="B1247" s="1" t="s">
        <v>255</v>
      </c>
      <c r="C1247" s="1" t="s">
        <v>3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10</v>
      </c>
      <c r="B1248" s="1" t="s">
        <v>256</v>
      </c>
      <c r="C1248" s="1" t="s">
        <v>143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10</v>
      </c>
      <c r="B1249" s="1" t="s">
        <v>256</v>
      </c>
      <c r="C1249" s="1" t="s">
        <v>3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10</v>
      </c>
      <c r="B1250" s="1" t="s">
        <v>257</v>
      </c>
      <c r="C1250" s="1" t="s">
        <v>143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10</v>
      </c>
      <c r="B1251" s="1" t="s">
        <v>257</v>
      </c>
      <c r="C1251" s="1" t="s">
        <v>3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</sheetData>
  <autoFilter ref="A1:I1251" xr:uid="{19E9AC2C-BAC7-4846-86A5-B0DDA4B03AFC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 filterMode="1"/>
  <dimension ref="A1:I1251"/>
  <sheetViews>
    <sheetView workbookViewId="0">
      <selection sqref="A1:XFD1048576"/>
    </sheetView>
  </sheetViews>
  <sheetFormatPr defaultRowHeight="16.5" x14ac:dyDescent="0.25"/>
  <cols>
    <col min="1" max="16384" width="9" style="1"/>
  </cols>
  <sheetData>
    <row r="1" spans="1:9" x14ac:dyDescent="0.25">
      <c r="A1" s="1" t="s">
        <v>0</v>
      </c>
      <c r="B1" s="1" t="s">
        <v>100</v>
      </c>
      <c r="C1" s="1" t="s">
        <v>101</v>
      </c>
      <c r="D1" s="1" t="s">
        <v>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</row>
    <row r="2" spans="1:9" hidden="1" x14ac:dyDescent="0.25">
      <c r="A2" s="1" t="s">
        <v>125</v>
      </c>
      <c r="B2" s="1" t="s">
        <v>4</v>
      </c>
      <c r="C2" s="1" t="s">
        <v>143</v>
      </c>
      <c r="D2" s="1">
        <v>0</v>
      </c>
      <c r="E2" s="1">
        <v>75.78</v>
      </c>
      <c r="F2" s="1">
        <v>0</v>
      </c>
      <c r="G2" s="1">
        <v>500.13099999999997</v>
      </c>
      <c r="H2" s="1">
        <v>0</v>
      </c>
      <c r="I2" s="1">
        <v>0</v>
      </c>
    </row>
    <row r="3" spans="1:9" hidden="1" x14ac:dyDescent="0.25">
      <c r="A3" s="1" t="s">
        <v>125</v>
      </c>
      <c r="B3" s="1" t="s">
        <v>4</v>
      </c>
      <c r="C3" s="1" t="s">
        <v>3</v>
      </c>
      <c r="D3" s="1">
        <v>0</v>
      </c>
      <c r="E3" s="1">
        <v>75.78</v>
      </c>
      <c r="F3" s="1">
        <v>0</v>
      </c>
      <c r="G3" s="1">
        <v>500.13099999999997</v>
      </c>
      <c r="H3" s="1">
        <v>0</v>
      </c>
      <c r="I3" s="1">
        <v>228.00800000000001</v>
      </c>
    </row>
    <row r="4" spans="1:9" hidden="1" x14ac:dyDescent="0.25">
      <c r="A4" s="1" t="s">
        <v>126</v>
      </c>
      <c r="B4" s="1" t="s">
        <v>4</v>
      </c>
      <c r="C4" s="1" t="s">
        <v>143</v>
      </c>
      <c r="D4" s="1">
        <v>0</v>
      </c>
      <c r="E4" s="1">
        <v>145.57</v>
      </c>
      <c r="F4" s="1">
        <v>0</v>
      </c>
      <c r="G4" s="1">
        <v>961.47</v>
      </c>
      <c r="H4" s="1">
        <v>0</v>
      </c>
      <c r="I4" s="1">
        <v>228.00800000000001</v>
      </c>
    </row>
    <row r="5" spans="1:9" hidden="1" x14ac:dyDescent="0.25">
      <c r="A5" s="1" t="s">
        <v>126</v>
      </c>
      <c r="B5" s="1" t="s">
        <v>4</v>
      </c>
      <c r="C5" s="1" t="s">
        <v>3</v>
      </c>
      <c r="D5" s="1">
        <v>0</v>
      </c>
      <c r="E5" s="1">
        <v>145.57</v>
      </c>
      <c r="F5" s="1">
        <v>0</v>
      </c>
      <c r="G5" s="1">
        <v>961.47</v>
      </c>
      <c r="H5" s="1">
        <v>0</v>
      </c>
      <c r="I5" s="1">
        <v>666.04499999999996</v>
      </c>
    </row>
    <row r="6" spans="1:9" hidden="1" x14ac:dyDescent="0.25">
      <c r="A6" s="1" t="s">
        <v>127</v>
      </c>
      <c r="B6" s="1" t="s">
        <v>4</v>
      </c>
      <c r="C6" s="1" t="s">
        <v>143</v>
      </c>
      <c r="D6" s="1">
        <v>0</v>
      </c>
      <c r="E6" s="1">
        <v>202.54</v>
      </c>
      <c r="F6" s="1">
        <v>0</v>
      </c>
      <c r="G6" s="1">
        <v>1339.1880000000001</v>
      </c>
      <c r="H6" s="1">
        <v>0</v>
      </c>
      <c r="I6" s="1">
        <v>666.04499999999996</v>
      </c>
    </row>
    <row r="7" spans="1:9" hidden="1" x14ac:dyDescent="0.25">
      <c r="A7" s="1" t="s">
        <v>127</v>
      </c>
      <c r="B7" s="1" t="s">
        <v>4</v>
      </c>
      <c r="C7" s="1" t="s">
        <v>3</v>
      </c>
      <c r="D7" s="1">
        <v>0</v>
      </c>
      <c r="E7" s="1">
        <v>202.54</v>
      </c>
      <c r="F7" s="1">
        <v>0</v>
      </c>
      <c r="G7" s="1">
        <v>1339.1880000000001</v>
      </c>
      <c r="H7" s="1">
        <v>0</v>
      </c>
      <c r="I7" s="1">
        <v>1276.2429999999999</v>
      </c>
    </row>
    <row r="8" spans="1:9" hidden="1" x14ac:dyDescent="0.25">
      <c r="A8" s="1" t="s">
        <v>9</v>
      </c>
      <c r="B8" s="1" t="s">
        <v>4</v>
      </c>
      <c r="C8" s="1" t="s">
        <v>143</v>
      </c>
      <c r="D8" s="1">
        <v>0</v>
      </c>
      <c r="E8" s="1">
        <v>241.29</v>
      </c>
      <c r="F8" s="1">
        <v>0</v>
      </c>
      <c r="G8" s="1">
        <v>1597.4490000000001</v>
      </c>
      <c r="H8" s="1">
        <v>0</v>
      </c>
      <c r="I8" s="1">
        <v>1276.2429999999999</v>
      </c>
    </row>
    <row r="9" spans="1:9" hidden="1" x14ac:dyDescent="0.25">
      <c r="A9" s="1" t="s">
        <v>9</v>
      </c>
      <c r="B9" s="1" t="s">
        <v>4</v>
      </c>
      <c r="C9" s="1" t="s">
        <v>3</v>
      </c>
      <c r="D9" s="1">
        <v>0</v>
      </c>
      <c r="E9" s="1">
        <v>241.29</v>
      </c>
      <c r="F9" s="1">
        <v>0</v>
      </c>
      <c r="G9" s="1">
        <v>1597.4490000000001</v>
      </c>
      <c r="H9" s="1">
        <v>0</v>
      </c>
      <c r="I9" s="1">
        <v>2010.2850000000001</v>
      </c>
    </row>
    <row r="10" spans="1:9" hidden="1" x14ac:dyDescent="0.25">
      <c r="A10" s="1" t="s">
        <v>10</v>
      </c>
      <c r="B10" s="1" t="s">
        <v>4</v>
      </c>
      <c r="C10" s="1" t="s">
        <v>143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9" hidden="1" x14ac:dyDescent="0.25">
      <c r="A11" s="1" t="s">
        <v>10</v>
      </c>
      <c r="B11" s="1" t="s">
        <v>4</v>
      </c>
      <c r="C11" s="1" t="s">
        <v>3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</row>
    <row r="12" spans="1:9" hidden="1" x14ac:dyDescent="0.25">
      <c r="A12" s="1" t="s">
        <v>125</v>
      </c>
      <c r="B12" s="1" t="s">
        <v>5</v>
      </c>
      <c r="C12" s="1" t="s">
        <v>143</v>
      </c>
      <c r="D12" s="1">
        <v>0</v>
      </c>
      <c r="E12" s="1">
        <v>0</v>
      </c>
      <c r="F12" s="1">
        <v>75.78</v>
      </c>
      <c r="G12" s="1">
        <v>500.13099999999997</v>
      </c>
      <c r="H12" s="1">
        <v>0</v>
      </c>
      <c r="I12" s="1">
        <v>0</v>
      </c>
    </row>
    <row r="13" spans="1:9" hidden="1" x14ac:dyDescent="0.25">
      <c r="A13" s="1" t="s">
        <v>125</v>
      </c>
      <c r="B13" s="1" t="s">
        <v>5</v>
      </c>
      <c r="C13" s="1" t="s">
        <v>3</v>
      </c>
      <c r="D13" s="1">
        <v>0</v>
      </c>
      <c r="E13" s="1">
        <v>0</v>
      </c>
      <c r="F13" s="1">
        <v>75.78</v>
      </c>
      <c r="G13" s="1">
        <v>500.13099999999997</v>
      </c>
      <c r="H13" s="1">
        <v>228.00800000000001</v>
      </c>
      <c r="I13" s="1">
        <v>0</v>
      </c>
    </row>
    <row r="14" spans="1:9" hidden="1" x14ac:dyDescent="0.25">
      <c r="A14" s="1" t="s">
        <v>126</v>
      </c>
      <c r="B14" s="1" t="s">
        <v>5</v>
      </c>
      <c r="C14" s="1" t="s">
        <v>143</v>
      </c>
      <c r="D14" s="1">
        <v>0</v>
      </c>
      <c r="E14" s="1">
        <v>0</v>
      </c>
      <c r="F14" s="1">
        <v>145.57</v>
      </c>
      <c r="G14" s="1">
        <v>961.47</v>
      </c>
      <c r="H14" s="1">
        <v>228.00800000000001</v>
      </c>
      <c r="I14" s="1">
        <v>0</v>
      </c>
    </row>
    <row r="15" spans="1:9" hidden="1" x14ac:dyDescent="0.25">
      <c r="A15" s="1" t="s">
        <v>126</v>
      </c>
      <c r="B15" s="1" t="s">
        <v>5</v>
      </c>
      <c r="C15" s="1" t="s">
        <v>3</v>
      </c>
      <c r="D15" s="1">
        <v>0</v>
      </c>
      <c r="E15" s="1">
        <v>0</v>
      </c>
      <c r="F15" s="1">
        <v>145.57</v>
      </c>
      <c r="G15" s="1">
        <v>961.47</v>
      </c>
      <c r="H15" s="1">
        <v>666.04499999999996</v>
      </c>
      <c r="I15" s="1">
        <v>0</v>
      </c>
    </row>
    <row r="16" spans="1:9" hidden="1" x14ac:dyDescent="0.25">
      <c r="A16" s="1" t="s">
        <v>127</v>
      </c>
      <c r="B16" s="1" t="s">
        <v>5</v>
      </c>
      <c r="C16" s="1" t="s">
        <v>143</v>
      </c>
      <c r="D16" s="1">
        <v>0</v>
      </c>
      <c r="E16" s="1">
        <v>0</v>
      </c>
      <c r="F16" s="1">
        <v>202.54</v>
      </c>
      <c r="G16" s="1">
        <v>1339.1880000000001</v>
      </c>
      <c r="H16" s="1">
        <v>666.04499999999996</v>
      </c>
      <c r="I16" s="1">
        <v>0</v>
      </c>
    </row>
    <row r="17" spans="1:9" hidden="1" x14ac:dyDescent="0.25">
      <c r="A17" s="1" t="s">
        <v>127</v>
      </c>
      <c r="B17" s="1" t="s">
        <v>5</v>
      </c>
      <c r="C17" s="1" t="s">
        <v>3</v>
      </c>
      <c r="D17" s="1">
        <v>0</v>
      </c>
      <c r="E17" s="1">
        <v>0</v>
      </c>
      <c r="F17" s="1">
        <v>202.54</v>
      </c>
      <c r="G17" s="1">
        <v>1339.1880000000001</v>
      </c>
      <c r="H17" s="1">
        <v>1276.2429999999999</v>
      </c>
      <c r="I17" s="1">
        <v>0</v>
      </c>
    </row>
    <row r="18" spans="1:9" hidden="1" x14ac:dyDescent="0.25">
      <c r="A18" s="1" t="s">
        <v>9</v>
      </c>
      <c r="B18" s="1" t="s">
        <v>5</v>
      </c>
      <c r="C18" s="1" t="s">
        <v>143</v>
      </c>
      <c r="D18" s="1">
        <v>0</v>
      </c>
      <c r="E18" s="1">
        <v>0</v>
      </c>
      <c r="F18" s="1">
        <v>241.29</v>
      </c>
      <c r="G18" s="1">
        <v>1597.4490000000001</v>
      </c>
      <c r="H18" s="1">
        <v>1276.2429999999999</v>
      </c>
      <c r="I18" s="1">
        <v>0</v>
      </c>
    </row>
    <row r="19" spans="1:9" hidden="1" x14ac:dyDescent="0.25">
      <c r="A19" s="1" t="s">
        <v>9</v>
      </c>
      <c r="B19" s="1" t="s">
        <v>5</v>
      </c>
      <c r="C19" s="1" t="s">
        <v>3</v>
      </c>
      <c r="D19" s="1">
        <v>0</v>
      </c>
      <c r="E19" s="1">
        <v>0</v>
      </c>
      <c r="F19" s="1">
        <v>241.29</v>
      </c>
      <c r="G19" s="1">
        <v>1597.4490000000001</v>
      </c>
      <c r="H19" s="1">
        <v>2010.2850000000001</v>
      </c>
      <c r="I19" s="1">
        <v>0</v>
      </c>
    </row>
    <row r="20" spans="1:9" hidden="1" x14ac:dyDescent="0.25">
      <c r="A20" s="1" t="s">
        <v>10</v>
      </c>
      <c r="B20" s="1" t="s">
        <v>5</v>
      </c>
      <c r="C20" s="1" t="s">
        <v>143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10</v>
      </c>
      <c r="B21" s="1" t="s">
        <v>5</v>
      </c>
      <c r="C21" s="1" t="s">
        <v>3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125</v>
      </c>
      <c r="B22" s="1" t="s">
        <v>2</v>
      </c>
      <c r="C22" s="1" t="s">
        <v>143</v>
      </c>
      <c r="D22" s="1">
        <v>222.78</v>
      </c>
      <c r="E22" s="1">
        <v>0</v>
      </c>
      <c r="F22" s="1">
        <v>0</v>
      </c>
      <c r="G22" s="1">
        <v>0</v>
      </c>
      <c r="H22" s="1">
        <v>1336.6759999999999</v>
      </c>
      <c r="I22" s="1">
        <v>-1336.6759999999999</v>
      </c>
    </row>
    <row r="23" spans="1:9" hidden="1" x14ac:dyDescent="0.25">
      <c r="A23" s="1" t="s">
        <v>125</v>
      </c>
      <c r="B23" s="1" t="s">
        <v>2</v>
      </c>
      <c r="C23" s="1" t="s">
        <v>3</v>
      </c>
      <c r="D23" s="1">
        <v>246.13</v>
      </c>
      <c r="E23" s="1">
        <v>0</v>
      </c>
      <c r="F23" s="1">
        <v>0</v>
      </c>
      <c r="G23" s="1">
        <v>0</v>
      </c>
      <c r="H23" s="1">
        <v>1476.796</v>
      </c>
      <c r="I23" s="1">
        <v>-1476.796</v>
      </c>
    </row>
    <row r="24" spans="1:9" hidden="1" x14ac:dyDescent="0.25">
      <c r="A24" s="1" t="s">
        <v>126</v>
      </c>
      <c r="B24" s="1" t="s">
        <v>2</v>
      </c>
      <c r="C24" s="1" t="s">
        <v>143</v>
      </c>
      <c r="D24" s="1">
        <v>468.91</v>
      </c>
      <c r="E24" s="1">
        <v>0</v>
      </c>
      <c r="F24" s="1">
        <v>0</v>
      </c>
      <c r="G24" s="1">
        <v>0</v>
      </c>
      <c r="H24" s="1">
        <v>2813.4720000000002</v>
      </c>
      <c r="I24" s="1">
        <v>-2813.4720000000002</v>
      </c>
    </row>
    <row r="25" spans="1:9" hidden="1" x14ac:dyDescent="0.25">
      <c r="A25" s="1" t="s">
        <v>126</v>
      </c>
      <c r="B25" s="1" t="s">
        <v>2</v>
      </c>
      <c r="C25" s="1" t="s">
        <v>3</v>
      </c>
      <c r="D25" s="1">
        <v>492.27</v>
      </c>
      <c r="E25" s="1">
        <v>0</v>
      </c>
      <c r="F25" s="1">
        <v>0</v>
      </c>
      <c r="G25" s="1">
        <v>0</v>
      </c>
      <c r="H25" s="1">
        <v>2953.5920000000001</v>
      </c>
      <c r="I25" s="1">
        <v>-2953.5920000000001</v>
      </c>
    </row>
    <row r="26" spans="1:9" hidden="1" x14ac:dyDescent="0.25">
      <c r="A26" s="1" t="s">
        <v>127</v>
      </c>
      <c r="B26" s="1" t="s">
        <v>2</v>
      </c>
      <c r="C26" s="1" t="s">
        <v>143</v>
      </c>
      <c r="D26" s="1">
        <v>715.04</v>
      </c>
      <c r="E26" s="1">
        <v>0</v>
      </c>
      <c r="F26" s="1">
        <v>0</v>
      </c>
      <c r="G26" s="1">
        <v>0</v>
      </c>
      <c r="H26" s="1">
        <v>4290.268</v>
      </c>
      <c r="I26" s="1">
        <v>-4290.268</v>
      </c>
    </row>
    <row r="27" spans="1:9" hidden="1" x14ac:dyDescent="0.25">
      <c r="A27" s="1" t="s">
        <v>127</v>
      </c>
      <c r="B27" s="1" t="s">
        <v>2</v>
      </c>
      <c r="C27" s="1" t="s">
        <v>3</v>
      </c>
      <c r="D27" s="1">
        <v>738.4</v>
      </c>
      <c r="E27" s="1">
        <v>0</v>
      </c>
      <c r="F27" s="1">
        <v>0</v>
      </c>
      <c r="G27" s="1">
        <v>0</v>
      </c>
      <c r="H27" s="1">
        <v>4430.3879999999999</v>
      </c>
      <c r="I27" s="1">
        <v>-4430.3879999999999</v>
      </c>
    </row>
    <row r="28" spans="1:9" hidden="1" x14ac:dyDescent="0.25">
      <c r="A28" s="1" t="s">
        <v>9</v>
      </c>
      <c r="B28" s="1" t="s">
        <v>2</v>
      </c>
      <c r="C28" s="1" t="s">
        <v>143</v>
      </c>
      <c r="D28" s="1">
        <v>961.18</v>
      </c>
      <c r="E28" s="1">
        <v>0</v>
      </c>
      <c r="F28" s="1">
        <v>0</v>
      </c>
      <c r="G28" s="1">
        <v>0</v>
      </c>
      <c r="H28" s="1">
        <v>5767.0640000000003</v>
      </c>
      <c r="I28" s="1">
        <v>-5767.0640000000003</v>
      </c>
    </row>
    <row r="29" spans="1:9" x14ac:dyDescent="0.25">
      <c r="A29" s="1" t="s">
        <v>9</v>
      </c>
      <c r="B29" s="1" t="s">
        <v>2</v>
      </c>
      <c r="C29" s="1" t="s">
        <v>3</v>
      </c>
      <c r="D29" s="1">
        <v>984.53</v>
      </c>
      <c r="E29" s="1">
        <v>0</v>
      </c>
      <c r="F29" s="1">
        <v>0</v>
      </c>
      <c r="G29" s="1">
        <v>0</v>
      </c>
      <c r="H29" s="1">
        <v>5907.1840000000002</v>
      </c>
      <c r="I29" s="1">
        <v>-5907.1840000000002</v>
      </c>
    </row>
    <row r="30" spans="1:9" hidden="1" x14ac:dyDescent="0.25">
      <c r="A30" s="1" t="s">
        <v>10</v>
      </c>
      <c r="B30" s="1" t="s">
        <v>2</v>
      </c>
      <c r="C30" s="1" t="s">
        <v>143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10</v>
      </c>
      <c r="B31" s="1" t="s">
        <v>2</v>
      </c>
      <c r="C31" s="1" t="s">
        <v>3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125</v>
      </c>
      <c r="B32" s="1" t="s">
        <v>6</v>
      </c>
      <c r="C32" s="1" t="s">
        <v>143</v>
      </c>
      <c r="D32" s="1">
        <v>33.42</v>
      </c>
      <c r="E32" s="1">
        <v>0</v>
      </c>
      <c r="F32" s="1">
        <v>0</v>
      </c>
      <c r="G32" s="1">
        <v>0</v>
      </c>
      <c r="H32" s="1">
        <v>200.501</v>
      </c>
      <c r="I32" s="1">
        <v>-200.501</v>
      </c>
    </row>
    <row r="33" spans="1:9" hidden="1" x14ac:dyDescent="0.25">
      <c r="A33" s="1" t="s">
        <v>125</v>
      </c>
      <c r="B33" s="1" t="s">
        <v>6</v>
      </c>
      <c r="C33" s="1" t="s">
        <v>3</v>
      </c>
      <c r="D33" s="1">
        <v>36.92</v>
      </c>
      <c r="E33" s="1">
        <v>0</v>
      </c>
      <c r="F33" s="1">
        <v>0</v>
      </c>
      <c r="G33" s="1">
        <v>0</v>
      </c>
      <c r="H33" s="1">
        <v>221.51900000000001</v>
      </c>
      <c r="I33" s="1">
        <v>-221.51900000000001</v>
      </c>
    </row>
    <row r="34" spans="1:9" hidden="1" x14ac:dyDescent="0.25">
      <c r="A34" s="1" t="s">
        <v>126</v>
      </c>
      <c r="B34" s="1" t="s">
        <v>6</v>
      </c>
      <c r="C34" s="1" t="s">
        <v>143</v>
      </c>
      <c r="D34" s="1">
        <v>70.34</v>
      </c>
      <c r="E34" s="1">
        <v>0</v>
      </c>
      <c r="F34" s="1">
        <v>0</v>
      </c>
      <c r="G34" s="1">
        <v>0</v>
      </c>
      <c r="H34" s="1">
        <v>422.02100000000002</v>
      </c>
      <c r="I34" s="1">
        <v>-422.02100000000002</v>
      </c>
    </row>
    <row r="35" spans="1:9" hidden="1" x14ac:dyDescent="0.25">
      <c r="A35" s="1" t="s">
        <v>126</v>
      </c>
      <c r="B35" s="1" t="s">
        <v>6</v>
      </c>
      <c r="C35" s="1" t="s">
        <v>3</v>
      </c>
      <c r="D35" s="1">
        <v>73.84</v>
      </c>
      <c r="E35" s="1">
        <v>0</v>
      </c>
      <c r="F35" s="1">
        <v>0</v>
      </c>
      <c r="G35" s="1">
        <v>0</v>
      </c>
      <c r="H35" s="1">
        <v>443.03899999999999</v>
      </c>
      <c r="I35" s="1">
        <v>-443.03899999999999</v>
      </c>
    </row>
    <row r="36" spans="1:9" hidden="1" x14ac:dyDescent="0.25">
      <c r="A36" s="1" t="s">
        <v>127</v>
      </c>
      <c r="B36" s="1" t="s">
        <v>6</v>
      </c>
      <c r="C36" s="1" t="s">
        <v>143</v>
      </c>
      <c r="D36" s="1">
        <v>107.26</v>
      </c>
      <c r="E36" s="1">
        <v>0</v>
      </c>
      <c r="F36" s="1">
        <v>0</v>
      </c>
      <c r="G36" s="1">
        <v>0</v>
      </c>
      <c r="H36" s="1">
        <v>643.54</v>
      </c>
      <c r="I36" s="1">
        <v>-643.54</v>
      </c>
    </row>
    <row r="37" spans="1:9" hidden="1" x14ac:dyDescent="0.25">
      <c r="A37" s="1" t="s">
        <v>127</v>
      </c>
      <c r="B37" s="1" t="s">
        <v>6</v>
      </c>
      <c r="C37" s="1" t="s">
        <v>3</v>
      </c>
      <c r="D37" s="1">
        <v>110.76</v>
      </c>
      <c r="E37" s="1">
        <v>0</v>
      </c>
      <c r="F37" s="1">
        <v>0</v>
      </c>
      <c r="G37" s="1">
        <v>0</v>
      </c>
      <c r="H37" s="1">
        <v>664.55799999999999</v>
      </c>
      <c r="I37" s="1">
        <v>-664.55799999999999</v>
      </c>
    </row>
    <row r="38" spans="1:9" hidden="1" x14ac:dyDescent="0.25">
      <c r="A38" s="1" t="s">
        <v>9</v>
      </c>
      <c r="B38" s="1" t="s">
        <v>6</v>
      </c>
      <c r="C38" s="1" t="s">
        <v>143</v>
      </c>
      <c r="D38" s="1">
        <v>144.18</v>
      </c>
      <c r="E38" s="1">
        <v>0</v>
      </c>
      <c r="F38" s="1">
        <v>0</v>
      </c>
      <c r="G38" s="1">
        <v>0</v>
      </c>
      <c r="H38" s="1">
        <v>865.06</v>
      </c>
      <c r="I38" s="1">
        <v>-865.06</v>
      </c>
    </row>
    <row r="39" spans="1:9" hidden="1" x14ac:dyDescent="0.25">
      <c r="A39" s="1" t="s">
        <v>9</v>
      </c>
      <c r="B39" s="1" t="s">
        <v>6</v>
      </c>
      <c r="C39" s="1" t="s">
        <v>3</v>
      </c>
      <c r="D39" s="1">
        <v>147.68</v>
      </c>
      <c r="E39" s="1">
        <v>0</v>
      </c>
      <c r="F39" s="1">
        <v>0</v>
      </c>
      <c r="G39" s="1">
        <v>0</v>
      </c>
      <c r="H39" s="1">
        <v>886.07799999999997</v>
      </c>
      <c r="I39" s="1">
        <v>-886.07799999999997</v>
      </c>
    </row>
    <row r="40" spans="1:9" hidden="1" x14ac:dyDescent="0.25">
      <c r="A40" s="1" t="s">
        <v>10</v>
      </c>
      <c r="B40" s="1" t="s">
        <v>6</v>
      </c>
      <c r="C40" s="1" t="s">
        <v>143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10</v>
      </c>
      <c r="B41" s="1" t="s">
        <v>6</v>
      </c>
      <c r="C41" s="1" t="s">
        <v>3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125</v>
      </c>
      <c r="B42" s="1" t="s">
        <v>152</v>
      </c>
      <c r="C42" s="1" t="s">
        <v>143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125</v>
      </c>
      <c r="B43" s="1" t="s">
        <v>152</v>
      </c>
      <c r="C43" s="1" t="s">
        <v>3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-7.1999999999999995E-2</v>
      </c>
    </row>
    <row r="44" spans="1:9" hidden="1" x14ac:dyDescent="0.25">
      <c r="A44" s="1" t="s">
        <v>126</v>
      </c>
      <c r="B44" s="1" t="s">
        <v>152</v>
      </c>
      <c r="C44" s="1" t="s">
        <v>143</v>
      </c>
      <c r="D44" s="1">
        <v>0</v>
      </c>
      <c r="E44" s="1">
        <v>-32.35</v>
      </c>
      <c r="F44" s="1">
        <v>0</v>
      </c>
      <c r="G44" s="1">
        <v>194.12700000000001</v>
      </c>
      <c r="H44" s="1">
        <v>0</v>
      </c>
      <c r="I44" s="1">
        <v>-7.1999999999999995E-2</v>
      </c>
    </row>
    <row r="45" spans="1:9" hidden="1" x14ac:dyDescent="0.25">
      <c r="A45" s="1" t="s">
        <v>126</v>
      </c>
      <c r="B45" s="1" t="s">
        <v>152</v>
      </c>
      <c r="C45" s="1" t="s">
        <v>3</v>
      </c>
      <c r="D45" s="1">
        <v>0</v>
      </c>
      <c r="E45" s="1">
        <v>-32.35</v>
      </c>
      <c r="F45" s="1">
        <v>0</v>
      </c>
      <c r="G45" s="1">
        <v>194.12700000000001</v>
      </c>
      <c r="H45" s="1">
        <v>0</v>
      </c>
      <c r="I45" s="1">
        <v>-97.68</v>
      </c>
    </row>
    <row r="46" spans="1:9" hidden="1" x14ac:dyDescent="0.25">
      <c r="A46" s="1" t="s">
        <v>127</v>
      </c>
      <c r="B46" s="1" t="s">
        <v>152</v>
      </c>
      <c r="C46" s="1" t="s">
        <v>143</v>
      </c>
      <c r="D46" s="1">
        <v>0</v>
      </c>
      <c r="E46" s="1">
        <v>-56.62</v>
      </c>
      <c r="F46" s="1">
        <v>0</v>
      </c>
      <c r="G46" s="1">
        <v>339.72300000000001</v>
      </c>
      <c r="H46" s="1">
        <v>0</v>
      </c>
      <c r="I46" s="1">
        <v>-97.68</v>
      </c>
    </row>
    <row r="47" spans="1:9" hidden="1" x14ac:dyDescent="0.25">
      <c r="A47" s="1" t="s">
        <v>127</v>
      </c>
      <c r="B47" s="1" t="s">
        <v>152</v>
      </c>
      <c r="C47" s="1" t="s">
        <v>3</v>
      </c>
      <c r="D47" s="1">
        <v>0</v>
      </c>
      <c r="E47" s="1">
        <v>-56.62</v>
      </c>
      <c r="F47" s="1">
        <v>0</v>
      </c>
      <c r="G47" s="1">
        <v>339.72300000000001</v>
      </c>
      <c r="H47" s="1">
        <v>0</v>
      </c>
      <c r="I47" s="1">
        <v>-269.13600000000002</v>
      </c>
    </row>
    <row r="48" spans="1:9" hidden="1" x14ac:dyDescent="0.25">
      <c r="A48" s="1" t="s">
        <v>9</v>
      </c>
      <c r="B48" s="1" t="s">
        <v>152</v>
      </c>
      <c r="C48" s="1" t="s">
        <v>143</v>
      </c>
      <c r="D48" s="1">
        <v>0</v>
      </c>
      <c r="E48" s="1">
        <v>-72.8</v>
      </c>
      <c r="F48" s="1">
        <v>0</v>
      </c>
      <c r="G48" s="1">
        <v>436.786</v>
      </c>
      <c r="H48" s="1">
        <v>0</v>
      </c>
      <c r="I48" s="1">
        <v>-269.13600000000002</v>
      </c>
    </row>
    <row r="49" spans="1:9" hidden="1" x14ac:dyDescent="0.25">
      <c r="A49" s="1" t="s">
        <v>9</v>
      </c>
      <c r="B49" s="1" t="s">
        <v>152</v>
      </c>
      <c r="C49" s="1" t="s">
        <v>3</v>
      </c>
      <c r="D49" s="1">
        <v>0</v>
      </c>
      <c r="E49" s="1">
        <v>-72.8</v>
      </c>
      <c r="F49" s="1">
        <v>0</v>
      </c>
      <c r="G49" s="1">
        <v>436.786</v>
      </c>
      <c r="H49" s="1">
        <v>0</v>
      </c>
      <c r="I49" s="1">
        <v>-492.03</v>
      </c>
    </row>
    <row r="50" spans="1:9" hidden="1" x14ac:dyDescent="0.25">
      <c r="A50" s="1" t="s">
        <v>10</v>
      </c>
      <c r="B50" s="1" t="s">
        <v>152</v>
      </c>
      <c r="C50" s="1" t="s">
        <v>143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10</v>
      </c>
      <c r="B51" s="1" t="s">
        <v>152</v>
      </c>
      <c r="C51" s="1" t="s">
        <v>3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</row>
    <row r="52" spans="1:9" hidden="1" x14ac:dyDescent="0.25">
      <c r="A52" s="1" t="s">
        <v>125</v>
      </c>
      <c r="B52" s="1" t="s">
        <v>16</v>
      </c>
      <c r="C52" s="1" t="s">
        <v>143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125</v>
      </c>
      <c r="B53" s="1" t="s">
        <v>16</v>
      </c>
      <c r="C53" s="1" t="s">
        <v>3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</row>
    <row r="54" spans="1:9" hidden="1" x14ac:dyDescent="0.25">
      <c r="A54" s="1" t="s">
        <v>126</v>
      </c>
      <c r="B54" s="1" t="s">
        <v>16</v>
      </c>
      <c r="C54" s="1" t="s">
        <v>143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</row>
    <row r="55" spans="1:9" hidden="1" x14ac:dyDescent="0.25">
      <c r="A55" s="1" t="s">
        <v>126</v>
      </c>
      <c r="B55" s="1" t="s">
        <v>16</v>
      </c>
      <c r="C55" s="1" t="s">
        <v>3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</row>
    <row r="56" spans="1:9" hidden="1" x14ac:dyDescent="0.25">
      <c r="A56" s="1" t="s">
        <v>127</v>
      </c>
      <c r="B56" s="1" t="s">
        <v>16</v>
      </c>
      <c r="C56" s="1" t="s">
        <v>143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</row>
    <row r="57" spans="1:9" hidden="1" x14ac:dyDescent="0.25">
      <c r="A57" s="1" t="s">
        <v>127</v>
      </c>
      <c r="B57" s="1" t="s">
        <v>16</v>
      </c>
      <c r="C57" s="1" t="s">
        <v>3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</row>
    <row r="58" spans="1:9" hidden="1" x14ac:dyDescent="0.25">
      <c r="A58" s="1" t="s">
        <v>9</v>
      </c>
      <c r="B58" s="1" t="s">
        <v>16</v>
      </c>
      <c r="C58" s="1" t="s">
        <v>143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</row>
    <row r="59" spans="1:9" hidden="1" x14ac:dyDescent="0.25">
      <c r="A59" s="1" t="s">
        <v>9</v>
      </c>
      <c r="B59" s="1" t="s">
        <v>16</v>
      </c>
      <c r="C59" s="1" t="s">
        <v>3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</row>
    <row r="60" spans="1:9" hidden="1" x14ac:dyDescent="0.25">
      <c r="A60" s="1" t="s">
        <v>10</v>
      </c>
      <c r="B60" s="1" t="s">
        <v>16</v>
      </c>
      <c r="C60" s="1" t="s">
        <v>143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</row>
    <row r="61" spans="1:9" hidden="1" x14ac:dyDescent="0.25">
      <c r="A61" s="1" t="s">
        <v>10</v>
      </c>
      <c r="B61" s="1" t="s">
        <v>16</v>
      </c>
      <c r="C61" s="1" t="s">
        <v>3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</row>
    <row r="62" spans="1:9" hidden="1" x14ac:dyDescent="0.25">
      <c r="A62" s="1" t="s">
        <v>125</v>
      </c>
      <c r="B62" s="1" t="s">
        <v>13</v>
      </c>
      <c r="C62" s="1" t="s">
        <v>143</v>
      </c>
      <c r="D62" s="1">
        <v>0</v>
      </c>
      <c r="E62" s="1">
        <v>-99.4</v>
      </c>
      <c r="F62" s="1">
        <v>0</v>
      </c>
      <c r="G62" s="1">
        <v>536.779</v>
      </c>
      <c r="H62" s="1">
        <v>0</v>
      </c>
      <c r="I62" s="1">
        <v>0</v>
      </c>
    </row>
    <row r="63" spans="1:9" hidden="1" x14ac:dyDescent="0.25">
      <c r="A63" s="1" t="s">
        <v>125</v>
      </c>
      <c r="B63" s="1" t="s">
        <v>13</v>
      </c>
      <c r="C63" s="1" t="s">
        <v>3</v>
      </c>
      <c r="D63" s="1">
        <v>0</v>
      </c>
      <c r="E63" s="1">
        <v>-99.4</v>
      </c>
      <c r="F63" s="1">
        <v>0</v>
      </c>
      <c r="G63" s="1">
        <v>536.779</v>
      </c>
      <c r="H63" s="1">
        <v>0</v>
      </c>
      <c r="I63" s="1">
        <v>-299.06700000000001</v>
      </c>
    </row>
    <row r="64" spans="1:9" hidden="1" x14ac:dyDescent="0.25">
      <c r="A64" s="1" t="s">
        <v>126</v>
      </c>
      <c r="B64" s="1" t="s">
        <v>13</v>
      </c>
      <c r="C64" s="1" t="s">
        <v>143</v>
      </c>
      <c r="D64" s="1">
        <v>0</v>
      </c>
      <c r="E64" s="1">
        <v>-177.77</v>
      </c>
      <c r="F64" s="1">
        <v>0</v>
      </c>
      <c r="G64" s="1">
        <v>959.94500000000005</v>
      </c>
      <c r="H64" s="1">
        <v>0</v>
      </c>
      <c r="I64" s="1">
        <v>-299.06700000000001</v>
      </c>
    </row>
    <row r="65" spans="1:9" hidden="1" x14ac:dyDescent="0.25">
      <c r="A65" s="1" t="s">
        <v>126</v>
      </c>
      <c r="B65" s="1" t="s">
        <v>13</v>
      </c>
      <c r="C65" s="1" t="s">
        <v>3</v>
      </c>
      <c r="D65" s="1">
        <v>0</v>
      </c>
      <c r="E65" s="1">
        <v>-177.77</v>
      </c>
      <c r="F65" s="1">
        <v>0</v>
      </c>
      <c r="G65" s="1">
        <v>959.94500000000005</v>
      </c>
      <c r="H65" s="1">
        <v>0</v>
      </c>
      <c r="I65" s="1">
        <v>-835.30700000000002</v>
      </c>
    </row>
    <row r="66" spans="1:9" hidden="1" x14ac:dyDescent="0.25">
      <c r="A66" s="1" t="s">
        <v>127</v>
      </c>
      <c r="B66" s="1" t="s">
        <v>13</v>
      </c>
      <c r="C66" s="1" t="s">
        <v>143</v>
      </c>
      <c r="D66" s="1">
        <v>0</v>
      </c>
      <c r="E66" s="1">
        <v>-230.01</v>
      </c>
      <c r="F66" s="1">
        <v>0</v>
      </c>
      <c r="G66" s="1">
        <v>1242.056</v>
      </c>
      <c r="H66" s="1">
        <v>0</v>
      </c>
      <c r="I66" s="1">
        <v>-835.30700000000002</v>
      </c>
    </row>
    <row r="67" spans="1:9" hidden="1" x14ac:dyDescent="0.25">
      <c r="A67" s="1" t="s">
        <v>127</v>
      </c>
      <c r="B67" s="1" t="s">
        <v>13</v>
      </c>
      <c r="C67" s="1" t="s">
        <v>3</v>
      </c>
      <c r="D67" s="1">
        <v>0</v>
      </c>
      <c r="E67" s="1">
        <v>-230.01</v>
      </c>
      <c r="F67" s="1">
        <v>0</v>
      </c>
      <c r="G67" s="1">
        <v>1242.056</v>
      </c>
      <c r="H67" s="1">
        <v>0</v>
      </c>
      <c r="I67" s="1">
        <v>-1531.7909999999999</v>
      </c>
    </row>
    <row r="68" spans="1:9" hidden="1" x14ac:dyDescent="0.25">
      <c r="A68" s="1" t="s">
        <v>9</v>
      </c>
      <c r="B68" s="1" t="s">
        <v>13</v>
      </c>
      <c r="C68" s="1" t="s">
        <v>143</v>
      </c>
      <c r="D68" s="1">
        <v>0</v>
      </c>
      <c r="E68" s="1">
        <v>-256.13</v>
      </c>
      <c r="F68" s="1">
        <v>0</v>
      </c>
      <c r="G68" s="1">
        <v>1383.1110000000001</v>
      </c>
      <c r="H68" s="1">
        <v>0</v>
      </c>
      <c r="I68" s="1">
        <v>-1531.7909999999999</v>
      </c>
    </row>
    <row r="69" spans="1:9" x14ac:dyDescent="0.25">
      <c r="A69" s="1" t="s">
        <v>9</v>
      </c>
      <c r="B69" s="1" t="s">
        <v>13</v>
      </c>
      <c r="C69" s="1" t="s">
        <v>3</v>
      </c>
      <c r="D69" s="1">
        <v>0</v>
      </c>
      <c r="E69" s="1">
        <v>-256.13</v>
      </c>
      <c r="F69" s="1">
        <v>0</v>
      </c>
      <c r="G69" s="1">
        <v>1383.1110000000001</v>
      </c>
      <c r="H69" s="1">
        <v>0</v>
      </c>
      <c r="I69" s="1">
        <v>-2316.5059999999999</v>
      </c>
    </row>
    <row r="70" spans="1:9" hidden="1" x14ac:dyDescent="0.25">
      <c r="A70" s="1" t="s">
        <v>10</v>
      </c>
      <c r="B70" s="1" t="s">
        <v>13</v>
      </c>
      <c r="C70" s="1" t="s">
        <v>143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</row>
    <row r="71" spans="1:9" hidden="1" x14ac:dyDescent="0.25">
      <c r="A71" s="1" t="s">
        <v>10</v>
      </c>
      <c r="B71" s="1" t="s">
        <v>13</v>
      </c>
      <c r="C71" s="1" t="s">
        <v>3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</row>
    <row r="72" spans="1:9" hidden="1" x14ac:dyDescent="0.25">
      <c r="A72" s="1" t="s">
        <v>125</v>
      </c>
      <c r="B72" s="1" t="s">
        <v>12</v>
      </c>
      <c r="C72" s="1" t="s">
        <v>143</v>
      </c>
      <c r="D72" s="1">
        <v>0</v>
      </c>
      <c r="E72" s="1">
        <v>-99.4</v>
      </c>
      <c r="F72" s="1">
        <v>0</v>
      </c>
      <c r="G72" s="1">
        <v>656.06299999999999</v>
      </c>
      <c r="H72" s="1">
        <v>0</v>
      </c>
      <c r="I72" s="1">
        <v>0</v>
      </c>
    </row>
    <row r="73" spans="1:9" hidden="1" x14ac:dyDescent="0.25">
      <c r="A73" s="1" t="s">
        <v>125</v>
      </c>
      <c r="B73" s="1" t="s">
        <v>12</v>
      </c>
      <c r="C73" s="1" t="s">
        <v>3</v>
      </c>
      <c r="D73" s="1">
        <v>0</v>
      </c>
      <c r="E73" s="1">
        <v>-99.4</v>
      </c>
      <c r="F73" s="1">
        <v>0</v>
      </c>
      <c r="G73" s="1">
        <v>656.06299999999999</v>
      </c>
      <c r="H73" s="1">
        <v>0</v>
      </c>
      <c r="I73" s="1">
        <v>-299.06700000000001</v>
      </c>
    </row>
    <row r="74" spans="1:9" hidden="1" x14ac:dyDescent="0.25">
      <c r="A74" s="1" t="s">
        <v>126</v>
      </c>
      <c r="B74" s="1" t="s">
        <v>12</v>
      </c>
      <c r="C74" s="1" t="s">
        <v>143</v>
      </c>
      <c r="D74" s="1">
        <v>0</v>
      </c>
      <c r="E74" s="1">
        <v>-177.77</v>
      </c>
      <c r="F74" s="1">
        <v>0</v>
      </c>
      <c r="G74" s="1">
        <v>1173.2660000000001</v>
      </c>
      <c r="H74" s="1">
        <v>0</v>
      </c>
      <c r="I74" s="1">
        <v>-299.06700000000001</v>
      </c>
    </row>
    <row r="75" spans="1:9" hidden="1" x14ac:dyDescent="0.25">
      <c r="A75" s="1" t="s">
        <v>126</v>
      </c>
      <c r="B75" s="1" t="s">
        <v>12</v>
      </c>
      <c r="C75" s="1" t="s">
        <v>3</v>
      </c>
      <c r="D75" s="1">
        <v>0</v>
      </c>
      <c r="E75" s="1">
        <v>-177.77</v>
      </c>
      <c r="F75" s="1">
        <v>0</v>
      </c>
      <c r="G75" s="1">
        <v>1173.2660000000001</v>
      </c>
      <c r="H75" s="1">
        <v>0</v>
      </c>
      <c r="I75" s="1">
        <v>-835.30700000000002</v>
      </c>
    </row>
    <row r="76" spans="1:9" hidden="1" x14ac:dyDescent="0.25">
      <c r="A76" s="1" t="s">
        <v>127</v>
      </c>
      <c r="B76" s="1" t="s">
        <v>12</v>
      </c>
      <c r="C76" s="1" t="s">
        <v>143</v>
      </c>
      <c r="D76" s="1">
        <v>0</v>
      </c>
      <c r="E76" s="1">
        <v>-230.01</v>
      </c>
      <c r="F76" s="1">
        <v>0</v>
      </c>
      <c r="G76" s="1">
        <v>1518.068</v>
      </c>
      <c r="H76" s="1">
        <v>0</v>
      </c>
      <c r="I76" s="1">
        <v>-835.30700000000002</v>
      </c>
    </row>
    <row r="77" spans="1:9" hidden="1" x14ac:dyDescent="0.25">
      <c r="A77" s="1" t="s">
        <v>127</v>
      </c>
      <c r="B77" s="1" t="s">
        <v>12</v>
      </c>
      <c r="C77" s="1" t="s">
        <v>3</v>
      </c>
      <c r="D77" s="1">
        <v>0</v>
      </c>
      <c r="E77" s="1">
        <v>-230.01</v>
      </c>
      <c r="F77" s="1">
        <v>0</v>
      </c>
      <c r="G77" s="1">
        <v>1518.068</v>
      </c>
      <c r="H77" s="1">
        <v>0</v>
      </c>
      <c r="I77" s="1">
        <v>-1531.7909999999999</v>
      </c>
    </row>
    <row r="78" spans="1:9" hidden="1" x14ac:dyDescent="0.25">
      <c r="A78" s="1" t="s">
        <v>9</v>
      </c>
      <c r="B78" s="1" t="s">
        <v>12</v>
      </c>
      <c r="C78" s="1" t="s">
        <v>143</v>
      </c>
      <c r="D78" s="1">
        <v>0</v>
      </c>
      <c r="E78" s="1">
        <v>-256.13</v>
      </c>
      <c r="F78" s="1">
        <v>0</v>
      </c>
      <c r="G78" s="1">
        <v>1690.4690000000001</v>
      </c>
      <c r="H78" s="1">
        <v>0</v>
      </c>
      <c r="I78" s="1">
        <v>-1531.7909999999999</v>
      </c>
    </row>
    <row r="79" spans="1:9" x14ac:dyDescent="0.25">
      <c r="A79" s="1" t="s">
        <v>9</v>
      </c>
      <c r="B79" s="1" t="s">
        <v>12</v>
      </c>
      <c r="C79" s="1" t="s">
        <v>3</v>
      </c>
      <c r="D79" s="1">
        <v>0</v>
      </c>
      <c r="E79" s="1">
        <v>-256.13</v>
      </c>
      <c r="F79" s="1">
        <v>0</v>
      </c>
      <c r="G79" s="1">
        <v>1690.4690000000001</v>
      </c>
      <c r="H79" s="1">
        <v>0</v>
      </c>
      <c r="I79" s="1">
        <v>-2316.5059999999999</v>
      </c>
    </row>
    <row r="80" spans="1:9" hidden="1" x14ac:dyDescent="0.25">
      <c r="A80" s="1" t="s">
        <v>10</v>
      </c>
      <c r="B80" s="1" t="s">
        <v>12</v>
      </c>
      <c r="C80" s="1" t="s">
        <v>143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</row>
    <row r="81" spans="1:9" hidden="1" x14ac:dyDescent="0.25">
      <c r="A81" s="1" t="s">
        <v>10</v>
      </c>
      <c r="B81" s="1" t="s">
        <v>12</v>
      </c>
      <c r="C81" s="1" t="s">
        <v>3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</row>
    <row r="82" spans="1:9" hidden="1" x14ac:dyDescent="0.25">
      <c r="A82" s="1" t="s">
        <v>125</v>
      </c>
      <c r="B82" s="1" t="s">
        <v>153</v>
      </c>
      <c r="C82" s="1" t="s">
        <v>143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</row>
    <row r="83" spans="1:9" hidden="1" x14ac:dyDescent="0.25">
      <c r="A83" s="1" t="s">
        <v>125</v>
      </c>
      <c r="B83" s="1" t="s">
        <v>153</v>
      </c>
      <c r="C83" s="1" t="s">
        <v>3</v>
      </c>
      <c r="D83" s="1">
        <v>0</v>
      </c>
      <c r="E83" s="1">
        <v>0</v>
      </c>
      <c r="F83" s="1">
        <v>0</v>
      </c>
      <c r="G83" s="1">
        <v>0</v>
      </c>
      <c r="H83" s="1">
        <v>7.1999999999999995E-2</v>
      </c>
      <c r="I83" s="1">
        <v>0</v>
      </c>
    </row>
    <row r="84" spans="1:9" hidden="1" x14ac:dyDescent="0.25">
      <c r="A84" s="1" t="s">
        <v>126</v>
      </c>
      <c r="B84" s="1" t="s">
        <v>153</v>
      </c>
      <c r="C84" s="1" t="s">
        <v>143</v>
      </c>
      <c r="D84" s="1">
        <v>0</v>
      </c>
      <c r="E84" s="1">
        <v>0</v>
      </c>
      <c r="F84" s="1">
        <v>-32.35</v>
      </c>
      <c r="G84" s="1">
        <v>-194.12700000000001</v>
      </c>
      <c r="H84" s="1">
        <v>7.1999999999999995E-2</v>
      </c>
      <c r="I84" s="1">
        <v>0</v>
      </c>
    </row>
    <row r="85" spans="1:9" hidden="1" x14ac:dyDescent="0.25">
      <c r="A85" s="1" t="s">
        <v>126</v>
      </c>
      <c r="B85" s="1" t="s">
        <v>153</v>
      </c>
      <c r="C85" s="1" t="s">
        <v>3</v>
      </c>
      <c r="D85" s="1">
        <v>0</v>
      </c>
      <c r="E85" s="1">
        <v>0</v>
      </c>
      <c r="F85" s="1">
        <v>-32.35</v>
      </c>
      <c r="G85" s="1">
        <v>-194.12700000000001</v>
      </c>
      <c r="H85" s="1">
        <v>97.68</v>
      </c>
      <c r="I85" s="1">
        <v>0</v>
      </c>
    </row>
    <row r="86" spans="1:9" hidden="1" x14ac:dyDescent="0.25">
      <c r="A86" s="1" t="s">
        <v>127</v>
      </c>
      <c r="B86" s="1" t="s">
        <v>153</v>
      </c>
      <c r="C86" s="1" t="s">
        <v>143</v>
      </c>
      <c r="D86" s="1">
        <v>0</v>
      </c>
      <c r="E86" s="1">
        <v>0</v>
      </c>
      <c r="F86" s="1">
        <v>-56.62</v>
      </c>
      <c r="G86" s="1">
        <v>-339.72300000000001</v>
      </c>
      <c r="H86" s="1">
        <v>97.68</v>
      </c>
      <c r="I86" s="1">
        <v>0</v>
      </c>
    </row>
    <row r="87" spans="1:9" hidden="1" x14ac:dyDescent="0.25">
      <c r="A87" s="1" t="s">
        <v>127</v>
      </c>
      <c r="B87" s="1" t="s">
        <v>153</v>
      </c>
      <c r="C87" s="1" t="s">
        <v>3</v>
      </c>
      <c r="D87" s="1">
        <v>0</v>
      </c>
      <c r="E87" s="1">
        <v>0</v>
      </c>
      <c r="F87" s="1">
        <v>-56.62</v>
      </c>
      <c r="G87" s="1">
        <v>-339.72300000000001</v>
      </c>
      <c r="H87" s="1">
        <v>269.13600000000002</v>
      </c>
      <c r="I87" s="1">
        <v>0</v>
      </c>
    </row>
    <row r="88" spans="1:9" hidden="1" x14ac:dyDescent="0.25">
      <c r="A88" s="1" t="s">
        <v>9</v>
      </c>
      <c r="B88" s="1" t="s">
        <v>153</v>
      </c>
      <c r="C88" s="1" t="s">
        <v>143</v>
      </c>
      <c r="D88" s="1">
        <v>0</v>
      </c>
      <c r="E88" s="1">
        <v>0</v>
      </c>
      <c r="F88" s="1">
        <v>-72.8</v>
      </c>
      <c r="G88" s="1">
        <v>-436.786</v>
      </c>
      <c r="H88" s="1">
        <v>269.13600000000002</v>
      </c>
      <c r="I88" s="1">
        <v>0</v>
      </c>
    </row>
    <row r="89" spans="1:9" hidden="1" x14ac:dyDescent="0.25">
      <c r="A89" s="1" t="s">
        <v>9</v>
      </c>
      <c r="B89" s="1" t="s">
        <v>153</v>
      </c>
      <c r="C89" s="1" t="s">
        <v>3</v>
      </c>
      <c r="D89" s="1">
        <v>0</v>
      </c>
      <c r="E89" s="1">
        <v>0</v>
      </c>
      <c r="F89" s="1">
        <v>-72.8</v>
      </c>
      <c r="G89" s="1">
        <v>-436.786</v>
      </c>
      <c r="H89" s="1">
        <v>492.03</v>
      </c>
      <c r="I89" s="1">
        <v>0</v>
      </c>
    </row>
    <row r="90" spans="1:9" hidden="1" x14ac:dyDescent="0.25">
      <c r="A90" s="1" t="s">
        <v>10</v>
      </c>
      <c r="B90" s="1" t="s">
        <v>153</v>
      </c>
      <c r="C90" s="1" t="s">
        <v>143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</row>
    <row r="91" spans="1:9" hidden="1" x14ac:dyDescent="0.25">
      <c r="A91" s="1" t="s">
        <v>10</v>
      </c>
      <c r="B91" s="1" t="s">
        <v>153</v>
      </c>
      <c r="C91" s="1" t="s">
        <v>3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</row>
    <row r="92" spans="1:9" hidden="1" x14ac:dyDescent="0.25">
      <c r="A92" s="1" t="s">
        <v>125</v>
      </c>
      <c r="B92" s="1" t="s">
        <v>151</v>
      </c>
      <c r="C92" s="1" t="s">
        <v>143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</row>
    <row r="93" spans="1:9" hidden="1" x14ac:dyDescent="0.25">
      <c r="A93" s="1" t="s">
        <v>125</v>
      </c>
      <c r="B93" s="1" t="s">
        <v>151</v>
      </c>
      <c r="C93" s="1" t="s">
        <v>3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</row>
    <row r="94" spans="1:9" hidden="1" x14ac:dyDescent="0.25">
      <c r="A94" s="1" t="s">
        <v>126</v>
      </c>
      <c r="B94" s="1" t="s">
        <v>151</v>
      </c>
      <c r="C94" s="1" t="s">
        <v>143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</row>
    <row r="95" spans="1:9" hidden="1" x14ac:dyDescent="0.25">
      <c r="A95" s="1" t="s">
        <v>126</v>
      </c>
      <c r="B95" s="1" t="s">
        <v>151</v>
      </c>
      <c r="C95" s="1" t="s">
        <v>3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</row>
    <row r="96" spans="1:9" hidden="1" x14ac:dyDescent="0.25">
      <c r="A96" s="1" t="s">
        <v>127</v>
      </c>
      <c r="B96" s="1" t="s">
        <v>151</v>
      </c>
      <c r="C96" s="1" t="s">
        <v>143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</row>
    <row r="97" spans="1:9" hidden="1" x14ac:dyDescent="0.25">
      <c r="A97" s="1" t="s">
        <v>127</v>
      </c>
      <c r="B97" s="1" t="s">
        <v>151</v>
      </c>
      <c r="C97" s="1" t="s">
        <v>3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</row>
    <row r="98" spans="1:9" hidden="1" x14ac:dyDescent="0.25">
      <c r="A98" s="1" t="s">
        <v>9</v>
      </c>
      <c r="B98" s="1" t="s">
        <v>151</v>
      </c>
      <c r="C98" s="1" t="s">
        <v>143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</row>
    <row r="99" spans="1:9" hidden="1" x14ac:dyDescent="0.25">
      <c r="A99" s="1" t="s">
        <v>9</v>
      </c>
      <c r="B99" s="1" t="s">
        <v>151</v>
      </c>
      <c r="C99" s="1" t="s">
        <v>3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</row>
    <row r="100" spans="1:9" hidden="1" x14ac:dyDescent="0.25">
      <c r="A100" s="1" t="s">
        <v>10</v>
      </c>
      <c r="B100" s="1" t="s">
        <v>151</v>
      </c>
      <c r="C100" s="1" t="s">
        <v>143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</row>
    <row r="101" spans="1:9" hidden="1" x14ac:dyDescent="0.25">
      <c r="A101" s="1" t="s">
        <v>10</v>
      </c>
      <c r="B101" s="1" t="s">
        <v>151</v>
      </c>
      <c r="C101" s="1" t="s">
        <v>3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</row>
    <row r="102" spans="1:9" hidden="1" x14ac:dyDescent="0.25">
      <c r="A102" s="1" t="s">
        <v>125</v>
      </c>
      <c r="B102" s="1" t="s">
        <v>15</v>
      </c>
      <c r="C102" s="1" t="s">
        <v>143</v>
      </c>
      <c r="D102" s="1">
        <v>0</v>
      </c>
      <c r="E102" s="1">
        <v>0</v>
      </c>
      <c r="F102" s="1">
        <v>-99.4</v>
      </c>
      <c r="G102" s="1">
        <v>-536.779</v>
      </c>
      <c r="H102" s="1">
        <v>0</v>
      </c>
      <c r="I102" s="1">
        <v>0</v>
      </c>
    </row>
    <row r="103" spans="1:9" hidden="1" x14ac:dyDescent="0.25">
      <c r="A103" s="1" t="s">
        <v>125</v>
      </c>
      <c r="B103" s="1" t="s">
        <v>15</v>
      </c>
      <c r="C103" s="1" t="s">
        <v>3</v>
      </c>
      <c r="D103" s="1">
        <v>0</v>
      </c>
      <c r="E103" s="1">
        <v>0</v>
      </c>
      <c r="F103" s="1">
        <v>-99.4</v>
      </c>
      <c r="G103" s="1">
        <v>-536.779</v>
      </c>
      <c r="H103" s="1">
        <v>299.06700000000001</v>
      </c>
      <c r="I103" s="1">
        <v>0</v>
      </c>
    </row>
    <row r="104" spans="1:9" hidden="1" x14ac:dyDescent="0.25">
      <c r="A104" s="1" t="s">
        <v>126</v>
      </c>
      <c r="B104" s="1" t="s">
        <v>15</v>
      </c>
      <c r="C104" s="1" t="s">
        <v>143</v>
      </c>
      <c r="D104" s="1">
        <v>0</v>
      </c>
      <c r="E104" s="1">
        <v>0</v>
      </c>
      <c r="F104" s="1">
        <v>-177.77</v>
      </c>
      <c r="G104" s="1">
        <v>-959.94500000000005</v>
      </c>
      <c r="H104" s="1">
        <v>299.06700000000001</v>
      </c>
      <c r="I104" s="1">
        <v>0</v>
      </c>
    </row>
    <row r="105" spans="1:9" hidden="1" x14ac:dyDescent="0.25">
      <c r="A105" s="1" t="s">
        <v>126</v>
      </c>
      <c r="B105" s="1" t="s">
        <v>15</v>
      </c>
      <c r="C105" s="1" t="s">
        <v>3</v>
      </c>
      <c r="D105" s="1">
        <v>0</v>
      </c>
      <c r="E105" s="1">
        <v>0</v>
      </c>
      <c r="F105" s="1">
        <v>-177.77</v>
      </c>
      <c r="G105" s="1">
        <v>-959.94500000000005</v>
      </c>
      <c r="H105" s="1">
        <v>835.30700000000002</v>
      </c>
      <c r="I105" s="1">
        <v>0</v>
      </c>
    </row>
    <row r="106" spans="1:9" hidden="1" x14ac:dyDescent="0.25">
      <c r="A106" s="1" t="s">
        <v>127</v>
      </c>
      <c r="B106" s="1" t="s">
        <v>15</v>
      </c>
      <c r="C106" s="1" t="s">
        <v>143</v>
      </c>
      <c r="D106" s="1">
        <v>0</v>
      </c>
      <c r="E106" s="1">
        <v>0</v>
      </c>
      <c r="F106" s="1">
        <v>-230.01</v>
      </c>
      <c r="G106" s="1">
        <v>-1242.056</v>
      </c>
      <c r="H106" s="1">
        <v>835.30700000000002</v>
      </c>
      <c r="I106" s="1">
        <v>0</v>
      </c>
    </row>
    <row r="107" spans="1:9" hidden="1" x14ac:dyDescent="0.25">
      <c r="A107" s="1" t="s">
        <v>127</v>
      </c>
      <c r="B107" s="1" t="s">
        <v>15</v>
      </c>
      <c r="C107" s="1" t="s">
        <v>3</v>
      </c>
      <c r="D107" s="1">
        <v>0</v>
      </c>
      <c r="E107" s="1">
        <v>0</v>
      </c>
      <c r="F107" s="1">
        <v>-230.01</v>
      </c>
      <c r="G107" s="1">
        <v>-1242.056</v>
      </c>
      <c r="H107" s="1">
        <v>1531.7909999999999</v>
      </c>
      <c r="I107" s="1">
        <v>0</v>
      </c>
    </row>
    <row r="108" spans="1:9" hidden="1" x14ac:dyDescent="0.25">
      <c r="A108" s="1" t="s">
        <v>9</v>
      </c>
      <c r="B108" s="1" t="s">
        <v>15</v>
      </c>
      <c r="C108" s="1" t="s">
        <v>143</v>
      </c>
      <c r="D108" s="1">
        <v>0</v>
      </c>
      <c r="E108" s="1">
        <v>0</v>
      </c>
      <c r="F108" s="1">
        <v>-256.13</v>
      </c>
      <c r="G108" s="1">
        <v>-1383.1110000000001</v>
      </c>
      <c r="H108" s="1">
        <v>1531.7909999999999</v>
      </c>
      <c r="I108" s="1">
        <v>0</v>
      </c>
    </row>
    <row r="109" spans="1:9" x14ac:dyDescent="0.25">
      <c r="A109" s="1" t="s">
        <v>9</v>
      </c>
      <c r="B109" s="1" t="s">
        <v>15</v>
      </c>
      <c r="C109" s="1" t="s">
        <v>3</v>
      </c>
      <c r="D109" s="1">
        <v>0</v>
      </c>
      <c r="E109" s="1">
        <v>0</v>
      </c>
      <c r="F109" s="1">
        <v>-256.13</v>
      </c>
      <c r="G109" s="1">
        <v>-1383.1110000000001</v>
      </c>
      <c r="H109" s="1">
        <v>2316.5059999999999</v>
      </c>
      <c r="I109" s="1">
        <v>0</v>
      </c>
    </row>
    <row r="110" spans="1:9" hidden="1" x14ac:dyDescent="0.25">
      <c r="A110" s="1" t="s">
        <v>10</v>
      </c>
      <c r="B110" s="1" t="s">
        <v>15</v>
      </c>
      <c r="C110" s="1" t="s">
        <v>143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</row>
    <row r="111" spans="1:9" hidden="1" x14ac:dyDescent="0.25">
      <c r="A111" s="1" t="s">
        <v>10</v>
      </c>
      <c r="B111" s="1" t="s">
        <v>15</v>
      </c>
      <c r="C111" s="1" t="s">
        <v>3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</row>
    <row r="112" spans="1:9" hidden="1" x14ac:dyDescent="0.25">
      <c r="A112" s="1" t="s">
        <v>125</v>
      </c>
      <c r="B112" s="1" t="s">
        <v>14</v>
      </c>
      <c r="C112" s="1" t="s">
        <v>143</v>
      </c>
      <c r="D112" s="1">
        <v>0</v>
      </c>
      <c r="E112" s="1">
        <v>0</v>
      </c>
      <c r="F112" s="1">
        <v>-99.4</v>
      </c>
      <c r="G112" s="1">
        <v>-656.06299999999999</v>
      </c>
      <c r="H112" s="1">
        <v>0</v>
      </c>
      <c r="I112" s="1">
        <v>0</v>
      </c>
    </row>
    <row r="113" spans="1:9" hidden="1" x14ac:dyDescent="0.25">
      <c r="A113" s="1" t="s">
        <v>125</v>
      </c>
      <c r="B113" s="1" t="s">
        <v>14</v>
      </c>
      <c r="C113" s="1" t="s">
        <v>3</v>
      </c>
      <c r="D113" s="1">
        <v>0</v>
      </c>
      <c r="E113" s="1">
        <v>0</v>
      </c>
      <c r="F113" s="1">
        <v>-99.4</v>
      </c>
      <c r="G113" s="1">
        <v>-656.06299999999999</v>
      </c>
      <c r="H113" s="1">
        <v>299.06700000000001</v>
      </c>
      <c r="I113" s="1">
        <v>0</v>
      </c>
    </row>
    <row r="114" spans="1:9" hidden="1" x14ac:dyDescent="0.25">
      <c r="A114" s="1" t="s">
        <v>126</v>
      </c>
      <c r="B114" s="1" t="s">
        <v>14</v>
      </c>
      <c r="C114" s="1" t="s">
        <v>143</v>
      </c>
      <c r="D114" s="1">
        <v>0</v>
      </c>
      <c r="E114" s="1">
        <v>0</v>
      </c>
      <c r="F114" s="1">
        <v>-177.77</v>
      </c>
      <c r="G114" s="1">
        <v>-1173.2660000000001</v>
      </c>
      <c r="H114" s="1">
        <v>299.06700000000001</v>
      </c>
      <c r="I114" s="1">
        <v>0</v>
      </c>
    </row>
    <row r="115" spans="1:9" hidden="1" x14ac:dyDescent="0.25">
      <c r="A115" s="1" t="s">
        <v>126</v>
      </c>
      <c r="B115" s="1" t="s">
        <v>14</v>
      </c>
      <c r="C115" s="1" t="s">
        <v>3</v>
      </c>
      <c r="D115" s="1">
        <v>0</v>
      </c>
      <c r="E115" s="1">
        <v>0</v>
      </c>
      <c r="F115" s="1">
        <v>-177.77</v>
      </c>
      <c r="G115" s="1">
        <v>-1173.2660000000001</v>
      </c>
      <c r="H115" s="1">
        <v>835.30700000000002</v>
      </c>
      <c r="I115" s="1">
        <v>0</v>
      </c>
    </row>
    <row r="116" spans="1:9" hidden="1" x14ac:dyDescent="0.25">
      <c r="A116" s="1" t="s">
        <v>127</v>
      </c>
      <c r="B116" s="1" t="s">
        <v>14</v>
      </c>
      <c r="C116" s="1" t="s">
        <v>143</v>
      </c>
      <c r="D116" s="1">
        <v>0</v>
      </c>
      <c r="E116" s="1">
        <v>0</v>
      </c>
      <c r="F116" s="1">
        <v>-230.01</v>
      </c>
      <c r="G116" s="1">
        <v>-1518.068</v>
      </c>
      <c r="H116" s="1">
        <v>835.30700000000002</v>
      </c>
      <c r="I116" s="1">
        <v>0</v>
      </c>
    </row>
    <row r="117" spans="1:9" hidden="1" x14ac:dyDescent="0.25">
      <c r="A117" s="1" t="s">
        <v>127</v>
      </c>
      <c r="B117" s="1" t="s">
        <v>14</v>
      </c>
      <c r="C117" s="1" t="s">
        <v>3</v>
      </c>
      <c r="D117" s="1">
        <v>0</v>
      </c>
      <c r="E117" s="1">
        <v>0</v>
      </c>
      <c r="F117" s="1">
        <v>-230.01</v>
      </c>
      <c r="G117" s="1">
        <v>-1518.068</v>
      </c>
      <c r="H117" s="1">
        <v>1531.7909999999999</v>
      </c>
      <c r="I117" s="1">
        <v>0</v>
      </c>
    </row>
    <row r="118" spans="1:9" hidden="1" x14ac:dyDescent="0.25">
      <c r="A118" s="1" t="s">
        <v>9</v>
      </c>
      <c r="B118" s="1" t="s">
        <v>14</v>
      </c>
      <c r="C118" s="1" t="s">
        <v>143</v>
      </c>
      <c r="D118" s="1">
        <v>0</v>
      </c>
      <c r="E118" s="1">
        <v>0</v>
      </c>
      <c r="F118" s="1">
        <v>-256.13</v>
      </c>
      <c r="G118" s="1">
        <v>-1690.4690000000001</v>
      </c>
      <c r="H118" s="1">
        <v>1531.7909999999999</v>
      </c>
      <c r="I118" s="1">
        <v>0</v>
      </c>
    </row>
    <row r="119" spans="1:9" x14ac:dyDescent="0.25">
      <c r="A119" s="1" t="s">
        <v>9</v>
      </c>
      <c r="B119" s="1" t="s">
        <v>14</v>
      </c>
      <c r="C119" s="1" t="s">
        <v>3</v>
      </c>
      <c r="D119" s="1">
        <v>0</v>
      </c>
      <c r="E119" s="1">
        <v>0</v>
      </c>
      <c r="F119" s="1">
        <v>-256.13</v>
      </c>
      <c r="G119" s="1">
        <v>-1690.4690000000001</v>
      </c>
      <c r="H119" s="1">
        <v>2316.5059999999999</v>
      </c>
      <c r="I119" s="1">
        <v>0</v>
      </c>
    </row>
    <row r="120" spans="1:9" hidden="1" x14ac:dyDescent="0.25">
      <c r="A120" s="1" t="s">
        <v>10</v>
      </c>
      <c r="B120" s="1" t="s">
        <v>14</v>
      </c>
      <c r="C120" s="1" t="s">
        <v>143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</row>
    <row r="121" spans="1:9" hidden="1" x14ac:dyDescent="0.25">
      <c r="A121" s="1" t="s">
        <v>10</v>
      </c>
      <c r="B121" s="1" t="s">
        <v>14</v>
      </c>
      <c r="C121" s="1" t="s">
        <v>3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</row>
    <row r="122" spans="1:9" hidden="1" x14ac:dyDescent="0.25">
      <c r="A122" s="1" t="s">
        <v>125</v>
      </c>
      <c r="B122" s="1" t="s">
        <v>154</v>
      </c>
      <c r="C122" s="1" t="s">
        <v>143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</row>
    <row r="123" spans="1:9" hidden="1" x14ac:dyDescent="0.25">
      <c r="A123" s="1" t="s">
        <v>125</v>
      </c>
      <c r="B123" s="1" t="s">
        <v>154</v>
      </c>
      <c r="C123" s="1" t="s">
        <v>3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</row>
    <row r="124" spans="1:9" hidden="1" x14ac:dyDescent="0.25">
      <c r="A124" s="1" t="s">
        <v>126</v>
      </c>
      <c r="B124" s="1" t="s">
        <v>154</v>
      </c>
      <c r="C124" s="1" t="s">
        <v>143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</row>
    <row r="125" spans="1:9" hidden="1" x14ac:dyDescent="0.25">
      <c r="A125" s="1" t="s">
        <v>126</v>
      </c>
      <c r="B125" s="1" t="s">
        <v>154</v>
      </c>
      <c r="C125" s="1" t="s">
        <v>3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</row>
    <row r="126" spans="1:9" hidden="1" x14ac:dyDescent="0.25">
      <c r="A126" s="1" t="s">
        <v>127</v>
      </c>
      <c r="B126" s="1" t="s">
        <v>154</v>
      </c>
      <c r="C126" s="1" t="s">
        <v>143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</row>
    <row r="127" spans="1:9" hidden="1" x14ac:dyDescent="0.25">
      <c r="A127" s="1" t="s">
        <v>127</v>
      </c>
      <c r="B127" s="1" t="s">
        <v>154</v>
      </c>
      <c r="C127" s="1" t="s">
        <v>3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</row>
    <row r="128" spans="1:9" hidden="1" x14ac:dyDescent="0.25">
      <c r="A128" s="1" t="s">
        <v>9</v>
      </c>
      <c r="B128" s="1" t="s">
        <v>154</v>
      </c>
      <c r="C128" s="1" t="s">
        <v>143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</row>
    <row r="129" spans="1:9" hidden="1" x14ac:dyDescent="0.25">
      <c r="A129" s="1" t="s">
        <v>9</v>
      </c>
      <c r="B129" s="1" t="s">
        <v>154</v>
      </c>
      <c r="C129" s="1" t="s">
        <v>3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</row>
    <row r="130" spans="1:9" hidden="1" x14ac:dyDescent="0.25">
      <c r="A130" s="1" t="s">
        <v>10</v>
      </c>
      <c r="B130" s="1" t="s">
        <v>154</v>
      </c>
      <c r="C130" s="1" t="s">
        <v>143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</row>
    <row r="131" spans="1:9" hidden="1" x14ac:dyDescent="0.25">
      <c r="A131" s="1" t="s">
        <v>10</v>
      </c>
      <c r="B131" s="1" t="s">
        <v>154</v>
      </c>
      <c r="C131" s="1" t="s">
        <v>3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</row>
    <row r="132" spans="1:9" hidden="1" x14ac:dyDescent="0.25">
      <c r="A132" s="1" t="s">
        <v>125</v>
      </c>
      <c r="B132" s="1" t="s">
        <v>156</v>
      </c>
      <c r="C132" s="1" t="s">
        <v>143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</row>
    <row r="133" spans="1:9" hidden="1" x14ac:dyDescent="0.25">
      <c r="A133" s="1" t="s">
        <v>125</v>
      </c>
      <c r="B133" s="1" t="s">
        <v>156</v>
      </c>
      <c r="C133" s="1" t="s">
        <v>3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</row>
    <row r="134" spans="1:9" hidden="1" x14ac:dyDescent="0.25">
      <c r="A134" s="1" t="s">
        <v>126</v>
      </c>
      <c r="B134" s="1" t="s">
        <v>156</v>
      </c>
      <c r="C134" s="1" t="s">
        <v>143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</row>
    <row r="135" spans="1:9" hidden="1" x14ac:dyDescent="0.25">
      <c r="A135" s="1" t="s">
        <v>126</v>
      </c>
      <c r="B135" s="1" t="s">
        <v>156</v>
      </c>
      <c r="C135" s="1" t="s">
        <v>3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</row>
    <row r="136" spans="1:9" hidden="1" x14ac:dyDescent="0.25">
      <c r="A136" s="1" t="s">
        <v>127</v>
      </c>
      <c r="B136" s="1" t="s">
        <v>156</v>
      </c>
      <c r="C136" s="1" t="s">
        <v>143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</row>
    <row r="137" spans="1:9" hidden="1" x14ac:dyDescent="0.25">
      <c r="A137" s="1" t="s">
        <v>127</v>
      </c>
      <c r="B137" s="1" t="s">
        <v>156</v>
      </c>
      <c r="C137" s="1" t="s">
        <v>3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</row>
    <row r="138" spans="1:9" hidden="1" x14ac:dyDescent="0.25">
      <c r="A138" s="1" t="s">
        <v>9</v>
      </c>
      <c r="B138" s="1" t="s">
        <v>156</v>
      </c>
      <c r="C138" s="1" t="s">
        <v>143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</row>
    <row r="139" spans="1:9" hidden="1" x14ac:dyDescent="0.25">
      <c r="A139" s="1" t="s">
        <v>9</v>
      </c>
      <c r="B139" s="1" t="s">
        <v>156</v>
      </c>
      <c r="C139" s="1" t="s">
        <v>3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</row>
    <row r="140" spans="1:9" hidden="1" x14ac:dyDescent="0.25">
      <c r="A140" s="1" t="s">
        <v>10</v>
      </c>
      <c r="B140" s="1" t="s">
        <v>156</v>
      </c>
      <c r="C140" s="1" t="s">
        <v>143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</row>
    <row r="141" spans="1:9" hidden="1" x14ac:dyDescent="0.25">
      <c r="A141" s="1" t="s">
        <v>10</v>
      </c>
      <c r="B141" s="1" t="s">
        <v>156</v>
      </c>
      <c r="C141" s="1" t="s">
        <v>3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</row>
    <row r="142" spans="1:9" hidden="1" x14ac:dyDescent="0.25">
      <c r="A142" s="1" t="s">
        <v>125</v>
      </c>
      <c r="B142" s="1" t="s">
        <v>155</v>
      </c>
      <c r="C142" s="1" t="s">
        <v>143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</row>
    <row r="143" spans="1:9" hidden="1" x14ac:dyDescent="0.25">
      <c r="A143" s="1" t="s">
        <v>125</v>
      </c>
      <c r="B143" s="1" t="s">
        <v>155</v>
      </c>
      <c r="C143" s="1" t="s">
        <v>3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</row>
    <row r="144" spans="1:9" hidden="1" x14ac:dyDescent="0.25">
      <c r="A144" s="1" t="s">
        <v>126</v>
      </c>
      <c r="B144" s="1" t="s">
        <v>155</v>
      </c>
      <c r="C144" s="1" t="s">
        <v>143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</row>
    <row r="145" spans="1:9" hidden="1" x14ac:dyDescent="0.25">
      <c r="A145" s="1" t="s">
        <v>126</v>
      </c>
      <c r="B145" s="1" t="s">
        <v>155</v>
      </c>
      <c r="C145" s="1" t="s">
        <v>3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</row>
    <row r="146" spans="1:9" hidden="1" x14ac:dyDescent="0.25">
      <c r="A146" s="1" t="s">
        <v>127</v>
      </c>
      <c r="B146" s="1" t="s">
        <v>155</v>
      </c>
      <c r="C146" s="1" t="s">
        <v>143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</row>
    <row r="147" spans="1:9" hidden="1" x14ac:dyDescent="0.25">
      <c r="A147" s="1" t="s">
        <v>127</v>
      </c>
      <c r="B147" s="1" t="s">
        <v>155</v>
      </c>
      <c r="C147" s="1" t="s">
        <v>3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</row>
    <row r="148" spans="1:9" hidden="1" x14ac:dyDescent="0.25">
      <c r="A148" s="1" t="s">
        <v>9</v>
      </c>
      <c r="B148" s="1" t="s">
        <v>155</v>
      </c>
      <c r="C148" s="1" t="s">
        <v>143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</row>
    <row r="149" spans="1:9" hidden="1" x14ac:dyDescent="0.25">
      <c r="A149" s="1" t="s">
        <v>9</v>
      </c>
      <c r="B149" s="1" t="s">
        <v>155</v>
      </c>
      <c r="C149" s="1" t="s">
        <v>3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</row>
    <row r="150" spans="1:9" hidden="1" x14ac:dyDescent="0.25">
      <c r="A150" s="1" t="s">
        <v>10</v>
      </c>
      <c r="B150" s="1" t="s">
        <v>155</v>
      </c>
      <c r="C150" s="1" t="s">
        <v>143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</row>
    <row r="151" spans="1:9" hidden="1" x14ac:dyDescent="0.25">
      <c r="A151" s="1" t="s">
        <v>10</v>
      </c>
      <c r="B151" s="1" t="s">
        <v>155</v>
      </c>
      <c r="C151" s="1" t="s">
        <v>3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</row>
    <row r="152" spans="1:9" hidden="1" x14ac:dyDescent="0.25">
      <c r="A152" s="1" t="s">
        <v>125</v>
      </c>
      <c r="B152" s="1" t="s">
        <v>144</v>
      </c>
      <c r="C152" s="1" t="s">
        <v>143</v>
      </c>
      <c r="D152" s="1">
        <v>43.2</v>
      </c>
      <c r="E152" s="1">
        <v>0</v>
      </c>
      <c r="F152" s="1">
        <v>0</v>
      </c>
      <c r="G152" s="1">
        <v>0</v>
      </c>
      <c r="H152" s="1">
        <v>259.2</v>
      </c>
      <c r="I152" s="1">
        <v>-259.2</v>
      </c>
    </row>
    <row r="153" spans="1:9" hidden="1" x14ac:dyDescent="0.25">
      <c r="A153" s="1" t="s">
        <v>125</v>
      </c>
      <c r="B153" s="1" t="s">
        <v>144</v>
      </c>
      <c r="C153" s="1" t="s">
        <v>3</v>
      </c>
      <c r="D153" s="1">
        <v>43.2</v>
      </c>
      <c r="E153" s="1">
        <v>0</v>
      </c>
      <c r="F153" s="1">
        <v>0</v>
      </c>
      <c r="G153" s="1">
        <v>0</v>
      </c>
      <c r="H153" s="1">
        <v>259.2</v>
      </c>
      <c r="I153" s="1">
        <v>-259.2</v>
      </c>
    </row>
    <row r="154" spans="1:9" hidden="1" x14ac:dyDescent="0.25">
      <c r="A154" s="1" t="s">
        <v>126</v>
      </c>
      <c r="B154" s="1" t="s">
        <v>144</v>
      </c>
      <c r="C154" s="1" t="s">
        <v>143</v>
      </c>
      <c r="D154" s="1">
        <v>86.4</v>
      </c>
      <c r="E154" s="1">
        <v>0</v>
      </c>
      <c r="F154" s="1">
        <v>0</v>
      </c>
      <c r="G154" s="1">
        <v>0</v>
      </c>
      <c r="H154" s="1">
        <v>518.4</v>
      </c>
      <c r="I154" s="1">
        <v>-518.4</v>
      </c>
    </row>
    <row r="155" spans="1:9" hidden="1" x14ac:dyDescent="0.25">
      <c r="A155" s="1" t="s">
        <v>126</v>
      </c>
      <c r="B155" s="1" t="s">
        <v>144</v>
      </c>
      <c r="C155" s="1" t="s">
        <v>3</v>
      </c>
      <c r="D155" s="1">
        <v>86.4</v>
      </c>
      <c r="E155" s="1">
        <v>0</v>
      </c>
      <c r="F155" s="1">
        <v>0</v>
      </c>
      <c r="G155" s="1">
        <v>0</v>
      </c>
      <c r="H155" s="1">
        <v>518.4</v>
      </c>
      <c r="I155" s="1">
        <v>-518.4</v>
      </c>
    </row>
    <row r="156" spans="1:9" hidden="1" x14ac:dyDescent="0.25">
      <c r="A156" s="1" t="s">
        <v>127</v>
      </c>
      <c r="B156" s="1" t="s">
        <v>144</v>
      </c>
      <c r="C156" s="1" t="s">
        <v>143</v>
      </c>
      <c r="D156" s="1">
        <v>129.6</v>
      </c>
      <c r="E156" s="1">
        <v>0</v>
      </c>
      <c r="F156" s="1">
        <v>0</v>
      </c>
      <c r="G156" s="1">
        <v>0</v>
      </c>
      <c r="H156" s="1">
        <v>777.6</v>
      </c>
      <c r="I156" s="1">
        <v>-777.6</v>
      </c>
    </row>
    <row r="157" spans="1:9" hidden="1" x14ac:dyDescent="0.25">
      <c r="A157" s="1" t="s">
        <v>127</v>
      </c>
      <c r="B157" s="1" t="s">
        <v>144</v>
      </c>
      <c r="C157" s="1" t="s">
        <v>3</v>
      </c>
      <c r="D157" s="1">
        <v>129.6</v>
      </c>
      <c r="E157" s="1">
        <v>0</v>
      </c>
      <c r="F157" s="1">
        <v>0</v>
      </c>
      <c r="G157" s="1">
        <v>0</v>
      </c>
      <c r="H157" s="1">
        <v>777.6</v>
      </c>
      <c r="I157" s="1">
        <v>-777.6</v>
      </c>
    </row>
    <row r="158" spans="1:9" hidden="1" x14ac:dyDescent="0.25">
      <c r="A158" s="1" t="s">
        <v>9</v>
      </c>
      <c r="B158" s="1" t="s">
        <v>144</v>
      </c>
      <c r="C158" s="1" t="s">
        <v>143</v>
      </c>
      <c r="D158" s="1">
        <v>172.8</v>
      </c>
      <c r="E158" s="1">
        <v>0</v>
      </c>
      <c r="F158" s="1">
        <v>0</v>
      </c>
      <c r="G158" s="1">
        <v>0</v>
      </c>
      <c r="H158" s="1">
        <v>1036.8</v>
      </c>
      <c r="I158" s="1">
        <v>-1036.8</v>
      </c>
    </row>
    <row r="159" spans="1:9" hidden="1" x14ac:dyDescent="0.25">
      <c r="A159" s="1" t="s">
        <v>9</v>
      </c>
      <c r="B159" s="1" t="s">
        <v>144</v>
      </c>
      <c r="C159" s="1" t="s">
        <v>3</v>
      </c>
      <c r="D159" s="1">
        <v>172.8</v>
      </c>
      <c r="E159" s="1">
        <v>0</v>
      </c>
      <c r="F159" s="1">
        <v>0</v>
      </c>
      <c r="G159" s="1">
        <v>0</v>
      </c>
      <c r="H159" s="1">
        <v>1036.8</v>
      </c>
      <c r="I159" s="1">
        <v>-1036.8</v>
      </c>
    </row>
    <row r="160" spans="1:9" hidden="1" x14ac:dyDescent="0.25">
      <c r="A160" s="1" t="s">
        <v>10</v>
      </c>
      <c r="B160" s="1" t="s">
        <v>144</v>
      </c>
      <c r="C160" s="1" t="s">
        <v>143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</row>
    <row r="161" spans="1:9" hidden="1" x14ac:dyDescent="0.25">
      <c r="A161" s="1" t="s">
        <v>10</v>
      </c>
      <c r="B161" s="1" t="s">
        <v>144</v>
      </c>
      <c r="C161" s="1" t="s">
        <v>3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</row>
    <row r="162" spans="1:9" hidden="1" x14ac:dyDescent="0.25">
      <c r="A162" s="1" t="s">
        <v>125</v>
      </c>
      <c r="B162" s="1" t="s">
        <v>7</v>
      </c>
      <c r="C162" s="1" t="s">
        <v>143</v>
      </c>
      <c r="D162" s="1">
        <v>0</v>
      </c>
      <c r="E162" s="1">
        <v>90.93</v>
      </c>
      <c r="F162" s="1">
        <v>0</v>
      </c>
      <c r="G162" s="1">
        <v>600.15700000000004</v>
      </c>
      <c r="H162" s="1">
        <v>0</v>
      </c>
      <c r="I162" s="1">
        <v>0</v>
      </c>
    </row>
    <row r="163" spans="1:9" hidden="1" x14ac:dyDescent="0.25">
      <c r="A163" s="1" t="s">
        <v>125</v>
      </c>
      <c r="B163" s="1" t="s">
        <v>7</v>
      </c>
      <c r="C163" s="1" t="s">
        <v>3</v>
      </c>
      <c r="D163" s="1">
        <v>0</v>
      </c>
      <c r="E163" s="1">
        <v>90.93</v>
      </c>
      <c r="F163" s="1">
        <v>0</v>
      </c>
      <c r="G163" s="1">
        <v>600.15700000000004</v>
      </c>
      <c r="H163" s="1">
        <v>0</v>
      </c>
      <c r="I163" s="1">
        <v>273.61</v>
      </c>
    </row>
    <row r="164" spans="1:9" hidden="1" x14ac:dyDescent="0.25">
      <c r="A164" s="1" t="s">
        <v>126</v>
      </c>
      <c r="B164" s="1" t="s">
        <v>7</v>
      </c>
      <c r="C164" s="1" t="s">
        <v>143</v>
      </c>
      <c r="D164" s="1">
        <v>0</v>
      </c>
      <c r="E164" s="1">
        <v>174.68</v>
      </c>
      <c r="F164" s="1">
        <v>0</v>
      </c>
      <c r="G164" s="1">
        <v>1153.7639999999999</v>
      </c>
      <c r="H164" s="1">
        <v>0</v>
      </c>
      <c r="I164" s="1">
        <v>273.61</v>
      </c>
    </row>
    <row r="165" spans="1:9" hidden="1" x14ac:dyDescent="0.25">
      <c r="A165" s="1" t="s">
        <v>126</v>
      </c>
      <c r="B165" s="1" t="s">
        <v>7</v>
      </c>
      <c r="C165" s="1" t="s">
        <v>3</v>
      </c>
      <c r="D165" s="1">
        <v>0</v>
      </c>
      <c r="E165" s="1">
        <v>174.68</v>
      </c>
      <c r="F165" s="1">
        <v>0</v>
      </c>
      <c r="G165" s="1">
        <v>1153.7639999999999</v>
      </c>
      <c r="H165" s="1">
        <v>0</v>
      </c>
      <c r="I165" s="1">
        <v>799.25400000000002</v>
      </c>
    </row>
    <row r="166" spans="1:9" hidden="1" x14ac:dyDescent="0.25">
      <c r="A166" s="1" t="s">
        <v>127</v>
      </c>
      <c r="B166" s="1" t="s">
        <v>7</v>
      </c>
      <c r="C166" s="1" t="s">
        <v>143</v>
      </c>
      <c r="D166" s="1">
        <v>0</v>
      </c>
      <c r="E166" s="1">
        <v>243.05</v>
      </c>
      <c r="F166" s="1">
        <v>0</v>
      </c>
      <c r="G166" s="1">
        <v>1607.0250000000001</v>
      </c>
      <c r="H166" s="1">
        <v>0</v>
      </c>
      <c r="I166" s="1">
        <v>799.25400000000002</v>
      </c>
    </row>
    <row r="167" spans="1:9" hidden="1" x14ac:dyDescent="0.25">
      <c r="A167" s="1" t="s">
        <v>127</v>
      </c>
      <c r="B167" s="1" t="s">
        <v>7</v>
      </c>
      <c r="C167" s="1" t="s">
        <v>3</v>
      </c>
      <c r="D167" s="1">
        <v>0</v>
      </c>
      <c r="E167" s="1">
        <v>243.05</v>
      </c>
      <c r="F167" s="1">
        <v>0</v>
      </c>
      <c r="G167" s="1">
        <v>1607.0250000000001</v>
      </c>
      <c r="H167" s="1">
        <v>0</v>
      </c>
      <c r="I167" s="1">
        <v>1531.492</v>
      </c>
    </row>
    <row r="168" spans="1:9" hidden="1" x14ac:dyDescent="0.25">
      <c r="A168" s="1" t="s">
        <v>9</v>
      </c>
      <c r="B168" s="1" t="s">
        <v>7</v>
      </c>
      <c r="C168" s="1" t="s">
        <v>143</v>
      </c>
      <c r="D168" s="1">
        <v>0</v>
      </c>
      <c r="E168" s="1">
        <v>289.55</v>
      </c>
      <c r="F168" s="1">
        <v>0</v>
      </c>
      <c r="G168" s="1">
        <v>1916.9390000000001</v>
      </c>
      <c r="H168" s="1">
        <v>0</v>
      </c>
      <c r="I168" s="1">
        <v>1531.492</v>
      </c>
    </row>
    <row r="169" spans="1:9" hidden="1" x14ac:dyDescent="0.25">
      <c r="A169" s="1" t="s">
        <v>9</v>
      </c>
      <c r="B169" s="1" t="s">
        <v>7</v>
      </c>
      <c r="C169" s="1" t="s">
        <v>3</v>
      </c>
      <c r="D169" s="1">
        <v>0</v>
      </c>
      <c r="E169" s="1">
        <v>289.55</v>
      </c>
      <c r="F169" s="1">
        <v>0</v>
      </c>
      <c r="G169" s="1">
        <v>1916.9390000000001</v>
      </c>
      <c r="H169" s="1">
        <v>0</v>
      </c>
      <c r="I169" s="1">
        <v>2412.3420000000001</v>
      </c>
    </row>
    <row r="170" spans="1:9" hidden="1" x14ac:dyDescent="0.25">
      <c r="A170" s="1" t="s">
        <v>10</v>
      </c>
      <c r="B170" s="1" t="s">
        <v>7</v>
      </c>
      <c r="C170" s="1" t="s">
        <v>143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</row>
    <row r="171" spans="1:9" hidden="1" x14ac:dyDescent="0.25">
      <c r="A171" s="1" t="s">
        <v>10</v>
      </c>
      <c r="B171" s="1" t="s">
        <v>7</v>
      </c>
      <c r="C171" s="1" t="s">
        <v>3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</row>
    <row r="172" spans="1:9" hidden="1" x14ac:dyDescent="0.25">
      <c r="A172" s="1" t="s">
        <v>125</v>
      </c>
      <c r="B172" s="1" t="s">
        <v>157</v>
      </c>
      <c r="C172" s="1" t="s">
        <v>143</v>
      </c>
      <c r="D172" s="1">
        <v>0</v>
      </c>
      <c r="E172" s="1">
        <v>-90.93</v>
      </c>
      <c r="F172" s="1">
        <v>0</v>
      </c>
      <c r="G172" s="1">
        <v>-600.15700000000004</v>
      </c>
      <c r="H172" s="1">
        <v>0</v>
      </c>
      <c r="I172" s="1">
        <v>0</v>
      </c>
    </row>
    <row r="173" spans="1:9" hidden="1" x14ac:dyDescent="0.25">
      <c r="A173" s="1" t="s">
        <v>125</v>
      </c>
      <c r="B173" s="1" t="s">
        <v>157</v>
      </c>
      <c r="C173" s="1" t="s">
        <v>3</v>
      </c>
      <c r="D173" s="1">
        <v>0</v>
      </c>
      <c r="E173" s="1">
        <v>-90.93</v>
      </c>
      <c r="F173" s="1">
        <v>0</v>
      </c>
      <c r="G173" s="1">
        <v>-600.15700000000004</v>
      </c>
      <c r="H173" s="1">
        <v>0</v>
      </c>
      <c r="I173" s="1">
        <v>-273.61</v>
      </c>
    </row>
    <row r="174" spans="1:9" hidden="1" x14ac:dyDescent="0.25">
      <c r="A174" s="1" t="s">
        <v>126</v>
      </c>
      <c r="B174" s="1" t="s">
        <v>157</v>
      </c>
      <c r="C174" s="1" t="s">
        <v>143</v>
      </c>
      <c r="D174" s="1">
        <v>0</v>
      </c>
      <c r="E174" s="1">
        <v>-174.68</v>
      </c>
      <c r="F174" s="1">
        <v>0</v>
      </c>
      <c r="G174" s="1">
        <v>-1153.7639999999999</v>
      </c>
      <c r="H174" s="1">
        <v>0</v>
      </c>
      <c r="I174" s="1">
        <v>-273.61</v>
      </c>
    </row>
    <row r="175" spans="1:9" hidden="1" x14ac:dyDescent="0.25">
      <c r="A175" s="1" t="s">
        <v>126</v>
      </c>
      <c r="B175" s="1" t="s">
        <v>157</v>
      </c>
      <c r="C175" s="1" t="s">
        <v>3</v>
      </c>
      <c r="D175" s="1">
        <v>0</v>
      </c>
      <c r="E175" s="1">
        <v>-174.68</v>
      </c>
      <c r="F175" s="1">
        <v>0</v>
      </c>
      <c r="G175" s="1">
        <v>-1153.7639999999999</v>
      </c>
      <c r="H175" s="1">
        <v>0</v>
      </c>
      <c r="I175" s="1">
        <v>-799.25400000000002</v>
      </c>
    </row>
    <row r="176" spans="1:9" hidden="1" x14ac:dyDescent="0.25">
      <c r="A176" s="1" t="s">
        <v>127</v>
      </c>
      <c r="B176" s="1" t="s">
        <v>157</v>
      </c>
      <c r="C176" s="1" t="s">
        <v>143</v>
      </c>
      <c r="D176" s="1">
        <v>0</v>
      </c>
      <c r="E176" s="1">
        <v>-243.05</v>
      </c>
      <c r="F176" s="1">
        <v>0</v>
      </c>
      <c r="G176" s="1">
        <v>-1607.0250000000001</v>
      </c>
      <c r="H176" s="1">
        <v>0</v>
      </c>
      <c r="I176" s="1">
        <v>-799.25400000000002</v>
      </c>
    </row>
    <row r="177" spans="1:9" hidden="1" x14ac:dyDescent="0.25">
      <c r="A177" s="1" t="s">
        <v>127</v>
      </c>
      <c r="B177" s="1" t="s">
        <v>157</v>
      </c>
      <c r="C177" s="1" t="s">
        <v>3</v>
      </c>
      <c r="D177" s="1">
        <v>0</v>
      </c>
      <c r="E177" s="1">
        <v>-243.05</v>
      </c>
      <c r="F177" s="1">
        <v>0</v>
      </c>
      <c r="G177" s="1">
        <v>-1607.0250000000001</v>
      </c>
      <c r="H177" s="1">
        <v>0</v>
      </c>
      <c r="I177" s="1">
        <v>-1531.492</v>
      </c>
    </row>
    <row r="178" spans="1:9" hidden="1" x14ac:dyDescent="0.25">
      <c r="A178" s="1" t="s">
        <v>9</v>
      </c>
      <c r="B178" s="1" t="s">
        <v>157</v>
      </c>
      <c r="C178" s="1" t="s">
        <v>143</v>
      </c>
      <c r="D178" s="1">
        <v>0</v>
      </c>
      <c r="E178" s="1">
        <v>-289.55</v>
      </c>
      <c r="F178" s="1">
        <v>0</v>
      </c>
      <c r="G178" s="1">
        <v>-1916.9390000000001</v>
      </c>
      <c r="H178" s="1">
        <v>0</v>
      </c>
      <c r="I178" s="1">
        <v>-1531.492</v>
      </c>
    </row>
    <row r="179" spans="1:9" hidden="1" x14ac:dyDescent="0.25">
      <c r="A179" s="1" t="s">
        <v>9</v>
      </c>
      <c r="B179" s="1" t="s">
        <v>157</v>
      </c>
      <c r="C179" s="1" t="s">
        <v>3</v>
      </c>
      <c r="D179" s="1">
        <v>0</v>
      </c>
      <c r="E179" s="1">
        <v>-289.55</v>
      </c>
      <c r="F179" s="1">
        <v>0</v>
      </c>
      <c r="G179" s="1">
        <v>-1916.9390000000001</v>
      </c>
      <c r="H179" s="1">
        <v>0</v>
      </c>
      <c r="I179" s="1">
        <v>-2412.3420000000001</v>
      </c>
    </row>
    <row r="180" spans="1:9" hidden="1" x14ac:dyDescent="0.25">
      <c r="A180" s="1" t="s">
        <v>10</v>
      </c>
      <c r="B180" s="1" t="s">
        <v>157</v>
      </c>
      <c r="C180" s="1" t="s">
        <v>143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</row>
    <row r="181" spans="1:9" hidden="1" x14ac:dyDescent="0.25">
      <c r="A181" s="1" t="s">
        <v>10</v>
      </c>
      <c r="B181" s="1" t="s">
        <v>157</v>
      </c>
      <c r="C181" s="1" t="s">
        <v>3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</row>
    <row r="182" spans="1:9" hidden="1" x14ac:dyDescent="0.25">
      <c r="A182" s="1" t="s">
        <v>125</v>
      </c>
      <c r="B182" s="1" t="s">
        <v>8</v>
      </c>
      <c r="C182" s="1" t="s">
        <v>143</v>
      </c>
      <c r="D182" s="1">
        <v>0</v>
      </c>
      <c r="E182" s="1">
        <v>0</v>
      </c>
      <c r="F182" s="1">
        <v>83.36</v>
      </c>
      <c r="G182" s="1">
        <v>550.14400000000001</v>
      </c>
      <c r="H182" s="1">
        <v>0</v>
      </c>
      <c r="I182" s="1">
        <v>0</v>
      </c>
    </row>
    <row r="183" spans="1:9" hidden="1" x14ac:dyDescent="0.25">
      <c r="A183" s="1" t="s">
        <v>125</v>
      </c>
      <c r="B183" s="1" t="s">
        <v>8</v>
      </c>
      <c r="C183" s="1" t="s">
        <v>3</v>
      </c>
      <c r="D183" s="1">
        <v>0</v>
      </c>
      <c r="E183" s="1">
        <v>0</v>
      </c>
      <c r="F183" s="1">
        <v>83.36</v>
      </c>
      <c r="G183" s="1">
        <v>550.14400000000001</v>
      </c>
      <c r="H183" s="1">
        <v>250.809</v>
      </c>
      <c r="I183" s="1">
        <v>0</v>
      </c>
    </row>
    <row r="184" spans="1:9" hidden="1" x14ac:dyDescent="0.25">
      <c r="A184" s="1" t="s">
        <v>126</v>
      </c>
      <c r="B184" s="1" t="s">
        <v>8</v>
      </c>
      <c r="C184" s="1" t="s">
        <v>143</v>
      </c>
      <c r="D184" s="1">
        <v>0</v>
      </c>
      <c r="E184" s="1">
        <v>0</v>
      </c>
      <c r="F184" s="1">
        <v>160.13</v>
      </c>
      <c r="G184" s="1">
        <v>1057.617</v>
      </c>
      <c r="H184" s="1">
        <v>250.809</v>
      </c>
      <c r="I184" s="1">
        <v>0</v>
      </c>
    </row>
    <row r="185" spans="1:9" hidden="1" x14ac:dyDescent="0.25">
      <c r="A185" s="1" t="s">
        <v>126</v>
      </c>
      <c r="B185" s="1" t="s">
        <v>8</v>
      </c>
      <c r="C185" s="1" t="s">
        <v>3</v>
      </c>
      <c r="D185" s="1">
        <v>0</v>
      </c>
      <c r="E185" s="1">
        <v>0</v>
      </c>
      <c r="F185" s="1">
        <v>160.13</v>
      </c>
      <c r="G185" s="1">
        <v>1057.617</v>
      </c>
      <c r="H185" s="1">
        <v>732.65</v>
      </c>
      <c r="I185" s="1">
        <v>0</v>
      </c>
    </row>
    <row r="186" spans="1:9" hidden="1" x14ac:dyDescent="0.25">
      <c r="A186" s="1" t="s">
        <v>127</v>
      </c>
      <c r="B186" s="1" t="s">
        <v>8</v>
      </c>
      <c r="C186" s="1" t="s">
        <v>143</v>
      </c>
      <c r="D186" s="1">
        <v>0</v>
      </c>
      <c r="E186" s="1">
        <v>0</v>
      </c>
      <c r="F186" s="1">
        <v>222.8</v>
      </c>
      <c r="G186" s="1">
        <v>1473.106</v>
      </c>
      <c r="H186" s="1">
        <v>732.65</v>
      </c>
      <c r="I186" s="1">
        <v>0</v>
      </c>
    </row>
    <row r="187" spans="1:9" hidden="1" x14ac:dyDescent="0.25">
      <c r="A187" s="1" t="s">
        <v>127</v>
      </c>
      <c r="B187" s="1" t="s">
        <v>8</v>
      </c>
      <c r="C187" s="1" t="s">
        <v>3</v>
      </c>
      <c r="D187" s="1">
        <v>0</v>
      </c>
      <c r="E187" s="1">
        <v>0</v>
      </c>
      <c r="F187" s="1">
        <v>222.8</v>
      </c>
      <c r="G187" s="1">
        <v>1473.106</v>
      </c>
      <c r="H187" s="1">
        <v>1403.867</v>
      </c>
      <c r="I187" s="1">
        <v>0</v>
      </c>
    </row>
    <row r="188" spans="1:9" hidden="1" x14ac:dyDescent="0.25">
      <c r="A188" s="1" t="s">
        <v>9</v>
      </c>
      <c r="B188" s="1" t="s">
        <v>8</v>
      </c>
      <c r="C188" s="1" t="s">
        <v>143</v>
      </c>
      <c r="D188" s="1">
        <v>0</v>
      </c>
      <c r="E188" s="1">
        <v>0</v>
      </c>
      <c r="F188" s="1">
        <v>265.42</v>
      </c>
      <c r="G188" s="1">
        <v>1757.194</v>
      </c>
      <c r="H188" s="1">
        <v>1403.867</v>
      </c>
      <c r="I188" s="1">
        <v>0</v>
      </c>
    </row>
    <row r="189" spans="1:9" hidden="1" x14ac:dyDescent="0.25">
      <c r="A189" s="1" t="s">
        <v>9</v>
      </c>
      <c r="B189" s="1" t="s">
        <v>8</v>
      </c>
      <c r="C189" s="1" t="s">
        <v>3</v>
      </c>
      <c r="D189" s="1">
        <v>0</v>
      </c>
      <c r="E189" s="1">
        <v>0</v>
      </c>
      <c r="F189" s="1">
        <v>265.42</v>
      </c>
      <c r="G189" s="1">
        <v>1757.194</v>
      </c>
      <c r="H189" s="1">
        <v>2211.3139999999999</v>
      </c>
      <c r="I189" s="1">
        <v>0</v>
      </c>
    </row>
    <row r="190" spans="1:9" hidden="1" x14ac:dyDescent="0.25">
      <c r="A190" s="1" t="s">
        <v>10</v>
      </c>
      <c r="B190" s="1" t="s">
        <v>8</v>
      </c>
      <c r="C190" s="1" t="s">
        <v>143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</row>
    <row r="191" spans="1:9" hidden="1" x14ac:dyDescent="0.25">
      <c r="A191" s="1" t="s">
        <v>10</v>
      </c>
      <c r="B191" s="1" t="s">
        <v>8</v>
      </c>
      <c r="C191" s="1" t="s">
        <v>3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</row>
    <row r="192" spans="1:9" hidden="1" x14ac:dyDescent="0.25">
      <c r="A192" s="1" t="s">
        <v>125</v>
      </c>
      <c r="B192" s="1" t="s">
        <v>158</v>
      </c>
      <c r="C192" s="1" t="s">
        <v>143</v>
      </c>
      <c r="D192" s="1">
        <v>0</v>
      </c>
      <c r="E192" s="1">
        <v>0</v>
      </c>
      <c r="F192" s="1">
        <v>-83.36</v>
      </c>
      <c r="G192" s="1">
        <v>-550.14400000000001</v>
      </c>
      <c r="H192" s="1">
        <v>0</v>
      </c>
      <c r="I192" s="1">
        <v>0</v>
      </c>
    </row>
    <row r="193" spans="1:9" hidden="1" x14ac:dyDescent="0.25">
      <c r="A193" s="1" t="s">
        <v>125</v>
      </c>
      <c r="B193" s="1" t="s">
        <v>158</v>
      </c>
      <c r="C193" s="1" t="s">
        <v>3</v>
      </c>
      <c r="D193" s="1">
        <v>0</v>
      </c>
      <c r="E193" s="1">
        <v>0</v>
      </c>
      <c r="F193" s="1">
        <v>-83.36</v>
      </c>
      <c r="G193" s="1">
        <v>-550.14400000000001</v>
      </c>
      <c r="H193" s="1">
        <v>-250.809</v>
      </c>
      <c r="I193" s="1">
        <v>0</v>
      </c>
    </row>
    <row r="194" spans="1:9" hidden="1" x14ac:dyDescent="0.25">
      <c r="A194" s="1" t="s">
        <v>126</v>
      </c>
      <c r="B194" s="1" t="s">
        <v>158</v>
      </c>
      <c r="C194" s="1" t="s">
        <v>143</v>
      </c>
      <c r="D194" s="1">
        <v>0</v>
      </c>
      <c r="E194" s="1">
        <v>0</v>
      </c>
      <c r="F194" s="1">
        <v>-160.13</v>
      </c>
      <c r="G194" s="1">
        <v>-1057.617</v>
      </c>
      <c r="H194" s="1">
        <v>-250.809</v>
      </c>
      <c r="I194" s="1">
        <v>0</v>
      </c>
    </row>
    <row r="195" spans="1:9" hidden="1" x14ac:dyDescent="0.25">
      <c r="A195" s="1" t="s">
        <v>126</v>
      </c>
      <c r="B195" s="1" t="s">
        <v>158</v>
      </c>
      <c r="C195" s="1" t="s">
        <v>3</v>
      </c>
      <c r="D195" s="1">
        <v>0</v>
      </c>
      <c r="E195" s="1">
        <v>0</v>
      </c>
      <c r="F195" s="1">
        <v>-160.13</v>
      </c>
      <c r="G195" s="1">
        <v>-1057.617</v>
      </c>
      <c r="H195" s="1">
        <v>-732.65</v>
      </c>
      <c r="I195" s="1">
        <v>0</v>
      </c>
    </row>
    <row r="196" spans="1:9" hidden="1" x14ac:dyDescent="0.25">
      <c r="A196" s="1" t="s">
        <v>127</v>
      </c>
      <c r="B196" s="1" t="s">
        <v>158</v>
      </c>
      <c r="C196" s="1" t="s">
        <v>143</v>
      </c>
      <c r="D196" s="1">
        <v>0</v>
      </c>
      <c r="E196" s="1">
        <v>0</v>
      </c>
      <c r="F196" s="1">
        <v>-222.8</v>
      </c>
      <c r="G196" s="1">
        <v>-1473.106</v>
      </c>
      <c r="H196" s="1">
        <v>-732.65</v>
      </c>
      <c r="I196" s="1">
        <v>0</v>
      </c>
    </row>
    <row r="197" spans="1:9" hidden="1" x14ac:dyDescent="0.25">
      <c r="A197" s="1" t="s">
        <v>127</v>
      </c>
      <c r="B197" s="1" t="s">
        <v>158</v>
      </c>
      <c r="C197" s="1" t="s">
        <v>3</v>
      </c>
      <c r="D197" s="1">
        <v>0</v>
      </c>
      <c r="E197" s="1">
        <v>0</v>
      </c>
      <c r="F197" s="1">
        <v>-222.8</v>
      </c>
      <c r="G197" s="1">
        <v>-1473.106</v>
      </c>
      <c r="H197" s="1">
        <v>-1403.867</v>
      </c>
      <c r="I197" s="1">
        <v>0</v>
      </c>
    </row>
    <row r="198" spans="1:9" hidden="1" x14ac:dyDescent="0.25">
      <c r="A198" s="1" t="s">
        <v>9</v>
      </c>
      <c r="B198" s="1" t="s">
        <v>158</v>
      </c>
      <c r="C198" s="1" t="s">
        <v>143</v>
      </c>
      <c r="D198" s="1">
        <v>0</v>
      </c>
      <c r="E198" s="1">
        <v>0</v>
      </c>
      <c r="F198" s="1">
        <v>-265.42</v>
      </c>
      <c r="G198" s="1">
        <v>-1757.194</v>
      </c>
      <c r="H198" s="1">
        <v>-1403.867</v>
      </c>
      <c r="I198" s="1">
        <v>0</v>
      </c>
    </row>
    <row r="199" spans="1:9" hidden="1" x14ac:dyDescent="0.25">
      <c r="A199" s="1" t="s">
        <v>9</v>
      </c>
      <c r="B199" s="1" t="s">
        <v>158</v>
      </c>
      <c r="C199" s="1" t="s">
        <v>3</v>
      </c>
      <c r="D199" s="1">
        <v>0</v>
      </c>
      <c r="E199" s="1">
        <v>0</v>
      </c>
      <c r="F199" s="1">
        <v>-265.42</v>
      </c>
      <c r="G199" s="1">
        <v>-1757.194</v>
      </c>
      <c r="H199" s="1">
        <v>-2211.3139999999999</v>
      </c>
      <c r="I199" s="1">
        <v>0</v>
      </c>
    </row>
    <row r="200" spans="1:9" hidden="1" x14ac:dyDescent="0.25">
      <c r="A200" s="1" t="s">
        <v>10</v>
      </c>
      <c r="B200" s="1" t="s">
        <v>158</v>
      </c>
      <c r="C200" s="1" t="s">
        <v>143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</row>
    <row r="201" spans="1:9" hidden="1" x14ac:dyDescent="0.25">
      <c r="A201" s="1" t="s">
        <v>10</v>
      </c>
      <c r="B201" s="1" t="s">
        <v>158</v>
      </c>
      <c r="C201" s="1" t="s">
        <v>3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</row>
    <row r="202" spans="1:9" hidden="1" x14ac:dyDescent="0.25">
      <c r="A202" s="1" t="s">
        <v>125</v>
      </c>
      <c r="B202" s="1" t="s">
        <v>159</v>
      </c>
      <c r="C202" s="1" t="s">
        <v>143</v>
      </c>
      <c r="D202" s="1">
        <v>311.89</v>
      </c>
      <c r="E202" s="1">
        <v>0</v>
      </c>
      <c r="F202" s="1">
        <v>0</v>
      </c>
      <c r="G202" s="1">
        <v>0</v>
      </c>
      <c r="H202" s="1">
        <v>1871.347</v>
      </c>
      <c r="I202" s="1">
        <v>-1871.347</v>
      </c>
    </row>
    <row r="203" spans="1:9" hidden="1" x14ac:dyDescent="0.25">
      <c r="A203" s="1" t="s">
        <v>125</v>
      </c>
      <c r="B203" s="1" t="s">
        <v>159</v>
      </c>
      <c r="C203" s="1" t="s">
        <v>3</v>
      </c>
      <c r="D203" s="1">
        <v>344.59</v>
      </c>
      <c r="E203" s="1">
        <v>0</v>
      </c>
      <c r="F203" s="1">
        <v>0</v>
      </c>
      <c r="G203" s="1">
        <v>0</v>
      </c>
      <c r="H203" s="1">
        <v>2067.5140000000001</v>
      </c>
      <c r="I203" s="1">
        <v>-2067.5140000000001</v>
      </c>
    </row>
    <row r="204" spans="1:9" hidden="1" x14ac:dyDescent="0.25">
      <c r="A204" s="1" t="s">
        <v>126</v>
      </c>
      <c r="B204" s="1" t="s">
        <v>159</v>
      </c>
      <c r="C204" s="1" t="s">
        <v>143</v>
      </c>
      <c r="D204" s="1">
        <v>656.48</v>
      </c>
      <c r="E204" s="1">
        <v>0</v>
      </c>
      <c r="F204" s="1">
        <v>0</v>
      </c>
      <c r="G204" s="1">
        <v>0</v>
      </c>
      <c r="H204" s="1">
        <v>3938.8609999999999</v>
      </c>
      <c r="I204" s="1">
        <v>-3938.8609999999999</v>
      </c>
    </row>
    <row r="205" spans="1:9" hidden="1" x14ac:dyDescent="0.25">
      <c r="A205" s="1" t="s">
        <v>126</v>
      </c>
      <c r="B205" s="1" t="s">
        <v>159</v>
      </c>
      <c r="C205" s="1" t="s">
        <v>3</v>
      </c>
      <c r="D205" s="1">
        <v>689.17</v>
      </c>
      <c r="E205" s="1">
        <v>0</v>
      </c>
      <c r="F205" s="1">
        <v>0</v>
      </c>
      <c r="G205" s="1">
        <v>0</v>
      </c>
      <c r="H205" s="1">
        <v>4135.0280000000002</v>
      </c>
      <c r="I205" s="1">
        <v>-4135.0280000000002</v>
      </c>
    </row>
    <row r="206" spans="1:9" hidden="1" x14ac:dyDescent="0.25">
      <c r="A206" s="1" t="s">
        <v>127</v>
      </c>
      <c r="B206" s="1" t="s">
        <v>159</v>
      </c>
      <c r="C206" s="1" t="s">
        <v>143</v>
      </c>
      <c r="D206" s="1">
        <v>1001.06</v>
      </c>
      <c r="E206" s="1">
        <v>0</v>
      </c>
      <c r="F206" s="1">
        <v>0</v>
      </c>
      <c r="G206" s="1">
        <v>0</v>
      </c>
      <c r="H206" s="1">
        <v>6006.375</v>
      </c>
      <c r="I206" s="1">
        <v>-6006.375</v>
      </c>
    </row>
    <row r="207" spans="1:9" hidden="1" x14ac:dyDescent="0.25">
      <c r="A207" s="1" t="s">
        <v>127</v>
      </c>
      <c r="B207" s="1" t="s">
        <v>159</v>
      </c>
      <c r="C207" s="1" t="s">
        <v>3</v>
      </c>
      <c r="D207" s="1">
        <v>1033.76</v>
      </c>
      <c r="E207" s="1">
        <v>0</v>
      </c>
      <c r="F207" s="1">
        <v>0</v>
      </c>
      <c r="G207" s="1">
        <v>0</v>
      </c>
      <c r="H207" s="1">
        <v>6202.5429999999997</v>
      </c>
      <c r="I207" s="1">
        <v>-6202.5429999999997</v>
      </c>
    </row>
    <row r="208" spans="1:9" hidden="1" x14ac:dyDescent="0.25">
      <c r="A208" s="1" t="s">
        <v>9</v>
      </c>
      <c r="B208" s="1" t="s">
        <v>159</v>
      </c>
      <c r="C208" s="1" t="s">
        <v>143</v>
      </c>
      <c r="D208" s="1">
        <v>1345.65</v>
      </c>
      <c r="E208" s="1">
        <v>0</v>
      </c>
      <c r="F208" s="1">
        <v>0</v>
      </c>
      <c r="G208" s="1">
        <v>0</v>
      </c>
      <c r="H208" s="1">
        <v>8073.8890000000001</v>
      </c>
      <c r="I208" s="1">
        <v>-8073.8890000000001</v>
      </c>
    </row>
    <row r="209" spans="1:9" hidden="1" x14ac:dyDescent="0.25">
      <c r="A209" s="1" t="s">
        <v>9</v>
      </c>
      <c r="B209" s="1" t="s">
        <v>159</v>
      </c>
      <c r="C209" s="1" t="s">
        <v>3</v>
      </c>
      <c r="D209" s="1">
        <v>1378.34</v>
      </c>
      <c r="E209" s="1">
        <v>0</v>
      </c>
      <c r="F209" s="1">
        <v>0</v>
      </c>
      <c r="G209" s="1">
        <v>0</v>
      </c>
      <c r="H209" s="1">
        <v>8270.0570000000007</v>
      </c>
      <c r="I209" s="1">
        <v>-8270.0570000000007</v>
      </c>
    </row>
    <row r="210" spans="1:9" hidden="1" x14ac:dyDescent="0.25">
      <c r="A210" s="1" t="s">
        <v>10</v>
      </c>
      <c r="B210" s="1" t="s">
        <v>159</v>
      </c>
      <c r="C210" s="1" t="s">
        <v>143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</row>
    <row r="211" spans="1:9" hidden="1" x14ac:dyDescent="0.25">
      <c r="A211" s="1" t="s">
        <v>10</v>
      </c>
      <c r="B211" s="1" t="s">
        <v>159</v>
      </c>
      <c r="C211" s="1" t="s">
        <v>3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</row>
    <row r="212" spans="1:9" hidden="1" x14ac:dyDescent="0.25">
      <c r="A212" s="1" t="s">
        <v>125</v>
      </c>
      <c r="B212" s="1" t="s">
        <v>160</v>
      </c>
      <c r="C212" s="1" t="s">
        <v>143</v>
      </c>
      <c r="D212" s="1">
        <v>336.46</v>
      </c>
      <c r="E212" s="1">
        <v>0</v>
      </c>
      <c r="F212" s="1">
        <v>0</v>
      </c>
      <c r="G212" s="1">
        <v>0</v>
      </c>
      <c r="H212" s="1">
        <v>2018.732</v>
      </c>
      <c r="I212" s="1">
        <v>-2018.732</v>
      </c>
    </row>
    <row r="213" spans="1:9" hidden="1" x14ac:dyDescent="0.25">
      <c r="A213" s="1" t="s">
        <v>125</v>
      </c>
      <c r="B213" s="1" t="s">
        <v>160</v>
      </c>
      <c r="C213" s="1" t="s">
        <v>3</v>
      </c>
      <c r="D213" s="1">
        <v>364.48</v>
      </c>
      <c r="E213" s="1">
        <v>0</v>
      </c>
      <c r="F213" s="1">
        <v>0</v>
      </c>
      <c r="G213" s="1">
        <v>0</v>
      </c>
      <c r="H213" s="1">
        <v>2186.875</v>
      </c>
      <c r="I213" s="1">
        <v>-2186.875</v>
      </c>
    </row>
    <row r="214" spans="1:9" hidden="1" x14ac:dyDescent="0.25">
      <c r="A214" s="1" t="s">
        <v>126</v>
      </c>
      <c r="B214" s="1" t="s">
        <v>160</v>
      </c>
      <c r="C214" s="1" t="s">
        <v>143</v>
      </c>
      <c r="D214" s="1">
        <v>700.93</v>
      </c>
      <c r="E214" s="1">
        <v>0</v>
      </c>
      <c r="F214" s="1">
        <v>0</v>
      </c>
      <c r="G214" s="1">
        <v>0</v>
      </c>
      <c r="H214" s="1">
        <v>4205.607</v>
      </c>
      <c r="I214" s="1">
        <v>-4205.607</v>
      </c>
    </row>
    <row r="215" spans="1:9" hidden="1" x14ac:dyDescent="0.25">
      <c r="A215" s="1" t="s">
        <v>126</v>
      </c>
      <c r="B215" s="1" t="s">
        <v>160</v>
      </c>
      <c r="C215" s="1" t="s">
        <v>3</v>
      </c>
      <c r="D215" s="1">
        <v>728.96</v>
      </c>
      <c r="E215" s="1">
        <v>0</v>
      </c>
      <c r="F215" s="1">
        <v>0</v>
      </c>
      <c r="G215" s="1">
        <v>0</v>
      </c>
      <c r="H215" s="1">
        <v>4373.75</v>
      </c>
      <c r="I215" s="1">
        <v>-4373.75</v>
      </c>
    </row>
    <row r="216" spans="1:9" hidden="1" x14ac:dyDescent="0.25">
      <c r="A216" s="1" t="s">
        <v>127</v>
      </c>
      <c r="B216" s="1" t="s">
        <v>160</v>
      </c>
      <c r="C216" s="1" t="s">
        <v>143</v>
      </c>
      <c r="D216" s="1">
        <v>1065.4100000000001</v>
      </c>
      <c r="E216" s="1">
        <v>0</v>
      </c>
      <c r="F216" s="1">
        <v>0</v>
      </c>
      <c r="G216" s="1">
        <v>0</v>
      </c>
      <c r="H216" s="1">
        <v>6392.482</v>
      </c>
      <c r="I216" s="1">
        <v>-6392.482</v>
      </c>
    </row>
    <row r="217" spans="1:9" hidden="1" x14ac:dyDescent="0.25">
      <c r="A217" s="1" t="s">
        <v>127</v>
      </c>
      <c r="B217" s="1" t="s">
        <v>160</v>
      </c>
      <c r="C217" s="1" t="s">
        <v>3</v>
      </c>
      <c r="D217" s="1">
        <v>1093.44</v>
      </c>
      <c r="E217" s="1">
        <v>0</v>
      </c>
      <c r="F217" s="1">
        <v>0</v>
      </c>
      <c r="G217" s="1">
        <v>0</v>
      </c>
      <c r="H217" s="1">
        <v>6560.625</v>
      </c>
      <c r="I217" s="1">
        <v>-6560.625</v>
      </c>
    </row>
    <row r="218" spans="1:9" hidden="1" x14ac:dyDescent="0.25">
      <c r="A218" s="1" t="s">
        <v>9</v>
      </c>
      <c r="B218" s="1" t="s">
        <v>160</v>
      </c>
      <c r="C218" s="1" t="s">
        <v>143</v>
      </c>
      <c r="D218" s="1">
        <v>1429.89</v>
      </c>
      <c r="E218" s="1">
        <v>0</v>
      </c>
      <c r="F218" s="1">
        <v>0</v>
      </c>
      <c r="G218" s="1">
        <v>0</v>
      </c>
      <c r="H218" s="1">
        <v>8579.357</v>
      </c>
      <c r="I218" s="1">
        <v>-8579.357</v>
      </c>
    </row>
    <row r="219" spans="1:9" hidden="1" x14ac:dyDescent="0.25">
      <c r="A219" s="1" t="s">
        <v>9</v>
      </c>
      <c r="B219" s="1" t="s">
        <v>160</v>
      </c>
      <c r="C219" s="1" t="s">
        <v>3</v>
      </c>
      <c r="D219" s="1">
        <v>1457.92</v>
      </c>
      <c r="E219" s="1">
        <v>0</v>
      </c>
      <c r="F219" s="1">
        <v>0</v>
      </c>
      <c r="G219" s="1">
        <v>0</v>
      </c>
      <c r="H219" s="1">
        <v>8747.5</v>
      </c>
      <c r="I219" s="1">
        <v>-8747.5</v>
      </c>
    </row>
    <row r="220" spans="1:9" hidden="1" x14ac:dyDescent="0.25">
      <c r="A220" s="1" t="s">
        <v>10</v>
      </c>
      <c r="B220" s="1" t="s">
        <v>160</v>
      </c>
      <c r="C220" s="1" t="s">
        <v>143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</row>
    <row r="221" spans="1:9" hidden="1" x14ac:dyDescent="0.25">
      <c r="A221" s="1" t="s">
        <v>10</v>
      </c>
      <c r="B221" s="1" t="s">
        <v>160</v>
      </c>
      <c r="C221" s="1" t="s">
        <v>3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</row>
    <row r="222" spans="1:9" hidden="1" x14ac:dyDescent="0.25">
      <c r="A222" s="1" t="s">
        <v>125</v>
      </c>
      <c r="B222" s="1" t="s">
        <v>161</v>
      </c>
      <c r="C222" s="1" t="s">
        <v>143</v>
      </c>
      <c r="D222" s="1">
        <v>288.94</v>
      </c>
      <c r="E222" s="1">
        <v>0</v>
      </c>
      <c r="F222" s="1">
        <v>0</v>
      </c>
      <c r="G222" s="1">
        <v>0</v>
      </c>
      <c r="H222" s="1">
        <v>1733.6120000000001</v>
      </c>
      <c r="I222" s="1">
        <v>-1733.6120000000001</v>
      </c>
    </row>
    <row r="223" spans="1:9" hidden="1" x14ac:dyDescent="0.25">
      <c r="A223" s="1" t="s">
        <v>125</v>
      </c>
      <c r="B223" s="1" t="s">
        <v>161</v>
      </c>
      <c r="C223" s="1" t="s">
        <v>3</v>
      </c>
      <c r="D223" s="1">
        <v>316.95999999999998</v>
      </c>
      <c r="E223" s="1">
        <v>0</v>
      </c>
      <c r="F223" s="1">
        <v>0</v>
      </c>
      <c r="G223" s="1">
        <v>0</v>
      </c>
      <c r="H223" s="1">
        <v>1901.7550000000001</v>
      </c>
      <c r="I223" s="1">
        <v>-1901.7550000000001</v>
      </c>
    </row>
    <row r="224" spans="1:9" hidden="1" x14ac:dyDescent="0.25">
      <c r="A224" s="1" t="s">
        <v>126</v>
      </c>
      <c r="B224" s="1" t="s">
        <v>161</v>
      </c>
      <c r="C224" s="1" t="s">
        <v>143</v>
      </c>
      <c r="D224" s="1">
        <v>605.89</v>
      </c>
      <c r="E224" s="1">
        <v>0</v>
      </c>
      <c r="F224" s="1">
        <v>0</v>
      </c>
      <c r="G224" s="1">
        <v>0</v>
      </c>
      <c r="H224" s="1">
        <v>3635.3670000000002</v>
      </c>
      <c r="I224" s="1">
        <v>-3635.3670000000002</v>
      </c>
    </row>
    <row r="225" spans="1:9" hidden="1" x14ac:dyDescent="0.25">
      <c r="A225" s="1" t="s">
        <v>126</v>
      </c>
      <c r="B225" s="1" t="s">
        <v>161</v>
      </c>
      <c r="C225" s="1" t="s">
        <v>3</v>
      </c>
      <c r="D225" s="1">
        <v>633.91999999999996</v>
      </c>
      <c r="E225" s="1">
        <v>0</v>
      </c>
      <c r="F225" s="1">
        <v>0</v>
      </c>
      <c r="G225" s="1">
        <v>0</v>
      </c>
      <c r="H225" s="1">
        <v>3803.51</v>
      </c>
      <c r="I225" s="1">
        <v>-3803.51</v>
      </c>
    </row>
    <row r="226" spans="1:9" hidden="1" x14ac:dyDescent="0.25">
      <c r="A226" s="1" t="s">
        <v>127</v>
      </c>
      <c r="B226" s="1" t="s">
        <v>161</v>
      </c>
      <c r="C226" s="1" t="s">
        <v>143</v>
      </c>
      <c r="D226" s="1">
        <v>922.85</v>
      </c>
      <c r="E226" s="1">
        <v>0</v>
      </c>
      <c r="F226" s="1">
        <v>0</v>
      </c>
      <c r="G226" s="1">
        <v>0</v>
      </c>
      <c r="H226" s="1">
        <v>5537.1220000000003</v>
      </c>
      <c r="I226" s="1">
        <v>-5537.1220000000003</v>
      </c>
    </row>
    <row r="227" spans="1:9" hidden="1" x14ac:dyDescent="0.25">
      <c r="A227" s="1" t="s">
        <v>127</v>
      </c>
      <c r="B227" s="1" t="s">
        <v>161</v>
      </c>
      <c r="C227" s="1" t="s">
        <v>3</v>
      </c>
      <c r="D227" s="1">
        <v>950.88</v>
      </c>
      <c r="E227" s="1">
        <v>0</v>
      </c>
      <c r="F227" s="1">
        <v>0</v>
      </c>
      <c r="G227" s="1">
        <v>0</v>
      </c>
      <c r="H227" s="1">
        <v>5705.2650000000003</v>
      </c>
      <c r="I227" s="1">
        <v>-5705.2650000000003</v>
      </c>
    </row>
    <row r="228" spans="1:9" hidden="1" x14ac:dyDescent="0.25">
      <c r="A228" s="1" t="s">
        <v>9</v>
      </c>
      <c r="B228" s="1" t="s">
        <v>161</v>
      </c>
      <c r="C228" s="1" t="s">
        <v>143</v>
      </c>
      <c r="D228" s="1">
        <v>1239.81</v>
      </c>
      <c r="E228" s="1">
        <v>0</v>
      </c>
      <c r="F228" s="1">
        <v>0</v>
      </c>
      <c r="G228" s="1">
        <v>0</v>
      </c>
      <c r="H228" s="1">
        <v>7438.8770000000004</v>
      </c>
      <c r="I228" s="1">
        <v>-7438.8770000000004</v>
      </c>
    </row>
    <row r="229" spans="1:9" hidden="1" x14ac:dyDescent="0.25">
      <c r="A229" s="1" t="s">
        <v>9</v>
      </c>
      <c r="B229" s="1" t="s">
        <v>161</v>
      </c>
      <c r="C229" s="1" t="s">
        <v>3</v>
      </c>
      <c r="D229" s="1">
        <v>1267.8399999999999</v>
      </c>
      <c r="E229" s="1">
        <v>0</v>
      </c>
      <c r="F229" s="1">
        <v>0</v>
      </c>
      <c r="G229" s="1">
        <v>0</v>
      </c>
      <c r="H229" s="1">
        <v>7607.02</v>
      </c>
      <c r="I229" s="1">
        <v>-7607.02</v>
      </c>
    </row>
    <row r="230" spans="1:9" hidden="1" x14ac:dyDescent="0.25">
      <c r="A230" s="1" t="s">
        <v>10</v>
      </c>
      <c r="B230" s="1" t="s">
        <v>161</v>
      </c>
      <c r="C230" s="1" t="s">
        <v>143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</row>
    <row r="231" spans="1:9" hidden="1" x14ac:dyDescent="0.25">
      <c r="A231" s="1" t="s">
        <v>10</v>
      </c>
      <c r="B231" s="1" t="s">
        <v>161</v>
      </c>
      <c r="C231" s="1" t="s">
        <v>3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</row>
    <row r="232" spans="1:9" hidden="1" x14ac:dyDescent="0.25">
      <c r="A232" s="1" t="s">
        <v>125</v>
      </c>
      <c r="B232" s="1" t="s">
        <v>162</v>
      </c>
      <c r="C232" s="1" t="s">
        <v>143</v>
      </c>
      <c r="D232" s="1">
        <v>298.95999999999998</v>
      </c>
      <c r="E232" s="1">
        <v>-99.4</v>
      </c>
      <c r="F232" s="1">
        <v>0</v>
      </c>
      <c r="G232" s="1">
        <v>656.06299999999999</v>
      </c>
      <c r="H232" s="1">
        <v>1793.7619999999999</v>
      </c>
      <c r="I232" s="1">
        <v>-1793.7619999999999</v>
      </c>
    </row>
    <row r="233" spans="1:9" hidden="1" x14ac:dyDescent="0.25">
      <c r="A233" s="1" t="s">
        <v>125</v>
      </c>
      <c r="B233" s="1" t="s">
        <v>162</v>
      </c>
      <c r="C233" s="1" t="s">
        <v>3</v>
      </c>
      <c r="D233" s="1">
        <v>328.04</v>
      </c>
      <c r="E233" s="1">
        <v>-99.4</v>
      </c>
      <c r="F233" s="1">
        <v>0</v>
      </c>
      <c r="G233" s="1">
        <v>656.06299999999999</v>
      </c>
      <c r="H233" s="1">
        <v>1968.211</v>
      </c>
      <c r="I233" s="1">
        <v>-2267.277</v>
      </c>
    </row>
    <row r="234" spans="1:9" hidden="1" x14ac:dyDescent="0.25">
      <c r="A234" s="1" t="s">
        <v>126</v>
      </c>
      <c r="B234" s="1" t="s">
        <v>162</v>
      </c>
      <c r="C234" s="1" t="s">
        <v>143</v>
      </c>
      <c r="D234" s="1">
        <v>627</v>
      </c>
      <c r="E234" s="1">
        <v>-177.77</v>
      </c>
      <c r="F234" s="1">
        <v>0</v>
      </c>
      <c r="G234" s="1">
        <v>1173.2660000000001</v>
      </c>
      <c r="H234" s="1">
        <v>3761.973</v>
      </c>
      <c r="I234" s="1">
        <v>-4061.0390000000002</v>
      </c>
    </row>
    <row r="235" spans="1:9" hidden="1" x14ac:dyDescent="0.25">
      <c r="A235" s="1" t="s">
        <v>126</v>
      </c>
      <c r="B235" s="1" t="s">
        <v>162</v>
      </c>
      <c r="C235" s="1" t="s">
        <v>3</v>
      </c>
      <c r="D235" s="1">
        <v>656.07</v>
      </c>
      <c r="E235" s="1">
        <v>-177.77</v>
      </c>
      <c r="F235" s="1">
        <v>0</v>
      </c>
      <c r="G235" s="1">
        <v>1173.2660000000001</v>
      </c>
      <c r="H235" s="1">
        <v>3936.422</v>
      </c>
      <c r="I235" s="1">
        <v>-4771.7290000000003</v>
      </c>
    </row>
    <row r="236" spans="1:9" hidden="1" x14ac:dyDescent="0.25">
      <c r="A236" s="1" t="s">
        <v>127</v>
      </c>
      <c r="B236" s="1" t="s">
        <v>162</v>
      </c>
      <c r="C236" s="1" t="s">
        <v>143</v>
      </c>
      <c r="D236" s="1">
        <v>955.03</v>
      </c>
      <c r="E236" s="1">
        <v>-230.01</v>
      </c>
      <c r="F236" s="1">
        <v>0</v>
      </c>
      <c r="G236" s="1">
        <v>1518.068</v>
      </c>
      <c r="H236" s="1">
        <v>5730.1840000000002</v>
      </c>
      <c r="I236" s="1">
        <v>-6565.491</v>
      </c>
    </row>
    <row r="237" spans="1:9" hidden="1" x14ac:dyDescent="0.25">
      <c r="A237" s="1" t="s">
        <v>127</v>
      </c>
      <c r="B237" s="1" t="s">
        <v>162</v>
      </c>
      <c r="C237" s="1" t="s">
        <v>3</v>
      </c>
      <c r="D237" s="1">
        <v>984.11</v>
      </c>
      <c r="E237" s="1">
        <v>-230.01</v>
      </c>
      <c r="F237" s="1">
        <v>0</v>
      </c>
      <c r="G237" s="1">
        <v>1518.068</v>
      </c>
      <c r="H237" s="1">
        <v>5904.6329999999998</v>
      </c>
      <c r="I237" s="1">
        <v>-7436.4229999999998</v>
      </c>
    </row>
    <row r="238" spans="1:9" hidden="1" x14ac:dyDescent="0.25">
      <c r="A238" s="1" t="s">
        <v>9</v>
      </c>
      <c r="B238" s="1" t="s">
        <v>162</v>
      </c>
      <c r="C238" s="1" t="s">
        <v>143</v>
      </c>
      <c r="D238" s="1">
        <v>1283.07</v>
      </c>
      <c r="E238" s="1">
        <v>-256.13</v>
      </c>
      <c r="F238" s="1">
        <v>0</v>
      </c>
      <c r="G238" s="1">
        <v>1690.4690000000001</v>
      </c>
      <c r="H238" s="1">
        <v>7698.3950000000004</v>
      </c>
      <c r="I238" s="1">
        <v>-9230.1849999999995</v>
      </c>
    </row>
    <row r="239" spans="1:9" hidden="1" x14ac:dyDescent="0.25">
      <c r="A239" s="1" t="s">
        <v>9</v>
      </c>
      <c r="B239" s="1" t="s">
        <v>162</v>
      </c>
      <c r="C239" s="1" t="s">
        <v>3</v>
      </c>
      <c r="D239" s="1">
        <v>1312.14</v>
      </c>
      <c r="E239" s="1">
        <v>-256.13</v>
      </c>
      <c r="F239" s="1">
        <v>0</v>
      </c>
      <c r="G239" s="1">
        <v>1690.4690000000001</v>
      </c>
      <c r="H239" s="1">
        <v>7872.8440000000001</v>
      </c>
      <c r="I239" s="1">
        <v>-10189.349</v>
      </c>
    </row>
    <row r="240" spans="1:9" hidden="1" x14ac:dyDescent="0.25">
      <c r="A240" s="1" t="s">
        <v>10</v>
      </c>
      <c r="B240" s="1" t="s">
        <v>162</v>
      </c>
      <c r="C240" s="1" t="s">
        <v>143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</row>
    <row r="241" spans="1:9" hidden="1" x14ac:dyDescent="0.25">
      <c r="A241" s="1" t="s">
        <v>10</v>
      </c>
      <c r="B241" s="1" t="s">
        <v>162</v>
      </c>
      <c r="C241" s="1" t="s">
        <v>3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</row>
    <row r="242" spans="1:9" hidden="1" x14ac:dyDescent="0.25">
      <c r="A242" s="1" t="s">
        <v>125</v>
      </c>
      <c r="B242" s="1" t="s">
        <v>163</v>
      </c>
      <c r="C242" s="1" t="s">
        <v>143</v>
      </c>
      <c r="D242" s="1">
        <v>298.95999999999998</v>
      </c>
      <c r="E242" s="1">
        <v>-99.4</v>
      </c>
      <c r="F242" s="1">
        <v>0</v>
      </c>
      <c r="G242" s="1">
        <v>536.779</v>
      </c>
      <c r="H242" s="1">
        <v>1793.7619999999999</v>
      </c>
      <c r="I242" s="1">
        <v>-1793.7619999999999</v>
      </c>
    </row>
    <row r="243" spans="1:9" hidden="1" x14ac:dyDescent="0.25">
      <c r="A243" s="1" t="s">
        <v>125</v>
      </c>
      <c r="B243" s="1" t="s">
        <v>163</v>
      </c>
      <c r="C243" s="1" t="s">
        <v>3</v>
      </c>
      <c r="D243" s="1">
        <v>328.04</v>
      </c>
      <c r="E243" s="1">
        <v>-99.4</v>
      </c>
      <c r="F243" s="1">
        <v>0</v>
      </c>
      <c r="G243" s="1">
        <v>536.779</v>
      </c>
      <c r="H243" s="1">
        <v>1968.211</v>
      </c>
      <c r="I243" s="1">
        <v>-2267.277</v>
      </c>
    </row>
    <row r="244" spans="1:9" hidden="1" x14ac:dyDescent="0.25">
      <c r="A244" s="1" t="s">
        <v>126</v>
      </c>
      <c r="B244" s="1" t="s">
        <v>163</v>
      </c>
      <c r="C244" s="1" t="s">
        <v>143</v>
      </c>
      <c r="D244" s="1">
        <v>627</v>
      </c>
      <c r="E244" s="1">
        <v>-177.77</v>
      </c>
      <c r="F244" s="1">
        <v>0</v>
      </c>
      <c r="G244" s="1">
        <v>959.94500000000005</v>
      </c>
      <c r="H244" s="1">
        <v>3761.973</v>
      </c>
      <c r="I244" s="1">
        <v>-4061.0390000000002</v>
      </c>
    </row>
    <row r="245" spans="1:9" hidden="1" x14ac:dyDescent="0.25">
      <c r="A245" s="1" t="s">
        <v>126</v>
      </c>
      <c r="B245" s="1" t="s">
        <v>163</v>
      </c>
      <c r="C245" s="1" t="s">
        <v>3</v>
      </c>
      <c r="D245" s="1">
        <v>656.07</v>
      </c>
      <c r="E245" s="1">
        <v>-177.77</v>
      </c>
      <c r="F245" s="1">
        <v>0</v>
      </c>
      <c r="G245" s="1">
        <v>959.94500000000005</v>
      </c>
      <c r="H245" s="1">
        <v>3936.422</v>
      </c>
      <c r="I245" s="1">
        <v>-4771.7290000000003</v>
      </c>
    </row>
    <row r="246" spans="1:9" hidden="1" x14ac:dyDescent="0.25">
      <c r="A246" s="1" t="s">
        <v>127</v>
      </c>
      <c r="B246" s="1" t="s">
        <v>163</v>
      </c>
      <c r="C246" s="1" t="s">
        <v>143</v>
      </c>
      <c r="D246" s="1">
        <v>955.03</v>
      </c>
      <c r="E246" s="1">
        <v>-230.01</v>
      </c>
      <c r="F246" s="1">
        <v>0</v>
      </c>
      <c r="G246" s="1">
        <v>1242.056</v>
      </c>
      <c r="H246" s="1">
        <v>5730.1840000000002</v>
      </c>
      <c r="I246" s="1">
        <v>-6565.491</v>
      </c>
    </row>
    <row r="247" spans="1:9" hidden="1" x14ac:dyDescent="0.25">
      <c r="A247" s="1" t="s">
        <v>127</v>
      </c>
      <c r="B247" s="1" t="s">
        <v>163</v>
      </c>
      <c r="C247" s="1" t="s">
        <v>3</v>
      </c>
      <c r="D247" s="1">
        <v>984.11</v>
      </c>
      <c r="E247" s="1">
        <v>-230.01</v>
      </c>
      <c r="F247" s="1">
        <v>0</v>
      </c>
      <c r="G247" s="1">
        <v>1242.056</v>
      </c>
      <c r="H247" s="1">
        <v>5904.6329999999998</v>
      </c>
      <c r="I247" s="1">
        <v>-7436.4229999999998</v>
      </c>
    </row>
    <row r="248" spans="1:9" hidden="1" x14ac:dyDescent="0.25">
      <c r="A248" s="1" t="s">
        <v>9</v>
      </c>
      <c r="B248" s="1" t="s">
        <v>163</v>
      </c>
      <c r="C248" s="1" t="s">
        <v>143</v>
      </c>
      <c r="D248" s="1">
        <v>1283.07</v>
      </c>
      <c r="E248" s="1">
        <v>-256.13</v>
      </c>
      <c r="F248" s="1">
        <v>0</v>
      </c>
      <c r="G248" s="1">
        <v>1383.1110000000001</v>
      </c>
      <c r="H248" s="1">
        <v>7698.3950000000004</v>
      </c>
      <c r="I248" s="1">
        <v>-9230.1849999999995</v>
      </c>
    </row>
    <row r="249" spans="1:9" hidden="1" x14ac:dyDescent="0.25">
      <c r="A249" s="1" t="s">
        <v>9</v>
      </c>
      <c r="B249" s="1" t="s">
        <v>163</v>
      </c>
      <c r="C249" s="1" t="s">
        <v>3</v>
      </c>
      <c r="D249" s="1">
        <v>1312.14</v>
      </c>
      <c r="E249" s="1">
        <v>-256.13</v>
      </c>
      <c r="F249" s="1">
        <v>0</v>
      </c>
      <c r="G249" s="1">
        <v>1383.1110000000001</v>
      </c>
      <c r="H249" s="1">
        <v>7872.8440000000001</v>
      </c>
      <c r="I249" s="1">
        <v>-10189.349</v>
      </c>
    </row>
    <row r="250" spans="1:9" hidden="1" x14ac:dyDescent="0.25">
      <c r="A250" s="1" t="s">
        <v>10</v>
      </c>
      <c r="B250" s="1" t="s">
        <v>163</v>
      </c>
      <c r="C250" s="1" t="s">
        <v>143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10</v>
      </c>
      <c r="B251" s="1" t="s">
        <v>163</v>
      </c>
      <c r="C251" s="1" t="s">
        <v>3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125</v>
      </c>
      <c r="B252" s="1" t="s">
        <v>164</v>
      </c>
      <c r="C252" s="1" t="s">
        <v>143</v>
      </c>
      <c r="D252" s="1">
        <v>298.95999999999998</v>
      </c>
      <c r="E252" s="1">
        <v>99.4</v>
      </c>
      <c r="F252" s="1">
        <v>0</v>
      </c>
      <c r="G252" s="1">
        <v>-656.06299999999999</v>
      </c>
      <c r="H252" s="1">
        <v>1793.7619999999999</v>
      </c>
      <c r="I252" s="1">
        <v>-1793.7619999999999</v>
      </c>
    </row>
    <row r="253" spans="1:9" hidden="1" x14ac:dyDescent="0.25">
      <c r="A253" s="1" t="s">
        <v>125</v>
      </c>
      <c r="B253" s="1" t="s">
        <v>164</v>
      </c>
      <c r="C253" s="1" t="s">
        <v>3</v>
      </c>
      <c r="D253" s="1">
        <v>328.04</v>
      </c>
      <c r="E253" s="1">
        <v>99.4</v>
      </c>
      <c r="F253" s="1">
        <v>0</v>
      </c>
      <c r="G253" s="1">
        <v>-656.06299999999999</v>
      </c>
      <c r="H253" s="1">
        <v>1968.211</v>
      </c>
      <c r="I253" s="1">
        <v>-1669.144</v>
      </c>
    </row>
    <row r="254" spans="1:9" hidden="1" x14ac:dyDescent="0.25">
      <c r="A254" s="1" t="s">
        <v>126</v>
      </c>
      <c r="B254" s="1" t="s">
        <v>164</v>
      </c>
      <c r="C254" s="1" t="s">
        <v>143</v>
      </c>
      <c r="D254" s="1">
        <v>627</v>
      </c>
      <c r="E254" s="1">
        <v>177.77</v>
      </c>
      <c r="F254" s="1">
        <v>0</v>
      </c>
      <c r="G254" s="1">
        <v>-1173.2660000000001</v>
      </c>
      <c r="H254" s="1">
        <v>3761.973</v>
      </c>
      <c r="I254" s="1">
        <v>-3462.9059999999999</v>
      </c>
    </row>
    <row r="255" spans="1:9" hidden="1" x14ac:dyDescent="0.25">
      <c r="A255" s="1" t="s">
        <v>126</v>
      </c>
      <c r="B255" s="1" t="s">
        <v>164</v>
      </c>
      <c r="C255" s="1" t="s">
        <v>3</v>
      </c>
      <c r="D255" s="1">
        <v>656.07</v>
      </c>
      <c r="E255" s="1">
        <v>177.77</v>
      </c>
      <c r="F255" s="1">
        <v>0</v>
      </c>
      <c r="G255" s="1">
        <v>-1173.2660000000001</v>
      </c>
      <c r="H255" s="1">
        <v>3936.422</v>
      </c>
      <c r="I255" s="1">
        <v>-3101.114</v>
      </c>
    </row>
    <row r="256" spans="1:9" hidden="1" x14ac:dyDescent="0.25">
      <c r="A256" s="1" t="s">
        <v>127</v>
      </c>
      <c r="B256" s="1" t="s">
        <v>164</v>
      </c>
      <c r="C256" s="1" t="s">
        <v>143</v>
      </c>
      <c r="D256" s="1">
        <v>955.03</v>
      </c>
      <c r="E256" s="1">
        <v>230.01</v>
      </c>
      <c r="F256" s="1">
        <v>0</v>
      </c>
      <c r="G256" s="1">
        <v>-1518.068</v>
      </c>
      <c r="H256" s="1">
        <v>5730.1840000000002</v>
      </c>
      <c r="I256" s="1">
        <v>-4894.8760000000002</v>
      </c>
    </row>
    <row r="257" spans="1:9" hidden="1" x14ac:dyDescent="0.25">
      <c r="A257" s="1" t="s">
        <v>127</v>
      </c>
      <c r="B257" s="1" t="s">
        <v>164</v>
      </c>
      <c r="C257" s="1" t="s">
        <v>3</v>
      </c>
      <c r="D257" s="1">
        <v>984.11</v>
      </c>
      <c r="E257" s="1">
        <v>230.01</v>
      </c>
      <c r="F257" s="1">
        <v>0</v>
      </c>
      <c r="G257" s="1">
        <v>-1518.068</v>
      </c>
      <c r="H257" s="1">
        <v>5904.6329999999998</v>
      </c>
      <c r="I257" s="1">
        <v>-4372.8419999999996</v>
      </c>
    </row>
    <row r="258" spans="1:9" hidden="1" x14ac:dyDescent="0.25">
      <c r="A258" s="1" t="s">
        <v>9</v>
      </c>
      <c r="B258" s="1" t="s">
        <v>164</v>
      </c>
      <c r="C258" s="1" t="s">
        <v>143</v>
      </c>
      <c r="D258" s="1">
        <v>1283.07</v>
      </c>
      <c r="E258" s="1">
        <v>256.13</v>
      </c>
      <c r="F258" s="1">
        <v>0</v>
      </c>
      <c r="G258" s="1">
        <v>-1690.4690000000001</v>
      </c>
      <c r="H258" s="1">
        <v>7698.3950000000004</v>
      </c>
      <c r="I258" s="1">
        <v>-6166.6040000000003</v>
      </c>
    </row>
    <row r="259" spans="1:9" hidden="1" x14ac:dyDescent="0.25">
      <c r="A259" s="1" t="s">
        <v>9</v>
      </c>
      <c r="B259" s="1" t="s">
        <v>164</v>
      </c>
      <c r="C259" s="1" t="s">
        <v>3</v>
      </c>
      <c r="D259" s="1">
        <v>1312.14</v>
      </c>
      <c r="E259" s="1">
        <v>256.13</v>
      </c>
      <c r="F259" s="1">
        <v>0</v>
      </c>
      <c r="G259" s="1">
        <v>-1690.4690000000001</v>
      </c>
      <c r="H259" s="1">
        <v>7872.8440000000001</v>
      </c>
      <c r="I259" s="1">
        <v>-5556.3379999999997</v>
      </c>
    </row>
    <row r="260" spans="1:9" hidden="1" x14ac:dyDescent="0.25">
      <c r="A260" s="1" t="s">
        <v>10</v>
      </c>
      <c r="B260" s="1" t="s">
        <v>164</v>
      </c>
      <c r="C260" s="1" t="s">
        <v>143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10</v>
      </c>
      <c r="B261" s="1" t="s">
        <v>164</v>
      </c>
      <c r="C261" s="1" t="s">
        <v>3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125</v>
      </c>
      <c r="B262" s="1" t="s">
        <v>165</v>
      </c>
      <c r="C262" s="1" t="s">
        <v>143</v>
      </c>
      <c r="D262" s="1">
        <v>298.95999999999998</v>
      </c>
      <c r="E262" s="1">
        <v>99.4</v>
      </c>
      <c r="F262" s="1">
        <v>0</v>
      </c>
      <c r="G262" s="1">
        <v>-536.779</v>
      </c>
      <c r="H262" s="1">
        <v>1793.7619999999999</v>
      </c>
      <c r="I262" s="1">
        <v>-1793.7619999999999</v>
      </c>
    </row>
    <row r="263" spans="1:9" hidden="1" x14ac:dyDescent="0.25">
      <c r="A263" s="1" t="s">
        <v>125</v>
      </c>
      <c r="B263" s="1" t="s">
        <v>165</v>
      </c>
      <c r="C263" s="1" t="s">
        <v>3</v>
      </c>
      <c r="D263" s="1">
        <v>328.04</v>
      </c>
      <c r="E263" s="1">
        <v>99.4</v>
      </c>
      <c r="F263" s="1">
        <v>0</v>
      </c>
      <c r="G263" s="1">
        <v>-536.779</v>
      </c>
      <c r="H263" s="1">
        <v>1968.211</v>
      </c>
      <c r="I263" s="1">
        <v>-1669.144</v>
      </c>
    </row>
    <row r="264" spans="1:9" hidden="1" x14ac:dyDescent="0.25">
      <c r="A264" s="1" t="s">
        <v>126</v>
      </c>
      <c r="B264" s="1" t="s">
        <v>165</v>
      </c>
      <c r="C264" s="1" t="s">
        <v>143</v>
      </c>
      <c r="D264" s="1">
        <v>627</v>
      </c>
      <c r="E264" s="1">
        <v>177.77</v>
      </c>
      <c r="F264" s="1">
        <v>0</v>
      </c>
      <c r="G264" s="1">
        <v>-959.94500000000005</v>
      </c>
      <c r="H264" s="1">
        <v>3761.973</v>
      </c>
      <c r="I264" s="1">
        <v>-3462.9059999999999</v>
      </c>
    </row>
    <row r="265" spans="1:9" hidden="1" x14ac:dyDescent="0.25">
      <c r="A265" s="1" t="s">
        <v>126</v>
      </c>
      <c r="B265" s="1" t="s">
        <v>165</v>
      </c>
      <c r="C265" s="1" t="s">
        <v>3</v>
      </c>
      <c r="D265" s="1">
        <v>656.07</v>
      </c>
      <c r="E265" s="1">
        <v>177.77</v>
      </c>
      <c r="F265" s="1">
        <v>0</v>
      </c>
      <c r="G265" s="1">
        <v>-959.94500000000005</v>
      </c>
      <c r="H265" s="1">
        <v>3936.422</v>
      </c>
      <c r="I265" s="1">
        <v>-3101.114</v>
      </c>
    </row>
    <row r="266" spans="1:9" hidden="1" x14ac:dyDescent="0.25">
      <c r="A266" s="1" t="s">
        <v>127</v>
      </c>
      <c r="B266" s="1" t="s">
        <v>165</v>
      </c>
      <c r="C266" s="1" t="s">
        <v>143</v>
      </c>
      <c r="D266" s="1">
        <v>955.03</v>
      </c>
      <c r="E266" s="1">
        <v>230.01</v>
      </c>
      <c r="F266" s="1">
        <v>0</v>
      </c>
      <c r="G266" s="1">
        <v>-1242.056</v>
      </c>
      <c r="H266" s="1">
        <v>5730.1840000000002</v>
      </c>
      <c r="I266" s="1">
        <v>-4894.8760000000002</v>
      </c>
    </row>
    <row r="267" spans="1:9" hidden="1" x14ac:dyDescent="0.25">
      <c r="A267" s="1" t="s">
        <v>127</v>
      </c>
      <c r="B267" s="1" t="s">
        <v>165</v>
      </c>
      <c r="C267" s="1" t="s">
        <v>3</v>
      </c>
      <c r="D267" s="1">
        <v>984.11</v>
      </c>
      <c r="E267" s="1">
        <v>230.01</v>
      </c>
      <c r="F267" s="1">
        <v>0</v>
      </c>
      <c r="G267" s="1">
        <v>-1242.056</v>
      </c>
      <c r="H267" s="1">
        <v>5904.6329999999998</v>
      </c>
      <c r="I267" s="1">
        <v>-4372.8419999999996</v>
      </c>
    </row>
    <row r="268" spans="1:9" hidden="1" x14ac:dyDescent="0.25">
      <c r="A268" s="1" t="s">
        <v>9</v>
      </c>
      <c r="B268" s="1" t="s">
        <v>165</v>
      </c>
      <c r="C268" s="1" t="s">
        <v>143</v>
      </c>
      <c r="D268" s="1">
        <v>1283.07</v>
      </c>
      <c r="E268" s="1">
        <v>256.13</v>
      </c>
      <c r="F268" s="1">
        <v>0</v>
      </c>
      <c r="G268" s="1">
        <v>-1383.1110000000001</v>
      </c>
      <c r="H268" s="1">
        <v>7698.3950000000004</v>
      </c>
      <c r="I268" s="1">
        <v>-6166.6040000000003</v>
      </c>
    </row>
    <row r="269" spans="1:9" hidden="1" x14ac:dyDescent="0.25">
      <c r="A269" s="1" t="s">
        <v>9</v>
      </c>
      <c r="B269" s="1" t="s">
        <v>165</v>
      </c>
      <c r="C269" s="1" t="s">
        <v>3</v>
      </c>
      <c r="D269" s="1">
        <v>1312.14</v>
      </c>
      <c r="E269" s="1">
        <v>256.13</v>
      </c>
      <c r="F269" s="1">
        <v>0</v>
      </c>
      <c r="G269" s="1">
        <v>-1383.1110000000001</v>
      </c>
      <c r="H269" s="1">
        <v>7872.8440000000001</v>
      </c>
      <c r="I269" s="1">
        <v>-5556.3379999999997</v>
      </c>
    </row>
    <row r="270" spans="1:9" hidden="1" x14ac:dyDescent="0.25">
      <c r="A270" s="1" t="s">
        <v>10</v>
      </c>
      <c r="B270" s="1" t="s">
        <v>165</v>
      </c>
      <c r="C270" s="1" t="s">
        <v>143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10</v>
      </c>
      <c r="B271" s="1" t="s">
        <v>165</v>
      </c>
      <c r="C271" s="1" t="s">
        <v>3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125</v>
      </c>
      <c r="B272" s="1" t="s">
        <v>166</v>
      </c>
      <c r="C272" s="1" t="s">
        <v>143</v>
      </c>
      <c r="D272" s="1">
        <v>298.95999999999998</v>
      </c>
      <c r="E272" s="1">
        <v>0</v>
      </c>
      <c r="F272" s="1">
        <v>-99.4</v>
      </c>
      <c r="G272" s="1">
        <v>-656.06299999999999</v>
      </c>
      <c r="H272" s="1">
        <v>1793.7619999999999</v>
      </c>
      <c r="I272" s="1">
        <v>-1793.7619999999999</v>
      </c>
    </row>
    <row r="273" spans="1:9" hidden="1" x14ac:dyDescent="0.25">
      <c r="A273" s="1" t="s">
        <v>125</v>
      </c>
      <c r="B273" s="1" t="s">
        <v>166</v>
      </c>
      <c r="C273" s="1" t="s">
        <v>3</v>
      </c>
      <c r="D273" s="1">
        <v>328.04</v>
      </c>
      <c r="E273" s="1">
        <v>0</v>
      </c>
      <c r="F273" s="1">
        <v>-99.4</v>
      </c>
      <c r="G273" s="1">
        <v>-656.06299999999999</v>
      </c>
      <c r="H273" s="1">
        <v>2267.277</v>
      </c>
      <c r="I273" s="1">
        <v>-1968.211</v>
      </c>
    </row>
    <row r="274" spans="1:9" hidden="1" x14ac:dyDescent="0.25">
      <c r="A274" s="1" t="s">
        <v>126</v>
      </c>
      <c r="B274" s="1" t="s">
        <v>166</v>
      </c>
      <c r="C274" s="1" t="s">
        <v>143</v>
      </c>
      <c r="D274" s="1">
        <v>627</v>
      </c>
      <c r="E274" s="1">
        <v>0</v>
      </c>
      <c r="F274" s="1">
        <v>-177.77</v>
      </c>
      <c r="G274" s="1">
        <v>-1173.2660000000001</v>
      </c>
      <c r="H274" s="1">
        <v>4061.0390000000002</v>
      </c>
      <c r="I274" s="1">
        <v>-3761.973</v>
      </c>
    </row>
    <row r="275" spans="1:9" hidden="1" x14ac:dyDescent="0.25">
      <c r="A275" s="1" t="s">
        <v>126</v>
      </c>
      <c r="B275" s="1" t="s">
        <v>166</v>
      </c>
      <c r="C275" s="1" t="s">
        <v>3</v>
      </c>
      <c r="D275" s="1">
        <v>656.07</v>
      </c>
      <c r="E275" s="1">
        <v>0</v>
      </c>
      <c r="F275" s="1">
        <v>-177.77</v>
      </c>
      <c r="G275" s="1">
        <v>-1173.2660000000001</v>
      </c>
      <c r="H275" s="1">
        <v>4771.7290000000003</v>
      </c>
      <c r="I275" s="1">
        <v>-3936.422</v>
      </c>
    </row>
    <row r="276" spans="1:9" hidden="1" x14ac:dyDescent="0.25">
      <c r="A276" s="1" t="s">
        <v>127</v>
      </c>
      <c r="B276" s="1" t="s">
        <v>166</v>
      </c>
      <c r="C276" s="1" t="s">
        <v>143</v>
      </c>
      <c r="D276" s="1">
        <v>955.03</v>
      </c>
      <c r="E276" s="1">
        <v>0</v>
      </c>
      <c r="F276" s="1">
        <v>-230.01</v>
      </c>
      <c r="G276" s="1">
        <v>-1518.068</v>
      </c>
      <c r="H276" s="1">
        <v>6565.491</v>
      </c>
      <c r="I276" s="1">
        <v>-5730.1840000000002</v>
      </c>
    </row>
    <row r="277" spans="1:9" hidden="1" x14ac:dyDescent="0.25">
      <c r="A277" s="1" t="s">
        <v>127</v>
      </c>
      <c r="B277" s="1" t="s">
        <v>166</v>
      </c>
      <c r="C277" s="1" t="s">
        <v>3</v>
      </c>
      <c r="D277" s="1">
        <v>984.11</v>
      </c>
      <c r="E277" s="1">
        <v>0</v>
      </c>
      <c r="F277" s="1">
        <v>-230.01</v>
      </c>
      <c r="G277" s="1">
        <v>-1518.068</v>
      </c>
      <c r="H277" s="1">
        <v>7436.4229999999998</v>
      </c>
      <c r="I277" s="1">
        <v>-5904.6329999999998</v>
      </c>
    </row>
    <row r="278" spans="1:9" hidden="1" x14ac:dyDescent="0.25">
      <c r="A278" s="1" t="s">
        <v>9</v>
      </c>
      <c r="B278" s="1" t="s">
        <v>166</v>
      </c>
      <c r="C278" s="1" t="s">
        <v>143</v>
      </c>
      <c r="D278" s="1">
        <v>1283.07</v>
      </c>
      <c r="E278" s="1">
        <v>0</v>
      </c>
      <c r="F278" s="1">
        <v>-256.13</v>
      </c>
      <c r="G278" s="1">
        <v>-1690.4690000000001</v>
      </c>
      <c r="H278" s="1">
        <v>9230.1849999999995</v>
      </c>
      <c r="I278" s="1">
        <v>-7698.3950000000004</v>
      </c>
    </row>
    <row r="279" spans="1:9" hidden="1" x14ac:dyDescent="0.25">
      <c r="A279" s="1" t="s">
        <v>9</v>
      </c>
      <c r="B279" s="1" t="s">
        <v>166</v>
      </c>
      <c r="C279" s="1" t="s">
        <v>3</v>
      </c>
      <c r="D279" s="1">
        <v>1312.14</v>
      </c>
      <c r="E279" s="1">
        <v>0</v>
      </c>
      <c r="F279" s="1">
        <v>-256.13</v>
      </c>
      <c r="G279" s="1">
        <v>-1690.4690000000001</v>
      </c>
      <c r="H279" s="1">
        <v>10189.349</v>
      </c>
      <c r="I279" s="1">
        <v>-7872.8440000000001</v>
      </c>
    </row>
    <row r="280" spans="1:9" hidden="1" x14ac:dyDescent="0.25">
      <c r="A280" s="1" t="s">
        <v>10</v>
      </c>
      <c r="B280" s="1" t="s">
        <v>166</v>
      </c>
      <c r="C280" s="1" t="s">
        <v>143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10</v>
      </c>
      <c r="B281" s="1" t="s">
        <v>166</v>
      </c>
      <c r="C281" s="1" t="s">
        <v>3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125</v>
      </c>
      <c r="B282" s="1" t="s">
        <v>167</v>
      </c>
      <c r="C282" s="1" t="s">
        <v>143</v>
      </c>
      <c r="D282" s="1">
        <v>298.95999999999998</v>
      </c>
      <c r="E282" s="1">
        <v>0</v>
      </c>
      <c r="F282" s="1">
        <v>-99.4</v>
      </c>
      <c r="G282" s="1">
        <v>-536.779</v>
      </c>
      <c r="H282" s="1">
        <v>1793.7619999999999</v>
      </c>
      <c r="I282" s="1">
        <v>-1793.7619999999999</v>
      </c>
    </row>
    <row r="283" spans="1:9" hidden="1" x14ac:dyDescent="0.25">
      <c r="A283" s="1" t="s">
        <v>125</v>
      </c>
      <c r="B283" s="1" t="s">
        <v>167</v>
      </c>
      <c r="C283" s="1" t="s">
        <v>3</v>
      </c>
      <c r="D283" s="1">
        <v>328.04</v>
      </c>
      <c r="E283" s="1">
        <v>0</v>
      </c>
      <c r="F283" s="1">
        <v>-99.4</v>
      </c>
      <c r="G283" s="1">
        <v>-536.779</v>
      </c>
      <c r="H283" s="1">
        <v>2267.277</v>
      </c>
      <c r="I283" s="1">
        <v>-1968.211</v>
      </c>
    </row>
    <row r="284" spans="1:9" hidden="1" x14ac:dyDescent="0.25">
      <c r="A284" s="1" t="s">
        <v>126</v>
      </c>
      <c r="B284" s="1" t="s">
        <v>167</v>
      </c>
      <c r="C284" s="1" t="s">
        <v>143</v>
      </c>
      <c r="D284" s="1">
        <v>627</v>
      </c>
      <c r="E284" s="1">
        <v>0</v>
      </c>
      <c r="F284" s="1">
        <v>-177.77</v>
      </c>
      <c r="G284" s="1">
        <v>-959.94500000000005</v>
      </c>
      <c r="H284" s="1">
        <v>4061.0390000000002</v>
      </c>
      <c r="I284" s="1">
        <v>-3761.973</v>
      </c>
    </row>
    <row r="285" spans="1:9" hidden="1" x14ac:dyDescent="0.25">
      <c r="A285" s="1" t="s">
        <v>126</v>
      </c>
      <c r="B285" s="1" t="s">
        <v>167</v>
      </c>
      <c r="C285" s="1" t="s">
        <v>3</v>
      </c>
      <c r="D285" s="1">
        <v>656.07</v>
      </c>
      <c r="E285" s="1">
        <v>0</v>
      </c>
      <c r="F285" s="1">
        <v>-177.77</v>
      </c>
      <c r="G285" s="1">
        <v>-959.94500000000005</v>
      </c>
      <c r="H285" s="1">
        <v>4771.7290000000003</v>
      </c>
      <c r="I285" s="1">
        <v>-3936.422</v>
      </c>
    </row>
    <row r="286" spans="1:9" hidden="1" x14ac:dyDescent="0.25">
      <c r="A286" s="1" t="s">
        <v>127</v>
      </c>
      <c r="B286" s="1" t="s">
        <v>167</v>
      </c>
      <c r="C286" s="1" t="s">
        <v>143</v>
      </c>
      <c r="D286" s="1">
        <v>955.03</v>
      </c>
      <c r="E286" s="1">
        <v>0</v>
      </c>
      <c r="F286" s="1">
        <v>-230.01</v>
      </c>
      <c r="G286" s="1">
        <v>-1242.056</v>
      </c>
      <c r="H286" s="1">
        <v>6565.491</v>
      </c>
      <c r="I286" s="1">
        <v>-5730.1840000000002</v>
      </c>
    </row>
    <row r="287" spans="1:9" hidden="1" x14ac:dyDescent="0.25">
      <c r="A287" s="1" t="s">
        <v>127</v>
      </c>
      <c r="B287" s="1" t="s">
        <v>167</v>
      </c>
      <c r="C287" s="1" t="s">
        <v>3</v>
      </c>
      <c r="D287" s="1">
        <v>984.11</v>
      </c>
      <c r="E287" s="1">
        <v>0</v>
      </c>
      <c r="F287" s="1">
        <v>-230.01</v>
      </c>
      <c r="G287" s="1">
        <v>-1242.056</v>
      </c>
      <c r="H287" s="1">
        <v>7436.4229999999998</v>
      </c>
      <c r="I287" s="1">
        <v>-5904.6329999999998</v>
      </c>
    </row>
    <row r="288" spans="1:9" hidden="1" x14ac:dyDescent="0.25">
      <c r="A288" s="1" t="s">
        <v>9</v>
      </c>
      <c r="B288" s="1" t="s">
        <v>167</v>
      </c>
      <c r="C288" s="1" t="s">
        <v>143</v>
      </c>
      <c r="D288" s="1">
        <v>1283.07</v>
      </c>
      <c r="E288" s="1">
        <v>0</v>
      </c>
      <c r="F288" s="1">
        <v>-256.13</v>
      </c>
      <c r="G288" s="1">
        <v>-1383.1110000000001</v>
      </c>
      <c r="H288" s="1">
        <v>9230.1849999999995</v>
      </c>
      <c r="I288" s="1">
        <v>-7698.3950000000004</v>
      </c>
    </row>
    <row r="289" spans="1:9" hidden="1" x14ac:dyDescent="0.25">
      <c r="A289" s="1" t="s">
        <v>9</v>
      </c>
      <c r="B289" s="1" t="s">
        <v>167</v>
      </c>
      <c r="C289" s="1" t="s">
        <v>3</v>
      </c>
      <c r="D289" s="1">
        <v>1312.14</v>
      </c>
      <c r="E289" s="1">
        <v>0</v>
      </c>
      <c r="F289" s="1">
        <v>-256.13</v>
      </c>
      <c r="G289" s="1">
        <v>-1383.1110000000001</v>
      </c>
      <c r="H289" s="1">
        <v>10189.349</v>
      </c>
      <c r="I289" s="1">
        <v>-7872.8440000000001</v>
      </c>
    </row>
    <row r="290" spans="1:9" hidden="1" x14ac:dyDescent="0.25">
      <c r="A290" s="1" t="s">
        <v>10</v>
      </c>
      <c r="B290" s="1" t="s">
        <v>167</v>
      </c>
      <c r="C290" s="1" t="s">
        <v>143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</row>
    <row r="291" spans="1:9" hidden="1" x14ac:dyDescent="0.25">
      <c r="A291" s="1" t="s">
        <v>10</v>
      </c>
      <c r="B291" s="1" t="s">
        <v>167</v>
      </c>
      <c r="C291" s="1" t="s">
        <v>3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</row>
    <row r="292" spans="1:9" hidden="1" x14ac:dyDescent="0.25">
      <c r="A292" s="1" t="s">
        <v>125</v>
      </c>
      <c r="B292" s="1" t="s">
        <v>168</v>
      </c>
      <c r="C292" s="1" t="s">
        <v>143</v>
      </c>
      <c r="D292" s="1">
        <v>298.95999999999998</v>
      </c>
      <c r="E292" s="1">
        <v>0</v>
      </c>
      <c r="F292" s="1">
        <v>99.4</v>
      </c>
      <c r="G292" s="1">
        <v>656.06299999999999</v>
      </c>
      <c r="H292" s="1">
        <v>1793.7619999999999</v>
      </c>
      <c r="I292" s="1">
        <v>-1793.7619999999999</v>
      </c>
    </row>
    <row r="293" spans="1:9" hidden="1" x14ac:dyDescent="0.25">
      <c r="A293" s="1" t="s">
        <v>125</v>
      </c>
      <c r="B293" s="1" t="s">
        <v>168</v>
      </c>
      <c r="C293" s="1" t="s">
        <v>3</v>
      </c>
      <c r="D293" s="1">
        <v>328.04</v>
      </c>
      <c r="E293" s="1">
        <v>0</v>
      </c>
      <c r="F293" s="1">
        <v>99.4</v>
      </c>
      <c r="G293" s="1">
        <v>656.06299999999999</v>
      </c>
      <c r="H293" s="1">
        <v>1669.144</v>
      </c>
      <c r="I293" s="1">
        <v>-1968.211</v>
      </c>
    </row>
    <row r="294" spans="1:9" hidden="1" x14ac:dyDescent="0.25">
      <c r="A294" s="1" t="s">
        <v>126</v>
      </c>
      <c r="B294" s="1" t="s">
        <v>168</v>
      </c>
      <c r="C294" s="1" t="s">
        <v>143</v>
      </c>
      <c r="D294" s="1">
        <v>627</v>
      </c>
      <c r="E294" s="1">
        <v>0</v>
      </c>
      <c r="F294" s="1">
        <v>177.77</v>
      </c>
      <c r="G294" s="1">
        <v>1173.2660000000001</v>
      </c>
      <c r="H294" s="1">
        <v>3462.9059999999999</v>
      </c>
      <c r="I294" s="1">
        <v>-3761.973</v>
      </c>
    </row>
    <row r="295" spans="1:9" hidden="1" x14ac:dyDescent="0.25">
      <c r="A295" s="1" t="s">
        <v>126</v>
      </c>
      <c r="B295" s="1" t="s">
        <v>168</v>
      </c>
      <c r="C295" s="1" t="s">
        <v>3</v>
      </c>
      <c r="D295" s="1">
        <v>656.07</v>
      </c>
      <c r="E295" s="1">
        <v>0</v>
      </c>
      <c r="F295" s="1">
        <v>177.77</v>
      </c>
      <c r="G295" s="1">
        <v>1173.2660000000001</v>
      </c>
      <c r="H295" s="1">
        <v>3101.114</v>
      </c>
      <c r="I295" s="1">
        <v>-3936.422</v>
      </c>
    </row>
    <row r="296" spans="1:9" hidden="1" x14ac:dyDescent="0.25">
      <c r="A296" s="1" t="s">
        <v>127</v>
      </c>
      <c r="B296" s="1" t="s">
        <v>168</v>
      </c>
      <c r="C296" s="1" t="s">
        <v>143</v>
      </c>
      <c r="D296" s="1">
        <v>955.03</v>
      </c>
      <c r="E296" s="1">
        <v>0</v>
      </c>
      <c r="F296" s="1">
        <v>230.01</v>
      </c>
      <c r="G296" s="1">
        <v>1518.068</v>
      </c>
      <c r="H296" s="1">
        <v>4894.8760000000002</v>
      </c>
      <c r="I296" s="1">
        <v>-5730.1840000000002</v>
      </c>
    </row>
    <row r="297" spans="1:9" hidden="1" x14ac:dyDescent="0.25">
      <c r="A297" s="1" t="s">
        <v>127</v>
      </c>
      <c r="B297" s="1" t="s">
        <v>168</v>
      </c>
      <c r="C297" s="1" t="s">
        <v>3</v>
      </c>
      <c r="D297" s="1">
        <v>984.11</v>
      </c>
      <c r="E297" s="1">
        <v>0</v>
      </c>
      <c r="F297" s="1">
        <v>230.01</v>
      </c>
      <c r="G297" s="1">
        <v>1518.068</v>
      </c>
      <c r="H297" s="1">
        <v>4372.8419999999996</v>
      </c>
      <c r="I297" s="1">
        <v>-5904.6329999999998</v>
      </c>
    </row>
    <row r="298" spans="1:9" hidden="1" x14ac:dyDescent="0.25">
      <c r="A298" s="1" t="s">
        <v>9</v>
      </c>
      <c r="B298" s="1" t="s">
        <v>168</v>
      </c>
      <c r="C298" s="1" t="s">
        <v>143</v>
      </c>
      <c r="D298" s="1">
        <v>1283.07</v>
      </c>
      <c r="E298" s="1">
        <v>0</v>
      </c>
      <c r="F298" s="1">
        <v>256.13</v>
      </c>
      <c r="G298" s="1">
        <v>1690.4690000000001</v>
      </c>
      <c r="H298" s="1">
        <v>6166.6040000000003</v>
      </c>
      <c r="I298" s="1">
        <v>-7698.3950000000004</v>
      </c>
    </row>
    <row r="299" spans="1:9" hidden="1" x14ac:dyDescent="0.25">
      <c r="A299" s="1" t="s">
        <v>9</v>
      </c>
      <c r="B299" s="1" t="s">
        <v>168</v>
      </c>
      <c r="C299" s="1" t="s">
        <v>3</v>
      </c>
      <c r="D299" s="1">
        <v>1312.14</v>
      </c>
      <c r="E299" s="1">
        <v>0</v>
      </c>
      <c r="F299" s="1">
        <v>256.13</v>
      </c>
      <c r="G299" s="1">
        <v>1690.4690000000001</v>
      </c>
      <c r="H299" s="1">
        <v>5556.3379999999997</v>
      </c>
      <c r="I299" s="1">
        <v>-7872.8440000000001</v>
      </c>
    </row>
    <row r="300" spans="1:9" hidden="1" x14ac:dyDescent="0.25">
      <c r="A300" s="1" t="s">
        <v>10</v>
      </c>
      <c r="B300" s="1" t="s">
        <v>168</v>
      </c>
      <c r="C300" s="1" t="s">
        <v>143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</row>
    <row r="301" spans="1:9" hidden="1" x14ac:dyDescent="0.25">
      <c r="A301" s="1" t="s">
        <v>10</v>
      </c>
      <c r="B301" s="1" t="s">
        <v>168</v>
      </c>
      <c r="C301" s="1" t="s">
        <v>3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</row>
    <row r="302" spans="1:9" hidden="1" x14ac:dyDescent="0.25">
      <c r="A302" s="1" t="s">
        <v>125</v>
      </c>
      <c r="B302" s="1" t="s">
        <v>169</v>
      </c>
      <c r="C302" s="1" t="s">
        <v>143</v>
      </c>
      <c r="D302" s="1">
        <v>298.95999999999998</v>
      </c>
      <c r="E302" s="1">
        <v>0</v>
      </c>
      <c r="F302" s="1">
        <v>99.4</v>
      </c>
      <c r="G302" s="1">
        <v>536.779</v>
      </c>
      <c r="H302" s="1">
        <v>1793.7619999999999</v>
      </c>
      <c r="I302" s="1">
        <v>-1793.7619999999999</v>
      </c>
    </row>
    <row r="303" spans="1:9" hidden="1" x14ac:dyDescent="0.25">
      <c r="A303" s="1" t="s">
        <v>125</v>
      </c>
      <c r="B303" s="1" t="s">
        <v>169</v>
      </c>
      <c r="C303" s="1" t="s">
        <v>3</v>
      </c>
      <c r="D303" s="1">
        <v>328.04</v>
      </c>
      <c r="E303" s="1">
        <v>0</v>
      </c>
      <c r="F303" s="1">
        <v>99.4</v>
      </c>
      <c r="G303" s="1">
        <v>536.779</v>
      </c>
      <c r="H303" s="1">
        <v>1669.144</v>
      </c>
      <c r="I303" s="1">
        <v>-1968.211</v>
      </c>
    </row>
    <row r="304" spans="1:9" hidden="1" x14ac:dyDescent="0.25">
      <c r="A304" s="1" t="s">
        <v>126</v>
      </c>
      <c r="B304" s="1" t="s">
        <v>169</v>
      </c>
      <c r="C304" s="1" t="s">
        <v>143</v>
      </c>
      <c r="D304" s="1">
        <v>627</v>
      </c>
      <c r="E304" s="1">
        <v>0</v>
      </c>
      <c r="F304" s="1">
        <v>177.77</v>
      </c>
      <c r="G304" s="1">
        <v>959.94500000000005</v>
      </c>
      <c r="H304" s="1">
        <v>3462.9059999999999</v>
      </c>
      <c r="I304" s="1">
        <v>-3761.973</v>
      </c>
    </row>
    <row r="305" spans="1:9" hidden="1" x14ac:dyDescent="0.25">
      <c r="A305" s="1" t="s">
        <v>126</v>
      </c>
      <c r="B305" s="1" t="s">
        <v>169</v>
      </c>
      <c r="C305" s="1" t="s">
        <v>3</v>
      </c>
      <c r="D305" s="1">
        <v>656.07</v>
      </c>
      <c r="E305" s="1">
        <v>0</v>
      </c>
      <c r="F305" s="1">
        <v>177.77</v>
      </c>
      <c r="G305" s="1">
        <v>959.94500000000005</v>
      </c>
      <c r="H305" s="1">
        <v>3101.114</v>
      </c>
      <c r="I305" s="1">
        <v>-3936.422</v>
      </c>
    </row>
    <row r="306" spans="1:9" hidden="1" x14ac:dyDescent="0.25">
      <c r="A306" s="1" t="s">
        <v>127</v>
      </c>
      <c r="B306" s="1" t="s">
        <v>169</v>
      </c>
      <c r="C306" s="1" t="s">
        <v>143</v>
      </c>
      <c r="D306" s="1">
        <v>955.03</v>
      </c>
      <c r="E306" s="1">
        <v>0</v>
      </c>
      <c r="F306" s="1">
        <v>230.01</v>
      </c>
      <c r="G306" s="1">
        <v>1242.056</v>
      </c>
      <c r="H306" s="1">
        <v>4894.8760000000002</v>
      </c>
      <c r="I306" s="1">
        <v>-5730.1840000000002</v>
      </c>
    </row>
    <row r="307" spans="1:9" hidden="1" x14ac:dyDescent="0.25">
      <c r="A307" s="1" t="s">
        <v>127</v>
      </c>
      <c r="B307" s="1" t="s">
        <v>169</v>
      </c>
      <c r="C307" s="1" t="s">
        <v>3</v>
      </c>
      <c r="D307" s="1">
        <v>984.11</v>
      </c>
      <c r="E307" s="1">
        <v>0</v>
      </c>
      <c r="F307" s="1">
        <v>230.01</v>
      </c>
      <c r="G307" s="1">
        <v>1242.056</v>
      </c>
      <c r="H307" s="1">
        <v>4372.8419999999996</v>
      </c>
      <c r="I307" s="1">
        <v>-5904.6329999999998</v>
      </c>
    </row>
    <row r="308" spans="1:9" hidden="1" x14ac:dyDescent="0.25">
      <c r="A308" s="1" t="s">
        <v>9</v>
      </c>
      <c r="B308" s="1" t="s">
        <v>169</v>
      </c>
      <c r="C308" s="1" t="s">
        <v>143</v>
      </c>
      <c r="D308" s="1">
        <v>1283.07</v>
      </c>
      <c r="E308" s="1">
        <v>0</v>
      </c>
      <c r="F308" s="1">
        <v>256.13</v>
      </c>
      <c r="G308" s="1">
        <v>1383.1110000000001</v>
      </c>
      <c r="H308" s="1">
        <v>6166.6040000000003</v>
      </c>
      <c r="I308" s="1">
        <v>-7698.3950000000004</v>
      </c>
    </row>
    <row r="309" spans="1:9" hidden="1" x14ac:dyDescent="0.25">
      <c r="A309" s="1" t="s">
        <v>9</v>
      </c>
      <c r="B309" s="1" t="s">
        <v>169</v>
      </c>
      <c r="C309" s="1" t="s">
        <v>3</v>
      </c>
      <c r="D309" s="1">
        <v>1312.14</v>
      </c>
      <c r="E309" s="1">
        <v>0</v>
      </c>
      <c r="F309" s="1">
        <v>256.13</v>
      </c>
      <c r="G309" s="1">
        <v>1383.1110000000001</v>
      </c>
      <c r="H309" s="1">
        <v>5556.3379999999997</v>
      </c>
      <c r="I309" s="1">
        <v>-7872.8440000000001</v>
      </c>
    </row>
    <row r="310" spans="1:9" hidden="1" x14ac:dyDescent="0.25">
      <c r="A310" s="1" t="s">
        <v>10</v>
      </c>
      <c r="B310" s="1" t="s">
        <v>169</v>
      </c>
      <c r="C310" s="1" t="s">
        <v>143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</row>
    <row r="311" spans="1:9" hidden="1" x14ac:dyDescent="0.25">
      <c r="A311" s="1" t="s">
        <v>10</v>
      </c>
      <c r="B311" s="1" t="s">
        <v>169</v>
      </c>
      <c r="C311" s="1" t="s">
        <v>3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</row>
    <row r="312" spans="1:9" hidden="1" x14ac:dyDescent="0.25">
      <c r="A312" s="1" t="s">
        <v>125</v>
      </c>
      <c r="B312" s="1" t="s">
        <v>170</v>
      </c>
      <c r="C312" s="1" t="s">
        <v>143</v>
      </c>
      <c r="D312" s="1">
        <v>278.91000000000003</v>
      </c>
      <c r="E312" s="1">
        <v>-99.4</v>
      </c>
      <c r="F312" s="1">
        <v>0</v>
      </c>
      <c r="G312" s="1">
        <v>656.06299999999999</v>
      </c>
      <c r="H312" s="1">
        <v>1673.461</v>
      </c>
      <c r="I312" s="1">
        <v>-1673.461</v>
      </c>
    </row>
    <row r="313" spans="1:9" hidden="1" x14ac:dyDescent="0.25">
      <c r="A313" s="1" t="s">
        <v>125</v>
      </c>
      <c r="B313" s="1" t="s">
        <v>170</v>
      </c>
      <c r="C313" s="1" t="s">
        <v>3</v>
      </c>
      <c r="D313" s="1">
        <v>305.88</v>
      </c>
      <c r="E313" s="1">
        <v>-99.4</v>
      </c>
      <c r="F313" s="1">
        <v>0</v>
      </c>
      <c r="G313" s="1">
        <v>656.06299999999999</v>
      </c>
      <c r="H313" s="1">
        <v>1835.299</v>
      </c>
      <c r="I313" s="1">
        <v>-2134.366</v>
      </c>
    </row>
    <row r="314" spans="1:9" hidden="1" x14ac:dyDescent="0.25">
      <c r="A314" s="1" t="s">
        <v>126</v>
      </c>
      <c r="B314" s="1" t="s">
        <v>170</v>
      </c>
      <c r="C314" s="1" t="s">
        <v>143</v>
      </c>
      <c r="D314" s="1">
        <v>584.79</v>
      </c>
      <c r="E314" s="1">
        <v>-177.77</v>
      </c>
      <c r="F314" s="1">
        <v>0</v>
      </c>
      <c r="G314" s="1">
        <v>1173.2660000000001</v>
      </c>
      <c r="H314" s="1">
        <v>3508.76</v>
      </c>
      <c r="I314" s="1">
        <v>-3807.8270000000002</v>
      </c>
    </row>
    <row r="315" spans="1:9" hidden="1" x14ac:dyDescent="0.25">
      <c r="A315" s="1" t="s">
        <v>126</v>
      </c>
      <c r="B315" s="1" t="s">
        <v>170</v>
      </c>
      <c r="C315" s="1" t="s">
        <v>3</v>
      </c>
      <c r="D315" s="1">
        <v>611.77</v>
      </c>
      <c r="E315" s="1">
        <v>-177.77</v>
      </c>
      <c r="F315" s="1">
        <v>0</v>
      </c>
      <c r="G315" s="1">
        <v>1173.2660000000001</v>
      </c>
      <c r="H315" s="1">
        <v>3670.5990000000002</v>
      </c>
      <c r="I315" s="1">
        <v>-4505.9059999999999</v>
      </c>
    </row>
    <row r="316" spans="1:9" hidden="1" x14ac:dyDescent="0.25">
      <c r="A316" s="1" t="s">
        <v>127</v>
      </c>
      <c r="B316" s="1" t="s">
        <v>170</v>
      </c>
      <c r="C316" s="1" t="s">
        <v>143</v>
      </c>
      <c r="D316" s="1">
        <v>890.68</v>
      </c>
      <c r="E316" s="1">
        <v>-230.01</v>
      </c>
      <c r="F316" s="1">
        <v>0</v>
      </c>
      <c r="G316" s="1">
        <v>1518.068</v>
      </c>
      <c r="H316" s="1">
        <v>5344.06</v>
      </c>
      <c r="I316" s="1">
        <v>-6179.3670000000002</v>
      </c>
    </row>
    <row r="317" spans="1:9" hidden="1" x14ac:dyDescent="0.25">
      <c r="A317" s="1" t="s">
        <v>127</v>
      </c>
      <c r="B317" s="1" t="s">
        <v>170</v>
      </c>
      <c r="C317" s="1" t="s">
        <v>3</v>
      </c>
      <c r="D317" s="1">
        <v>917.65</v>
      </c>
      <c r="E317" s="1">
        <v>-230.01</v>
      </c>
      <c r="F317" s="1">
        <v>0</v>
      </c>
      <c r="G317" s="1">
        <v>1518.068</v>
      </c>
      <c r="H317" s="1">
        <v>5505.8980000000001</v>
      </c>
      <c r="I317" s="1">
        <v>-7037.6880000000001</v>
      </c>
    </row>
    <row r="318" spans="1:9" hidden="1" x14ac:dyDescent="0.25">
      <c r="A318" s="1" t="s">
        <v>9</v>
      </c>
      <c r="B318" s="1" t="s">
        <v>170</v>
      </c>
      <c r="C318" s="1" t="s">
        <v>143</v>
      </c>
      <c r="D318" s="1">
        <v>1196.56</v>
      </c>
      <c r="E318" s="1">
        <v>-256.13</v>
      </c>
      <c r="F318" s="1">
        <v>0</v>
      </c>
      <c r="G318" s="1">
        <v>1690.4690000000001</v>
      </c>
      <c r="H318" s="1">
        <v>7179.3590000000004</v>
      </c>
      <c r="I318" s="1">
        <v>-8711.1489999999994</v>
      </c>
    </row>
    <row r="319" spans="1:9" hidden="1" x14ac:dyDescent="0.25">
      <c r="A319" s="1" t="s">
        <v>9</v>
      </c>
      <c r="B319" s="1" t="s">
        <v>170</v>
      </c>
      <c r="C319" s="1" t="s">
        <v>3</v>
      </c>
      <c r="D319" s="1">
        <v>1223.53</v>
      </c>
      <c r="E319" s="1">
        <v>-256.13</v>
      </c>
      <c r="F319" s="1">
        <v>0</v>
      </c>
      <c r="G319" s="1">
        <v>1690.4690000000001</v>
      </c>
      <c r="H319" s="1">
        <v>7341.1970000000001</v>
      </c>
      <c r="I319" s="1">
        <v>-9657.7029999999995</v>
      </c>
    </row>
    <row r="320" spans="1:9" hidden="1" x14ac:dyDescent="0.25">
      <c r="A320" s="1" t="s">
        <v>10</v>
      </c>
      <c r="B320" s="1" t="s">
        <v>170</v>
      </c>
      <c r="C320" s="1" t="s">
        <v>143</v>
      </c>
      <c r="D320" s="1">
        <v>0</v>
      </c>
      <c r="E320" s="1">
        <v>0</v>
      </c>
      <c r="F320" s="1">
        <v>0</v>
      </c>
      <c r="G320" s="1">
        <v>0</v>
      </c>
      <c r="H320" s="1">
        <v>0</v>
      </c>
      <c r="I320" s="1">
        <v>0</v>
      </c>
    </row>
    <row r="321" spans="1:9" hidden="1" x14ac:dyDescent="0.25">
      <c r="A321" s="1" t="s">
        <v>10</v>
      </c>
      <c r="B321" s="1" t="s">
        <v>170</v>
      </c>
      <c r="C321" s="1" t="s">
        <v>3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</row>
    <row r="322" spans="1:9" hidden="1" x14ac:dyDescent="0.25">
      <c r="A322" s="1" t="s">
        <v>125</v>
      </c>
      <c r="B322" s="1" t="s">
        <v>171</v>
      </c>
      <c r="C322" s="1" t="s">
        <v>143</v>
      </c>
      <c r="D322" s="1">
        <v>278.91000000000003</v>
      </c>
      <c r="E322" s="1">
        <v>-99.4</v>
      </c>
      <c r="F322" s="1">
        <v>0</v>
      </c>
      <c r="G322" s="1">
        <v>536.779</v>
      </c>
      <c r="H322" s="1">
        <v>1673.461</v>
      </c>
      <c r="I322" s="1">
        <v>-1673.461</v>
      </c>
    </row>
    <row r="323" spans="1:9" hidden="1" x14ac:dyDescent="0.25">
      <c r="A323" s="1" t="s">
        <v>125</v>
      </c>
      <c r="B323" s="1" t="s">
        <v>171</v>
      </c>
      <c r="C323" s="1" t="s">
        <v>3</v>
      </c>
      <c r="D323" s="1">
        <v>305.88</v>
      </c>
      <c r="E323" s="1">
        <v>-99.4</v>
      </c>
      <c r="F323" s="1">
        <v>0</v>
      </c>
      <c r="G323" s="1">
        <v>536.779</v>
      </c>
      <c r="H323" s="1">
        <v>1835.299</v>
      </c>
      <c r="I323" s="1">
        <v>-2134.366</v>
      </c>
    </row>
    <row r="324" spans="1:9" hidden="1" x14ac:dyDescent="0.25">
      <c r="A324" s="1" t="s">
        <v>126</v>
      </c>
      <c r="B324" s="1" t="s">
        <v>171</v>
      </c>
      <c r="C324" s="1" t="s">
        <v>143</v>
      </c>
      <c r="D324" s="1">
        <v>584.79</v>
      </c>
      <c r="E324" s="1">
        <v>-177.77</v>
      </c>
      <c r="F324" s="1">
        <v>0</v>
      </c>
      <c r="G324" s="1">
        <v>959.94500000000005</v>
      </c>
      <c r="H324" s="1">
        <v>3508.76</v>
      </c>
      <c r="I324" s="1">
        <v>-3807.8270000000002</v>
      </c>
    </row>
    <row r="325" spans="1:9" hidden="1" x14ac:dyDescent="0.25">
      <c r="A325" s="1" t="s">
        <v>126</v>
      </c>
      <c r="B325" s="1" t="s">
        <v>171</v>
      </c>
      <c r="C325" s="1" t="s">
        <v>3</v>
      </c>
      <c r="D325" s="1">
        <v>611.77</v>
      </c>
      <c r="E325" s="1">
        <v>-177.77</v>
      </c>
      <c r="F325" s="1">
        <v>0</v>
      </c>
      <c r="G325" s="1">
        <v>959.94500000000005</v>
      </c>
      <c r="H325" s="1">
        <v>3670.5990000000002</v>
      </c>
      <c r="I325" s="1">
        <v>-4505.9059999999999</v>
      </c>
    </row>
    <row r="326" spans="1:9" hidden="1" x14ac:dyDescent="0.25">
      <c r="A326" s="1" t="s">
        <v>127</v>
      </c>
      <c r="B326" s="1" t="s">
        <v>171</v>
      </c>
      <c r="C326" s="1" t="s">
        <v>143</v>
      </c>
      <c r="D326" s="1">
        <v>890.68</v>
      </c>
      <c r="E326" s="1">
        <v>-230.01</v>
      </c>
      <c r="F326" s="1">
        <v>0</v>
      </c>
      <c r="G326" s="1">
        <v>1242.056</v>
      </c>
      <c r="H326" s="1">
        <v>5344.06</v>
      </c>
      <c r="I326" s="1">
        <v>-6179.3670000000002</v>
      </c>
    </row>
    <row r="327" spans="1:9" hidden="1" x14ac:dyDescent="0.25">
      <c r="A327" s="1" t="s">
        <v>127</v>
      </c>
      <c r="B327" s="1" t="s">
        <v>171</v>
      </c>
      <c r="C327" s="1" t="s">
        <v>3</v>
      </c>
      <c r="D327" s="1">
        <v>917.65</v>
      </c>
      <c r="E327" s="1">
        <v>-230.01</v>
      </c>
      <c r="F327" s="1">
        <v>0</v>
      </c>
      <c r="G327" s="1">
        <v>1242.056</v>
      </c>
      <c r="H327" s="1">
        <v>5505.8980000000001</v>
      </c>
      <c r="I327" s="1">
        <v>-7037.6880000000001</v>
      </c>
    </row>
    <row r="328" spans="1:9" hidden="1" x14ac:dyDescent="0.25">
      <c r="A328" s="1" t="s">
        <v>9</v>
      </c>
      <c r="B328" s="1" t="s">
        <v>171</v>
      </c>
      <c r="C328" s="1" t="s">
        <v>143</v>
      </c>
      <c r="D328" s="1">
        <v>1196.56</v>
      </c>
      <c r="E328" s="1">
        <v>-256.13</v>
      </c>
      <c r="F328" s="1">
        <v>0</v>
      </c>
      <c r="G328" s="1">
        <v>1383.1110000000001</v>
      </c>
      <c r="H328" s="1">
        <v>7179.3590000000004</v>
      </c>
      <c r="I328" s="1">
        <v>-8711.1489999999994</v>
      </c>
    </row>
    <row r="329" spans="1:9" hidden="1" x14ac:dyDescent="0.25">
      <c r="A329" s="1" t="s">
        <v>9</v>
      </c>
      <c r="B329" s="1" t="s">
        <v>171</v>
      </c>
      <c r="C329" s="1" t="s">
        <v>3</v>
      </c>
      <c r="D329" s="1">
        <v>1223.53</v>
      </c>
      <c r="E329" s="1">
        <v>-256.13</v>
      </c>
      <c r="F329" s="1">
        <v>0</v>
      </c>
      <c r="G329" s="1">
        <v>1383.1110000000001</v>
      </c>
      <c r="H329" s="1">
        <v>7341.1970000000001</v>
      </c>
      <c r="I329" s="1">
        <v>-9657.7029999999995</v>
      </c>
    </row>
    <row r="330" spans="1:9" hidden="1" x14ac:dyDescent="0.25">
      <c r="A330" s="1" t="s">
        <v>10</v>
      </c>
      <c r="B330" s="1" t="s">
        <v>171</v>
      </c>
      <c r="C330" s="1" t="s">
        <v>143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</row>
    <row r="331" spans="1:9" hidden="1" x14ac:dyDescent="0.25">
      <c r="A331" s="1" t="s">
        <v>10</v>
      </c>
      <c r="B331" s="1" t="s">
        <v>171</v>
      </c>
      <c r="C331" s="1" t="s">
        <v>3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</row>
    <row r="332" spans="1:9" hidden="1" x14ac:dyDescent="0.25">
      <c r="A332" s="1" t="s">
        <v>125</v>
      </c>
      <c r="B332" s="1" t="s">
        <v>172</v>
      </c>
      <c r="C332" s="1" t="s">
        <v>143</v>
      </c>
      <c r="D332" s="1">
        <v>278.91000000000003</v>
      </c>
      <c r="E332" s="1">
        <v>99.4</v>
      </c>
      <c r="F332" s="1">
        <v>0</v>
      </c>
      <c r="G332" s="1">
        <v>-656.06299999999999</v>
      </c>
      <c r="H332" s="1">
        <v>1673.461</v>
      </c>
      <c r="I332" s="1">
        <v>-1673.461</v>
      </c>
    </row>
    <row r="333" spans="1:9" hidden="1" x14ac:dyDescent="0.25">
      <c r="A333" s="1" t="s">
        <v>125</v>
      </c>
      <c r="B333" s="1" t="s">
        <v>172</v>
      </c>
      <c r="C333" s="1" t="s">
        <v>3</v>
      </c>
      <c r="D333" s="1">
        <v>305.88</v>
      </c>
      <c r="E333" s="1">
        <v>99.4</v>
      </c>
      <c r="F333" s="1">
        <v>0</v>
      </c>
      <c r="G333" s="1">
        <v>-656.06299999999999</v>
      </c>
      <c r="H333" s="1">
        <v>1835.299</v>
      </c>
      <c r="I333" s="1">
        <v>-1536.2329999999999</v>
      </c>
    </row>
    <row r="334" spans="1:9" hidden="1" x14ac:dyDescent="0.25">
      <c r="A334" s="1" t="s">
        <v>126</v>
      </c>
      <c r="B334" s="1" t="s">
        <v>172</v>
      </c>
      <c r="C334" s="1" t="s">
        <v>143</v>
      </c>
      <c r="D334" s="1">
        <v>584.79</v>
      </c>
      <c r="E334" s="1">
        <v>177.77</v>
      </c>
      <c r="F334" s="1">
        <v>0</v>
      </c>
      <c r="G334" s="1">
        <v>-1173.2660000000001</v>
      </c>
      <c r="H334" s="1">
        <v>3508.76</v>
      </c>
      <c r="I334" s="1">
        <v>-3209.694</v>
      </c>
    </row>
    <row r="335" spans="1:9" hidden="1" x14ac:dyDescent="0.25">
      <c r="A335" s="1" t="s">
        <v>126</v>
      </c>
      <c r="B335" s="1" t="s">
        <v>172</v>
      </c>
      <c r="C335" s="1" t="s">
        <v>3</v>
      </c>
      <c r="D335" s="1">
        <v>611.77</v>
      </c>
      <c r="E335" s="1">
        <v>177.77</v>
      </c>
      <c r="F335" s="1">
        <v>0</v>
      </c>
      <c r="G335" s="1">
        <v>-1173.2660000000001</v>
      </c>
      <c r="H335" s="1">
        <v>3670.5990000000002</v>
      </c>
      <c r="I335" s="1">
        <v>-2835.2910000000002</v>
      </c>
    </row>
    <row r="336" spans="1:9" hidden="1" x14ac:dyDescent="0.25">
      <c r="A336" s="1" t="s">
        <v>127</v>
      </c>
      <c r="B336" s="1" t="s">
        <v>172</v>
      </c>
      <c r="C336" s="1" t="s">
        <v>143</v>
      </c>
      <c r="D336" s="1">
        <v>890.68</v>
      </c>
      <c r="E336" s="1">
        <v>230.01</v>
      </c>
      <c r="F336" s="1">
        <v>0</v>
      </c>
      <c r="G336" s="1">
        <v>-1518.068</v>
      </c>
      <c r="H336" s="1">
        <v>5344.06</v>
      </c>
      <c r="I336" s="1">
        <v>-4508.7520000000004</v>
      </c>
    </row>
    <row r="337" spans="1:9" hidden="1" x14ac:dyDescent="0.25">
      <c r="A337" s="1" t="s">
        <v>127</v>
      </c>
      <c r="B337" s="1" t="s">
        <v>172</v>
      </c>
      <c r="C337" s="1" t="s">
        <v>3</v>
      </c>
      <c r="D337" s="1">
        <v>917.65</v>
      </c>
      <c r="E337" s="1">
        <v>230.01</v>
      </c>
      <c r="F337" s="1">
        <v>0</v>
      </c>
      <c r="G337" s="1">
        <v>-1518.068</v>
      </c>
      <c r="H337" s="1">
        <v>5505.8980000000001</v>
      </c>
      <c r="I337" s="1">
        <v>-3974.107</v>
      </c>
    </row>
    <row r="338" spans="1:9" hidden="1" x14ac:dyDescent="0.25">
      <c r="A338" s="1" t="s">
        <v>9</v>
      </c>
      <c r="B338" s="1" t="s">
        <v>172</v>
      </c>
      <c r="C338" s="1" t="s">
        <v>143</v>
      </c>
      <c r="D338" s="1">
        <v>1196.56</v>
      </c>
      <c r="E338" s="1">
        <v>256.13</v>
      </c>
      <c r="F338" s="1">
        <v>0</v>
      </c>
      <c r="G338" s="1">
        <v>-1690.4690000000001</v>
      </c>
      <c r="H338" s="1">
        <v>7179.3590000000004</v>
      </c>
      <c r="I338" s="1">
        <v>-5647.5680000000002</v>
      </c>
    </row>
    <row r="339" spans="1:9" hidden="1" x14ac:dyDescent="0.25">
      <c r="A339" s="1" t="s">
        <v>9</v>
      </c>
      <c r="B339" s="1" t="s">
        <v>172</v>
      </c>
      <c r="C339" s="1" t="s">
        <v>3</v>
      </c>
      <c r="D339" s="1">
        <v>1223.53</v>
      </c>
      <c r="E339" s="1">
        <v>256.13</v>
      </c>
      <c r="F339" s="1">
        <v>0</v>
      </c>
      <c r="G339" s="1">
        <v>-1690.4690000000001</v>
      </c>
      <c r="H339" s="1">
        <v>7341.1970000000001</v>
      </c>
      <c r="I339" s="1">
        <v>-5024.6909999999998</v>
      </c>
    </row>
    <row r="340" spans="1:9" hidden="1" x14ac:dyDescent="0.25">
      <c r="A340" s="1" t="s">
        <v>10</v>
      </c>
      <c r="B340" s="1" t="s">
        <v>172</v>
      </c>
      <c r="C340" s="1" t="s">
        <v>143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</row>
    <row r="341" spans="1:9" hidden="1" x14ac:dyDescent="0.25">
      <c r="A341" s="1" t="s">
        <v>10</v>
      </c>
      <c r="B341" s="1" t="s">
        <v>172</v>
      </c>
      <c r="C341" s="1" t="s">
        <v>3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</row>
    <row r="342" spans="1:9" hidden="1" x14ac:dyDescent="0.25">
      <c r="A342" s="1" t="s">
        <v>125</v>
      </c>
      <c r="B342" s="1" t="s">
        <v>173</v>
      </c>
      <c r="C342" s="1" t="s">
        <v>143</v>
      </c>
      <c r="D342" s="1">
        <v>278.91000000000003</v>
      </c>
      <c r="E342" s="1">
        <v>99.4</v>
      </c>
      <c r="F342" s="1">
        <v>0</v>
      </c>
      <c r="G342" s="1">
        <v>-536.779</v>
      </c>
      <c r="H342" s="1">
        <v>1673.461</v>
      </c>
      <c r="I342" s="1">
        <v>-1673.461</v>
      </c>
    </row>
    <row r="343" spans="1:9" hidden="1" x14ac:dyDescent="0.25">
      <c r="A343" s="1" t="s">
        <v>125</v>
      </c>
      <c r="B343" s="1" t="s">
        <v>173</v>
      </c>
      <c r="C343" s="1" t="s">
        <v>3</v>
      </c>
      <c r="D343" s="1">
        <v>305.88</v>
      </c>
      <c r="E343" s="1">
        <v>99.4</v>
      </c>
      <c r="F343" s="1">
        <v>0</v>
      </c>
      <c r="G343" s="1">
        <v>-536.779</v>
      </c>
      <c r="H343" s="1">
        <v>1835.299</v>
      </c>
      <c r="I343" s="1">
        <v>-1536.2329999999999</v>
      </c>
    </row>
    <row r="344" spans="1:9" hidden="1" x14ac:dyDescent="0.25">
      <c r="A344" s="1" t="s">
        <v>126</v>
      </c>
      <c r="B344" s="1" t="s">
        <v>173</v>
      </c>
      <c r="C344" s="1" t="s">
        <v>143</v>
      </c>
      <c r="D344" s="1">
        <v>584.79</v>
      </c>
      <c r="E344" s="1">
        <v>177.77</v>
      </c>
      <c r="F344" s="1">
        <v>0</v>
      </c>
      <c r="G344" s="1">
        <v>-959.94500000000005</v>
      </c>
      <c r="H344" s="1">
        <v>3508.76</v>
      </c>
      <c r="I344" s="1">
        <v>-3209.694</v>
      </c>
    </row>
    <row r="345" spans="1:9" hidden="1" x14ac:dyDescent="0.25">
      <c r="A345" s="1" t="s">
        <v>126</v>
      </c>
      <c r="B345" s="1" t="s">
        <v>173</v>
      </c>
      <c r="C345" s="1" t="s">
        <v>3</v>
      </c>
      <c r="D345" s="1">
        <v>611.77</v>
      </c>
      <c r="E345" s="1">
        <v>177.77</v>
      </c>
      <c r="F345" s="1">
        <v>0</v>
      </c>
      <c r="G345" s="1">
        <v>-959.94500000000005</v>
      </c>
      <c r="H345" s="1">
        <v>3670.5990000000002</v>
      </c>
      <c r="I345" s="1">
        <v>-2835.2910000000002</v>
      </c>
    </row>
    <row r="346" spans="1:9" hidden="1" x14ac:dyDescent="0.25">
      <c r="A346" s="1" t="s">
        <v>127</v>
      </c>
      <c r="B346" s="1" t="s">
        <v>173</v>
      </c>
      <c r="C346" s="1" t="s">
        <v>143</v>
      </c>
      <c r="D346" s="1">
        <v>890.68</v>
      </c>
      <c r="E346" s="1">
        <v>230.01</v>
      </c>
      <c r="F346" s="1">
        <v>0</v>
      </c>
      <c r="G346" s="1">
        <v>-1242.056</v>
      </c>
      <c r="H346" s="1">
        <v>5344.06</v>
      </c>
      <c r="I346" s="1">
        <v>-4508.7520000000004</v>
      </c>
    </row>
    <row r="347" spans="1:9" hidden="1" x14ac:dyDescent="0.25">
      <c r="A347" s="1" t="s">
        <v>127</v>
      </c>
      <c r="B347" s="1" t="s">
        <v>173</v>
      </c>
      <c r="C347" s="1" t="s">
        <v>3</v>
      </c>
      <c r="D347" s="1">
        <v>917.65</v>
      </c>
      <c r="E347" s="1">
        <v>230.01</v>
      </c>
      <c r="F347" s="1">
        <v>0</v>
      </c>
      <c r="G347" s="1">
        <v>-1242.056</v>
      </c>
      <c r="H347" s="1">
        <v>5505.8980000000001</v>
      </c>
      <c r="I347" s="1">
        <v>-3974.107</v>
      </c>
    </row>
    <row r="348" spans="1:9" hidden="1" x14ac:dyDescent="0.25">
      <c r="A348" s="1" t="s">
        <v>9</v>
      </c>
      <c r="B348" s="1" t="s">
        <v>173</v>
      </c>
      <c r="C348" s="1" t="s">
        <v>143</v>
      </c>
      <c r="D348" s="1">
        <v>1196.56</v>
      </c>
      <c r="E348" s="1">
        <v>256.13</v>
      </c>
      <c r="F348" s="1">
        <v>0</v>
      </c>
      <c r="G348" s="1">
        <v>-1383.1110000000001</v>
      </c>
      <c r="H348" s="1">
        <v>7179.3590000000004</v>
      </c>
      <c r="I348" s="1">
        <v>-5647.5680000000002</v>
      </c>
    </row>
    <row r="349" spans="1:9" hidden="1" x14ac:dyDescent="0.25">
      <c r="A349" s="1" t="s">
        <v>9</v>
      </c>
      <c r="B349" s="1" t="s">
        <v>173</v>
      </c>
      <c r="C349" s="1" t="s">
        <v>3</v>
      </c>
      <c r="D349" s="1">
        <v>1223.53</v>
      </c>
      <c r="E349" s="1">
        <v>256.13</v>
      </c>
      <c r="F349" s="1">
        <v>0</v>
      </c>
      <c r="G349" s="1">
        <v>-1383.1110000000001</v>
      </c>
      <c r="H349" s="1">
        <v>7341.1970000000001</v>
      </c>
      <c r="I349" s="1">
        <v>-5024.6909999999998</v>
      </c>
    </row>
    <row r="350" spans="1:9" hidden="1" x14ac:dyDescent="0.25">
      <c r="A350" s="1" t="s">
        <v>10</v>
      </c>
      <c r="B350" s="1" t="s">
        <v>173</v>
      </c>
      <c r="C350" s="1" t="s">
        <v>143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</row>
    <row r="351" spans="1:9" hidden="1" x14ac:dyDescent="0.25">
      <c r="A351" s="1" t="s">
        <v>10</v>
      </c>
      <c r="B351" s="1" t="s">
        <v>173</v>
      </c>
      <c r="C351" s="1" t="s">
        <v>3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</row>
    <row r="352" spans="1:9" hidden="1" x14ac:dyDescent="0.25">
      <c r="A352" s="1" t="s">
        <v>125</v>
      </c>
      <c r="B352" s="1" t="s">
        <v>174</v>
      </c>
      <c r="C352" s="1" t="s">
        <v>143</v>
      </c>
      <c r="D352" s="1">
        <v>278.91000000000003</v>
      </c>
      <c r="E352" s="1">
        <v>0</v>
      </c>
      <c r="F352" s="1">
        <v>-99.4</v>
      </c>
      <c r="G352" s="1">
        <v>-656.06299999999999</v>
      </c>
      <c r="H352" s="1">
        <v>1673.461</v>
      </c>
      <c r="I352" s="1">
        <v>-1673.461</v>
      </c>
    </row>
    <row r="353" spans="1:9" hidden="1" x14ac:dyDescent="0.25">
      <c r="A353" s="1" t="s">
        <v>125</v>
      </c>
      <c r="B353" s="1" t="s">
        <v>174</v>
      </c>
      <c r="C353" s="1" t="s">
        <v>3</v>
      </c>
      <c r="D353" s="1">
        <v>305.88</v>
      </c>
      <c r="E353" s="1">
        <v>0</v>
      </c>
      <c r="F353" s="1">
        <v>-99.4</v>
      </c>
      <c r="G353" s="1">
        <v>-656.06299999999999</v>
      </c>
      <c r="H353" s="1">
        <v>2134.366</v>
      </c>
      <c r="I353" s="1">
        <v>-1835.299</v>
      </c>
    </row>
    <row r="354" spans="1:9" hidden="1" x14ac:dyDescent="0.25">
      <c r="A354" s="1" t="s">
        <v>126</v>
      </c>
      <c r="B354" s="1" t="s">
        <v>174</v>
      </c>
      <c r="C354" s="1" t="s">
        <v>143</v>
      </c>
      <c r="D354" s="1">
        <v>584.79</v>
      </c>
      <c r="E354" s="1">
        <v>0</v>
      </c>
      <c r="F354" s="1">
        <v>-177.77</v>
      </c>
      <c r="G354" s="1">
        <v>-1173.2660000000001</v>
      </c>
      <c r="H354" s="1">
        <v>3807.8270000000002</v>
      </c>
      <c r="I354" s="1">
        <v>-3508.76</v>
      </c>
    </row>
    <row r="355" spans="1:9" hidden="1" x14ac:dyDescent="0.25">
      <c r="A355" s="1" t="s">
        <v>126</v>
      </c>
      <c r="B355" s="1" t="s">
        <v>174</v>
      </c>
      <c r="C355" s="1" t="s">
        <v>3</v>
      </c>
      <c r="D355" s="1">
        <v>611.77</v>
      </c>
      <c r="E355" s="1">
        <v>0</v>
      </c>
      <c r="F355" s="1">
        <v>-177.77</v>
      </c>
      <c r="G355" s="1">
        <v>-1173.2660000000001</v>
      </c>
      <c r="H355" s="1">
        <v>4505.9059999999999</v>
      </c>
      <c r="I355" s="1">
        <v>-3670.5990000000002</v>
      </c>
    </row>
    <row r="356" spans="1:9" hidden="1" x14ac:dyDescent="0.25">
      <c r="A356" s="1" t="s">
        <v>127</v>
      </c>
      <c r="B356" s="1" t="s">
        <v>174</v>
      </c>
      <c r="C356" s="1" t="s">
        <v>143</v>
      </c>
      <c r="D356" s="1">
        <v>890.68</v>
      </c>
      <c r="E356" s="1">
        <v>0</v>
      </c>
      <c r="F356" s="1">
        <v>-230.01</v>
      </c>
      <c r="G356" s="1">
        <v>-1518.068</v>
      </c>
      <c r="H356" s="1">
        <v>6179.3670000000002</v>
      </c>
      <c r="I356" s="1">
        <v>-5344.06</v>
      </c>
    </row>
    <row r="357" spans="1:9" hidden="1" x14ac:dyDescent="0.25">
      <c r="A357" s="1" t="s">
        <v>127</v>
      </c>
      <c r="B357" s="1" t="s">
        <v>174</v>
      </c>
      <c r="C357" s="1" t="s">
        <v>3</v>
      </c>
      <c r="D357" s="1">
        <v>917.65</v>
      </c>
      <c r="E357" s="1">
        <v>0</v>
      </c>
      <c r="F357" s="1">
        <v>-230.01</v>
      </c>
      <c r="G357" s="1">
        <v>-1518.068</v>
      </c>
      <c r="H357" s="1">
        <v>7037.6880000000001</v>
      </c>
      <c r="I357" s="1">
        <v>-5505.8980000000001</v>
      </c>
    </row>
    <row r="358" spans="1:9" hidden="1" x14ac:dyDescent="0.25">
      <c r="A358" s="1" t="s">
        <v>9</v>
      </c>
      <c r="B358" s="1" t="s">
        <v>174</v>
      </c>
      <c r="C358" s="1" t="s">
        <v>143</v>
      </c>
      <c r="D358" s="1">
        <v>1196.56</v>
      </c>
      <c r="E358" s="1">
        <v>0</v>
      </c>
      <c r="F358" s="1">
        <v>-256.13</v>
      </c>
      <c r="G358" s="1">
        <v>-1690.4690000000001</v>
      </c>
      <c r="H358" s="1">
        <v>8711.1489999999994</v>
      </c>
      <c r="I358" s="1">
        <v>-7179.3590000000004</v>
      </c>
    </row>
    <row r="359" spans="1:9" hidden="1" x14ac:dyDescent="0.25">
      <c r="A359" s="1" t="s">
        <v>9</v>
      </c>
      <c r="B359" s="1" t="s">
        <v>174</v>
      </c>
      <c r="C359" s="1" t="s">
        <v>3</v>
      </c>
      <c r="D359" s="1">
        <v>1223.53</v>
      </c>
      <c r="E359" s="1">
        <v>0</v>
      </c>
      <c r="F359" s="1">
        <v>-256.13</v>
      </c>
      <c r="G359" s="1">
        <v>-1690.4690000000001</v>
      </c>
      <c r="H359" s="1">
        <v>9657.7029999999995</v>
      </c>
      <c r="I359" s="1">
        <v>-7341.1970000000001</v>
      </c>
    </row>
    <row r="360" spans="1:9" hidden="1" x14ac:dyDescent="0.25">
      <c r="A360" s="1" t="s">
        <v>10</v>
      </c>
      <c r="B360" s="1" t="s">
        <v>174</v>
      </c>
      <c r="C360" s="1" t="s">
        <v>143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</row>
    <row r="361" spans="1:9" hidden="1" x14ac:dyDescent="0.25">
      <c r="A361" s="1" t="s">
        <v>10</v>
      </c>
      <c r="B361" s="1" t="s">
        <v>174</v>
      </c>
      <c r="C361" s="1" t="s">
        <v>3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</row>
    <row r="362" spans="1:9" hidden="1" x14ac:dyDescent="0.25">
      <c r="A362" s="1" t="s">
        <v>125</v>
      </c>
      <c r="B362" s="1" t="s">
        <v>175</v>
      </c>
      <c r="C362" s="1" t="s">
        <v>143</v>
      </c>
      <c r="D362" s="1">
        <v>278.91000000000003</v>
      </c>
      <c r="E362" s="1">
        <v>0</v>
      </c>
      <c r="F362" s="1">
        <v>-99.4</v>
      </c>
      <c r="G362" s="1">
        <v>-536.779</v>
      </c>
      <c r="H362" s="1">
        <v>1673.461</v>
      </c>
      <c r="I362" s="1">
        <v>-1673.461</v>
      </c>
    </row>
    <row r="363" spans="1:9" hidden="1" x14ac:dyDescent="0.25">
      <c r="A363" s="1" t="s">
        <v>125</v>
      </c>
      <c r="B363" s="1" t="s">
        <v>175</v>
      </c>
      <c r="C363" s="1" t="s">
        <v>3</v>
      </c>
      <c r="D363" s="1">
        <v>305.88</v>
      </c>
      <c r="E363" s="1">
        <v>0</v>
      </c>
      <c r="F363" s="1">
        <v>-99.4</v>
      </c>
      <c r="G363" s="1">
        <v>-536.779</v>
      </c>
      <c r="H363" s="1">
        <v>2134.366</v>
      </c>
      <c r="I363" s="1">
        <v>-1835.299</v>
      </c>
    </row>
    <row r="364" spans="1:9" hidden="1" x14ac:dyDescent="0.25">
      <c r="A364" s="1" t="s">
        <v>126</v>
      </c>
      <c r="B364" s="1" t="s">
        <v>175</v>
      </c>
      <c r="C364" s="1" t="s">
        <v>143</v>
      </c>
      <c r="D364" s="1">
        <v>584.79</v>
      </c>
      <c r="E364" s="1">
        <v>0</v>
      </c>
      <c r="F364" s="1">
        <v>-177.77</v>
      </c>
      <c r="G364" s="1">
        <v>-959.94500000000005</v>
      </c>
      <c r="H364" s="1">
        <v>3807.8270000000002</v>
      </c>
      <c r="I364" s="1">
        <v>-3508.76</v>
      </c>
    </row>
    <row r="365" spans="1:9" hidden="1" x14ac:dyDescent="0.25">
      <c r="A365" s="1" t="s">
        <v>126</v>
      </c>
      <c r="B365" s="1" t="s">
        <v>175</v>
      </c>
      <c r="C365" s="1" t="s">
        <v>3</v>
      </c>
      <c r="D365" s="1">
        <v>611.77</v>
      </c>
      <c r="E365" s="1">
        <v>0</v>
      </c>
      <c r="F365" s="1">
        <v>-177.77</v>
      </c>
      <c r="G365" s="1">
        <v>-959.94500000000005</v>
      </c>
      <c r="H365" s="1">
        <v>4505.9059999999999</v>
      </c>
      <c r="I365" s="1">
        <v>-3670.5990000000002</v>
      </c>
    </row>
    <row r="366" spans="1:9" hidden="1" x14ac:dyDescent="0.25">
      <c r="A366" s="1" t="s">
        <v>127</v>
      </c>
      <c r="B366" s="1" t="s">
        <v>175</v>
      </c>
      <c r="C366" s="1" t="s">
        <v>143</v>
      </c>
      <c r="D366" s="1">
        <v>890.68</v>
      </c>
      <c r="E366" s="1">
        <v>0</v>
      </c>
      <c r="F366" s="1">
        <v>-230.01</v>
      </c>
      <c r="G366" s="1">
        <v>-1242.056</v>
      </c>
      <c r="H366" s="1">
        <v>6179.3670000000002</v>
      </c>
      <c r="I366" s="1">
        <v>-5344.06</v>
      </c>
    </row>
    <row r="367" spans="1:9" hidden="1" x14ac:dyDescent="0.25">
      <c r="A367" s="1" t="s">
        <v>127</v>
      </c>
      <c r="B367" s="1" t="s">
        <v>175</v>
      </c>
      <c r="C367" s="1" t="s">
        <v>3</v>
      </c>
      <c r="D367" s="1">
        <v>917.65</v>
      </c>
      <c r="E367" s="1">
        <v>0</v>
      </c>
      <c r="F367" s="1">
        <v>-230.01</v>
      </c>
      <c r="G367" s="1">
        <v>-1242.056</v>
      </c>
      <c r="H367" s="1">
        <v>7037.6880000000001</v>
      </c>
      <c r="I367" s="1">
        <v>-5505.8980000000001</v>
      </c>
    </row>
    <row r="368" spans="1:9" hidden="1" x14ac:dyDescent="0.25">
      <c r="A368" s="1" t="s">
        <v>9</v>
      </c>
      <c r="B368" s="1" t="s">
        <v>175</v>
      </c>
      <c r="C368" s="1" t="s">
        <v>143</v>
      </c>
      <c r="D368" s="1">
        <v>1196.56</v>
      </c>
      <c r="E368" s="1">
        <v>0</v>
      </c>
      <c r="F368" s="1">
        <v>-256.13</v>
      </c>
      <c r="G368" s="1">
        <v>-1383.1110000000001</v>
      </c>
      <c r="H368" s="1">
        <v>8711.1489999999994</v>
      </c>
      <c r="I368" s="1">
        <v>-7179.3590000000004</v>
      </c>
    </row>
    <row r="369" spans="1:9" hidden="1" x14ac:dyDescent="0.25">
      <c r="A369" s="1" t="s">
        <v>9</v>
      </c>
      <c r="B369" s="1" t="s">
        <v>175</v>
      </c>
      <c r="C369" s="1" t="s">
        <v>3</v>
      </c>
      <c r="D369" s="1">
        <v>1223.53</v>
      </c>
      <c r="E369" s="1">
        <v>0</v>
      </c>
      <c r="F369" s="1">
        <v>-256.13</v>
      </c>
      <c r="G369" s="1">
        <v>-1383.1110000000001</v>
      </c>
      <c r="H369" s="1">
        <v>9657.7029999999995</v>
      </c>
      <c r="I369" s="1">
        <v>-7341.1970000000001</v>
      </c>
    </row>
    <row r="370" spans="1:9" hidden="1" x14ac:dyDescent="0.25">
      <c r="A370" s="1" t="s">
        <v>10</v>
      </c>
      <c r="B370" s="1" t="s">
        <v>175</v>
      </c>
      <c r="C370" s="1" t="s">
        <v>143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</row>
    <row r="371" spans="1:9" hidden="1" x14ac:dyDescent="0.25">
      <c r="A371" s="1" t="s">
        <v>10</v>
      </c>
      <c r="B371" s="1" t="s">
        <v>175</v>
      </c>
      <c r="C371" s="1" t="s">
        <v>3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</row>
    <row r="372" spans="1:9" hidden="1" x14ac:dyDescent="0.25">
      <c r="A372" s="1" t="s">
        <v>125</v>
      </c>
      <c r="B372" s="1" t="s">
        <v>176</v>
      </c>
      <c r="C372" s="1" t="s">
        <v>143</v>
      </c>
      <c r="D372" s="1">
        <v>278.91000000000003</v>
      </c>
      <c r="E372" s="1">
        <v>0</v>
      </c>
      <c r="F372" s="1">
        <v>99.4</v>
      </c>
      <c r="G372" s="1">
        <v>656.06299999999999</v>
      </c>
      <c r="H372" s="1">
        <v>1673.461</v>
      </c>
      <c r="I372" s="1">
        <v>-1673.461</v>
      </c>
    </row>
    <row r="373" spans="1:9" hidden="1" x14ac:dyDescent="0.25">
      <c r="A373" s="1" t="s">
        <v>125</v>
      </c>
      <c r="B373" s="1" t="s">
        <v>176</v>
      </c>
      <c r="C373" s="1" t="s">
        <v>3</v>
      </c>
      <c r="D373" s="1">
        <v>305.88</v>
      </c>
      <c r="E373" s="1">
        <v>0</v>
      </c>
      <c r="F373" s="1">
        <v>99.4</v>
      </c>
      <c r="G373" s="1">
        <v>656.06299999999999</v>
      </c>
      <c r="H373" s="1">
        <v>1536.2329999999999</v>
      </c>
      <c r="I373" s="1">
        <v>-1835.299</v>
      </c>
    </row>
    <row r="374" spans="1:9" hidden="1" x14ac:dyDescent="0.25">
      <c r="A374" s="1" t="s">
        <v>126</v>
      </c>
      <c r="B374" s="1" t="s">
        <v>176</v>
      </c>
      <c r="C374" s="1" t="s">
        <v>143</v>
      </c>
      <c r="D374" s="1">
        <v>584.79</v>
      </c>
      <c r="E374" s="1">
        <v>0</v>
      </c>
      <c r="F374" s="1">
        <v>177.77</v>
      </c>
      <c r="G374" s="1">
        <v>1173.2660000000001</v>
      </c>
      <c r="H374" s="1">
        <v>3209.694</v>
      </c>
      <c r="I374" s="1">
        <v>-3508.76</v>
      </c>
    </row>
    <row r="375" spans="1:9" hidden="1" x14ac:dyDescent="0.25">
      <c r="A375" s="1" t="s">
        <v>126</v>
      </c>
      <c r="B375" s="1" t="s">
        <v>176</v>
      </c>
      <c r="C375" s="1" t="s">
        <v>3</v>
      </c>
      <c r="D375" s="1">
        <v>611.77</v>
      </c>
      <c r="E375" s="1">
        <v>0</v>
      </c>
      <c r="F375" s="1">
        <v>177.77</v>
      </c>
      <c r="G375" s="1">
        <v>1173.2660000000001</v>
      </c>
      <c r="H375" s="1">
        <v>2835.2910000000002</v>
      </c>
      <c r="I375" s="1">
        <v>-3670.5990000000002</v>
      </c>
    </row>
    <row r="376" spans="1:9" hidden="1" x14ac:dyDescent="0.25">
      <c r="A376" s="1" t="s">
        <v>127</v>
      </c>
      <c r="B376" s="1" t="s">
        <v>176</v>
      </c>
      <c r="C376" s="1" t="s">
        <v>143</v>
      </c>
      <c r="D376" s="1">
        <v>890.68</v>
      </c>
      <c r="E376" s="1">
        <v>0</v>
      </c>
      <c r="F376" s="1">
        <v>230.01</v>
      </c>
      <c r="G376" s="1">
        <v>1518.068</v>
      </c>
      <c r="H376" s="1">
        <v>4508.7520000000004</v>
      </c>
      <c r="I376" s="1">
        <v>-5344.06</v>
      </c>
    </row>
    <row r="377" spans="1:9" hidden="1" x14ac:dyDescent="0.25">
      <c r="A377" s="1" t="s">
        <v>127</v>
      </c>
      <c r="B377" s="1" t="s">
        <v>176</v>
      </c>
      <c r="C377" s="1" t="s">
        <v>3</v>
      </c>
      <c r="D377" s="1">
        <v>917.65</v>
      </c>
      <c r="E377" s="1">
        <v>0</v>
      </c>
      <c r="F377" s="1">
        <v>230.01</v>
      </c>
      <c r="G377" s="1">
        <v>1518.068</v>
      </c>
      <c r="H377" s="1">
        <v>3974.107</v>
      </c>
      <c r="I377" s="1">
        <v>-5505.8980000000001</v>
      </c>
    </row>
    <row r="378" spans="1:9" hidden="1" x14ac:dyDescent="0.25">
      <c r="A378" s="1" t="s">
        <v>9</v>
      </c>
      <c r="B378" s="1" t="s">
        <v>176</v>
      </c>
      <c r="C378" s="1" t="s">
        <v>143</v>
      </c>
      <c r="D378" s="1">
        <v>1196.56</v>
      </c>
      <c r="E378" s="1">
        <v>0</v>
      </c>
      <c r="F378" s="1">
        <v>256.13</v>
      </c>
      <c r="G378" s="1">
        <v>1690.4690000000001</v>
      </c>
      <c r="H378" s="1">
        <v>5647.5680000000002</v>
      </c>
      <c r="I378" s="1">
        <v>-7179.3590000000004</v>
      </c>
    </row>
    <row r="379" spans="1:9" hidden="1" x14ac:dyDescent="0.25">
      <c r="A379" s="1" t="s">
        <v>9</v>
      </c>
      <c r="B379" s="1" t="s">
        <v>176</v>
      </c>
      <c r="C379" s="1" t="s">
        <v>3</v>
      </c>
      <c r="D379" s="1">
        <v>1223.53</v>
      </c>
      <c r="E379" s="1">
        <v>0</v>
      </c>
      <c r="F379" s="1">
        <v>256.13</v>
      </c>
      <c r="G379" s="1">
        <v>1690.4690000000001</v>
      </c>
      <c r="H379" s="1">
        <v>5024.6909999999998</v>
      </c>
      <c r="I379" s="1">
        <v>-7341.1970000000001</v>
      </c>
    </row>
    <row r="380" spans="1:9" hidden="1" x14ac:dyDescent="0.25">
      <c r="A380" s="1" t="s">
        <v>10</v>
      </c>
      <c r="B380" s="1" t="s">
        <v>176</v>
      </c>
      <c r="C380" s="1" t="s">
        <v>143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</row>
    <row r="381" spans="1:9" hidden="1" x14ac:dyDescent="0.25">
      <c r="A381" s="1" t="s">
        <v>10</v>
      </c>
      <c r="B381" s="1" t="s">
        <v>176</v>
      </c>
      <c r="C381" s="1" t="s">
        <v>3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</row>
    <row r="382" spans="1:9" hidden="1" x14ac:dyDescent="0.25">
      <c r="A382" s="1" t="s">
        <v>125</v>
      </c>
      <c r="B382" s="1" t="s">
        <v>177</v>
      </c>
      <c r="C382" s="1" t="s">
        <v>143</v>
      </c>
      <c r="D382" s="1">
        <v>278.91000000000003</v>
      </c>
      <c r="E382" s="1">
        <v>0</v>
      </c>
      <c r="F382" s="1">
        <v>99.4</v>
      </c>
      <c r="G382" s="1">
        <v>536.779</v>
      </c>
      <c r="H382" s="1">
        <v>1673.461</v>
      </c>
      <c r="I382" s="1">
        <v>-1673.461</v>
      </c>
    </row>
    <row r="383" spans="1:9" hidden="1" x14ac:dyDescent="0.25">
      <c r="A383" s="1" t="s">
        <v>125</v>
      </c>
      <c r="B383" s="1" t="s">
        <v>177</v>
      </c>
      <c r="C383" s="1" t="s">
        <v>3</v>
      </c>
      <c r="D383" s="1">
        <v>305.88</v>
      </c>
      <c r="E383" s="1">
        <v>0</v>
      </c>
      <c r="F383" s="1">
        <v>99.4</v>
      </c>
      <c r="G383" s="1">
        <v>536.779</v>
      </c>
      <c r="H383" s="1">
        <v>1536.2329999999999</v>
      </c>
      <c r="I383" s="1">
        <v>-1835.299</v>
      </c>
    </row>
    <row r="384" spans="1:9" hidden="1" x14ac:dyDescent="0.25">
      <c r="A384" s="1" t="s">
        <v>126</v>
      </c>
      <c r="B384" s="1" t="s">
        <v>177</v>
      </c>
      <c r="C384" s="1" t="s">
        <v>143</v>
      </c>
      <c r="D384" s="1">
        <v>584.79</v>
      </c>
      <c r="E384" s="1">
        <v>0</v>
      </c>
      <c r="F384" s="1">
        <v>177.77</v>
      </c>
      <c r="G384" s="1">
        <v>959.94500000000005</v>
      </c>
      <c r="H384" s="1">
        <v>3209.694</v>
      </c>
      <c r="I384" s="1">
        <v>-3508.76</v>
      </c>
    </row>
    <row r="385" spans="1:9" hidden="1" x14ac:dyDescent="0.25">
      <c r="A385" s="1" t="s">
        <v>126</v>
      </c>
      <c r="B385" s="1" t="s">
        <v>177</v>
      </c>
      <c r="C385" s="1" t="s">
        <v>3</v>
      </c>
      <c r="D385" s="1">
        <v>611.77</v>
      </c>
      <c r="E385" s="1">
        <v>0</v>
      </c>
      <c r="F385" s="1">
        <v>177.77</v>
      </c>
      <c r="G385" s="1">
        <v>959.94500000000005</v>
      </c>
      <c r="H385" s="1">
        <v>2835.2910000000002</v>
      </c>
      <c r="I385" s="1">
        <v>-3670.5990000000002</v>
      </c>
    </row>
    <row r="386" spans="1:9" hidden="1" x14ac:dyDescent="0.25">
      <c r="A386" s="1" t="s">
        <v>127</v>
      </c>
      <c r="B386" s="1" t="s">
        <v>177</v>
      </c>
      <c r="C386" s="1" t="s">
        <v>143</v>
      </c>
      <c r="D386" s="1">
        <v>890.68</v>
      </c>
      <c r="E386" s="1">
        <v>0</v>
      </c>
      <c r="F386" s="1">
        <v>230.01</v>
      </c>
      <c r="G386" s="1">
        <v>1242.056</v>
      </c>
      <c r="H386" s="1">
        <v>4508.7520000000004</v>
      </c>
      <c r="I386" s="1">
        <v>-5344.06</v>
      </c>
    </row>
    <row r="387" spans="1:9" hidden="1" x14ac:dyDescent="0.25">
      <c r="A387" s="1" t="s">
        <v>127</v>
      </c>
      <c r="B387" s="1" t="s">
        <v>177</v>
      </c>
      <c r="C387" s="1" t="s">
        <v>3</v>
      </c>
      <c r="D387" s="1">
        <v>917.65</v>
      </c>
      <c r="E387" s="1">
        <v>0</v>
      </c>
      <c r="F387" s="1">
        <v>230.01</v>
      </c>
      <c r="G387" s="1">
        <v>1242.056</v>
      </c>
      <c r="H387" s="1">
        <v>3974.107</v>
      </c>
      <c r="I387" s="1">
        <v>-5505.8980000000001</v>
      </c>
    </row>
    <row r="388" spans="1:9" hidden="1" x14ac:dyDescent="0.25">
      <c r="A388" s="1" t="s">
        <v>9</v>
      </c>
      <c r="B388" s="1" t="s">
        <v>177</v>
      </c>
      <c r="C388" s="1" t="s">
        <v>143</v>
      </c>
      <c r="D388" s="1">
        <v>1196.56</v>
      </c>
      <c r="E388" s="1">
        <v>0</v>
      </c>
      <c r="F388" s="1">
        <v>256.13</v>
      </c>
      <c r="G388" s="1">
        <v>1383.1110000000001</v>
      </c>
      <c r="H388" s="1">
        <v>5647.5680000000002</v>
      </c>
      <c r="I388" s="1">
        <v>-7179.3590000000004</v>
      </c>
    </row>
    <row r="389" spans="1:9" hidden="1" x14ac:dyDescent="0.25">
      <c r="A389" s="1" t="s">
        <v>9</v>
      </c>
      <c r="B389" s="1" t="s">
        <v>177</v>
      </c>
      <c r="C389" s="1" t="s">
        <v>3</v>
      </c>
      <c r="D389" s="1">
        <v>1223.53</v>
      </c>
      <c r="E389" s="1">
        <v>0</v>
      </c>
      <c r="F389" s="1">
        <v>256.13</v>
      </c>
      <c r="G389" s="1">
        <v>1383.1110000000001</v>
      </c>
      <c r="H389" s="1">
        <v>5024.6909999999998</v>
      </c>
      <c r="I389" s="1">
        <v>-7341.1970000000001</v>
      </c>
    </row>
    <row r="390" spans="1:9" hidden="1" x14ac:dyDescent="0.25">
      <c r="A390" s="1" t="s">
        <v>10</v>
      </c>
      <c r="B390" s="1" t="s">
        <v>177</v>
      </c>
      <c r="C390" s="1" t="s">
        <v>143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</row>
    <row r="391" spans="1:9" hidden="1" x14ac:dyDescent="0.25">
      <c r="A391" s="1" t="s">
        <v>10</v>
      </c>
      <c r="B391" s="1" t="s">
        <v>177</v>
      </c>
      <c r="C391" s="1" t="s">
        <v>3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</row>
    <row r="392" spans="1:9" hidden="1" x14ac:dyDescent="0.25">
      <c r="A392" s="1" t="s">
        <v>125</v>
      </c>
      <c r="B392" s="1" t="s">
        <v>178</v>
      </c>
      <c r="C392" s="1" t="s">
        <v>143</v>
      </c>
      <c r="D392" s="1">
        <v>322.35000000000002</v>
      </c>
      <c r="E392" s="1">
        <v>-29.82</v>
      </c>
      <c r="F392" s="1">
        <v>0</v>
      </c>
      <c r="G392" s="1">
        <v>196.81899999999999</v>
      </c>
      <c r="H392" s="1">
        <v>1934.1130000000001</v>
      </c>
      <c r="I392" s="1">
        <v>-1934.1130000000001</v>
      </c>
    </row>
    <row r="393" spans="1:9" hidden="1" x14ac:dyDescent="0.25">
      <c r="A393" s="1" t="s">
        <v>125</v>
      </c>
      <c r="B393" s="1" t="s">
        <v>178</v>
      </c>
      <c r="C393" s="1" t="s">
        <v>3</v>
      </c>
      <c r="D393" s="1">
        <v>353.88</v>
      </c>
      <c r="E393" s="1">
        <v>-29.82</v>
      </c>
      <c r="F393" s="1">
        <v>0</v>
      </c>
      <c r="G393" s="1">
        <v>196.81899999999999</v>
      </c>
      <c r="H393" s="1">
        <v>2123.2739999999999</v>
      </c>
      <c r="I393" s="1">
        <v>-2212.9940000000001</v>
      </c>
    </row>
    <row r="394" spans="1:9" hidden="1" x14ac:dyDescent="0.25">
      <c r="A394" s="1" t="s">
        <v>126</v>
      </c>
      <c r="B394" s="1" t="s">
        <v>178</v>
      </c>
      <c r="C394" s="1" t="s">
        <v>143</v>
      </c>
      <c r="D394" s="1">
        <v>676.23</v>
      </c>
      <c r="E394" s="1">
        <v>-53.33</v>
      </c>
      <c r="F394" s="1">
        <v>0</v>
      </c>
      <c r="G394" s="1">
        <v>351.98</v>
      </c>
      <c r="H394" s="1">
        <v>4057.3870000000002</v>
      </c>
      <c r="I394" s="1">
        <v>-4147.107</v>
      </c>
    </row>
    <row r="395" spans="1:9" hidden="1" x14ac:dyDescent="0.25">
      <c r="A395" s="1" t="s">
        <v>126</v>
      </c>
      <c r="B395" s="1" t="s">
        <v>178</v>
      </c>
      <c r="C395" s="1" t="s">
        <v>3</v>
      </c>
      <c r="D395" s="1">
        <v>707.76</v>
      </c>
      <c r="E395" s="1">
        <v>-53.33</v>
      </c>
      <c r="F395" s="1">
        <v>0</v>
      </c>
      <c r="G395" s="1">
        <v>351.98</v>
      </c>
      <c r="H395" s="1">
        <v>4246.549</v>
      </c>
      <c r="I395" s="1">
        <v>-4497.1409999999996</v>
      </c>
    </row>
    <row r="396" spans="1:9" hidden="1" x14ac:dyDescent="0.25">
      <c r="A396" s="1" t="s">
        <v>127</v>
      </c>
      <c r="B396" s="1" t="s">
        <v>178</v>
      </c>
      <c r="C396" s="1" t="s">
        <v>143</v>
      </c>
      <c r="D396" s="1">
        <v>1030.1099999999999</v>
      </c>
      <c r="E396" s="1">
        <v>-69</v>
      </c>
      <c r="F396" s="1">
        <v>0</v>
      </c>
      <c r="G396" s="1">
        <v>455.42</v>
      </c>
      <c r="H396" s="1">
        <v>6180.6620000000003</v>
      </c>
      <c r="I396" s="1">
        <v>-6431.2539999999999</v>
      </c>
    </row>
    <row r="397" spans="1:9" hidden="1" x14ac:dyDescent="0.25">
      <c r="A397" s="1" t="s">
        <v>127</v>
      </c>
      <c r="B397" s="1" t="s">
        <v>178</v>
      </c>
      <c r="C397" s="1" t="s">
        <v>3</v>
      </c>
      <c r="D397" s="1">
        <v>1061.6400000000001</v>
      </c>
      <c r="E397" s="1">
        <v>-69</v>
      </c>
      <c r="F397" s="1">
        <v>0</v>
      </c>
      <c r="G397" s="1">
        <v>455.42</v>
      </c>
      <c r="H397" s="1">
        <v>6369.8230000000003</v>
      </c>
      <c r="I397" s="1">
        <v>-6829.3609999999999</v>
      </c>
    </row>
    <row r="398" spans="1:9" hidden="1" x14ac:dyDescent="0.25">
      <c r="A398" s="1" t="s">
        <v>9</v>
      </c>
      <c r="B398" s="1" t="s">
        <v>178</v>
      </c>
      <c r="C398" s="1" t="s">
        <v>143</v>
      </c>
      <c r="D398" s="1">
        <v>1383.99</v>
      </c>
      <c r="E398" s="1">
        <v>-76.84</v>
      </c>
      <c r="F398" s="1">
        <v>0</v>
      </c>
      <c r="G398" s="1">
        <v>507.14100000000002</v>
      </c>
      <c r="H398" s="1">
        <v>8303.9359999999997</v>
      </c>
      <c r="I398" s="1">
        <v>-8763.473</v>
      </c>
    </row>
    <row r="399" spans="1:9" hidden="1" x14ac:dyDescent="0.25">
      <c r="A399" s="1" t="s">
        <v>9</v>
      </c>
      <c r="B399" s="1" t="s">
        <v>178</v>
      </c>
      <c r="C399" s="1" t="s">
        <v>3</v>
      </c>
      <c r="D399" s="1">
        <v>1415.52</v>
      </c>
      <c r="E399" s="1">
        <v>-76.84</v>
      </c>
      <c r="F399" s="1">
        <v>0</v>
      </c>
      <c r="G399" s="1">
        <v>507.14100000000002</v>
      </c>
      <c r="H399" s="1">
        <v>8493.098</v>
      </c>
      <c r="I399" s="1">
        <v>-9188.0499999999993</v>
      </c>
    </row>
    <row r="400" spans="1:9" hidden="1" x14ac:dyDescent="0.25">
      <c r="A400" s="1" t="s">
        <v>10</v>
      </c>
      <c r="B400" s="1" t="s">
        <v>178</v>
      </c>
      <c r="C400" s="1" t="s">
        <v>143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</row>
    <row r="401" spans="1:9" hidden="1" x14ac:dyDescent="0.25">
      <c r="A401" s="1" t="s">
        <v>10</v>
      </c>
      <c r="B401" s="1" t="s">
        <v>178</v>
      </c>
      <c r="C401" s="1" t="s">
        <v>3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</row>
    <row r="402" spans="1:9" hidden="1" x14ac:dyDescent="0.25">
      <c r="A402" s="1" t="s">
        <v>125</v>
      </c>
      <c r="B402" s="1" t="s">
        <v>179</v>
      </c>
      <c r="C402" s="1" t="s">
        <v>143</v>
      </c>
      <c r="D402" s="1">
        <v>322.35000000000002</v>
      </c>
      <c r="E402" s="1">
        <v>-29.82</v>
      </c>
      <c r="F402" s="1">
        <v>0</v>
      </c>
      <c r="G402" s="1">
        <v>161.03399999999999</v>
      </c>
      <c r="H402" s="1">
        <v>1934.1130000000001</v>
      </c>
      <c r="I402" s="1">
        <v>-1934.1130000000001</v>
      </c>
    </row>
    <row r="403" spans="1:9" hidden="1" x14ac:dyDescent="0.25">
      <c r="A403" s="1" t="s">
        <v>125</v>
      </c>
      <c r="B403" s="1" t="s">
        <v>179</v>
      </c>
      <c r="C403" s="1" t="s">
        <v>3</v>
      </c>
      <c r="D403" s="1">
        <v>353.88</v>
      </c>
      <c r="E403" s="1">
        <v>-29.82</v>
      </c>
      <c r="F403" s="1">
        <v>0</v>
      </c>
      <c r="G403" s="1">
        <v>161.03399999999999</v>
      </c>
      <c r="H403" s="1">
        <v>2123.2739999999999</v>
      </c>
      <c r="I403" s="1">
        <v>-2212.9940000000001</v>
      </c>
    </row>
    <row r="404" spans="1:9" hidden="1" x14ac:dyDescent="0.25">
      <c r="A404" s="1" t="s">
        <v>126</v>
      </c>
      <c r="B404" s="1" t="s">
        <v>179</v>
      </c>
      <c r="C404" s="1" t="s">
        <v>143</v>
      </c>
      <c r="D404" s="1">
        <v>676.23</v>
      </c>
      <c r="E404" s="1">
        <v>-53.33</v>
      </c>
      <c r="F404" s="1">
        <v>0</v>
      </c>
      <c r="G404" s="1">
        <v>287.98399999999998</v>
      </c>
      <c r="H404" s="1">
        <v>4057.3870000000002</v>
      </c>
      <c r="I404" s="1">
        <v>-4147.107</v>
      </c>
    </row>
    <row r="405" spans="1:9" hidden="1" x14ac:dyDescent="0.25">
      <c r="A405" s="1" t="s">
        <v>126</v>
      </c>
      <c r="B405" s="1" t="s">
        <v>179</v>
      </c>
      <c r="C405" s="1" t="s">
        <v>3</v>
      </c>
      <c r="D405" s="1">
        <v>707.76</v>
      </c>
      <c r="E405" s="1">
        <v>-53.33</v>
      </c>
      <c r="F405" s="1">
        <v>0</v>
      </c>
      <c r="G405" s="1">
        <v>287.98399999999998</v>
      </c>
      <c r="H405" s="1">
        <v>4246.549</v>
      </c>
      <c r="I405" s="1">
        <v>-4497.1409999999996</v>
      </c>
    </row>
    <row r="406" spans="1:9" hidden="1" x14ac:dyDescent="0.25">
      <c r="A406" s="1" t="s">
        <v>127</v>
      </c>
      <c r="B406" s="1" t="s">
        <v>179</v>
      </c>
      <c r="C406" s="1" t="s">
        <v>143</v>
      </c>
      <c r="D406" s="1">
        <v>1030.1099999999999</v>
      </c>
      <c r="E406" s="1">
        <v>-69</v>
      </c>
      <c r="F406" s="1">
        <v>0</v>
      </c>
      <c r="G406" s="1">
        <v>372.61700000000002</v>
      </c>
      <c r="H406" s="1">
        <v>6180.6620000000003</v>
      </c>
      <c r="I406" s="1">
        <v>-6431.2539999999999</v>
      </c>
    </row>
    <row r="407" spans="1:9" hidden="1" x14ac:dyDescent="0.25">
      <c r="A407" s="1" t="s">
        <v>127</v>
      </c>
      <c r="B407" s="1" t="s">
        <v>179</v>
      </c>
      <c r="C407" s="1" t="s">
        <v>3</v>
      </c>
      <c r="D407" s="1">
        <v>1061.6400000000001</v>
      </c>
      <c r="E407" s="1">
        <v>-69</v>
      </c>
      <c r="F407" s="1">
        <v>0</v>
      </c>
      <c r="G407" s="1">
        <v>372.61700000000002</v>
      </c>
      <c r="H407" s="1">
        <v>6369.8230000000003</v>
      </c>
      <c r="I407" s="1">
        <v>-6829.3609999999999</v>
      </c>
    </row>
    <row r="408" spans="1:9" hidden="1" x14ac:dyDescent="0.25">
      <c r="A408" s="1" t="s">
        <v>9</v>
      </c>
      <c r="B408" s="1" t="s">
        <v>179</v>
      </c>
      <c r="C408" s="1" t="s">
        <v>143</v>
      </c>
      <c r="D408" s="1">
        <v>1383.99</v>
      </c>
      <c r="E408" s="1">
        <v>-76.84</v>
      </c>
      <c r="F408" s="1">
        <v>0</v>
      </c>
      <c r="G408" s="1">
        <v>414.93299999999999</v>
      </c>
      <c r="H408" s="1">
        <v>8303.9359999999997</v>
      </c>
      <c r="I408" s="1">
        <v>-8763.473</v>
      </c>
    </row>
    <row r="409" spans="1:9" hidden="1" x14ac:dyDescent="0.25">
      <c r="A409" s="1" t="s">
        <v>9</v>
      </c>
      <c r="B409" s="1" t="s">
        <v>179</v>
      </c>
      <c r="C409" s="1" t="s">
        <v>3</v>
      </c>
      <c r="D409" s="1">
        <v>1415.52</v>
      </c>
      <c r="E409" s="1">
        <v>-76.84</v>
      </c>
      <c r="F409" s="1">
        <v>0</v>
      </c>
      <c r="G409" s="1">
        <v>414.93299999999999</v>
      </c>
      <c r="H409" s="1">
        <v>8493.098</v>
      </c>
      <c r="I409" s="1">
        <v>-9188.0499999999993</v>
      </c>
    </row>
    <row r="410" spans="1:9" hidden="1" x14ac:dyDescent="0.25">
      <c r="A410" s="1" t="s">
        <v>10</v>
      </c>
      <c r="B410" s="1" t="s">
        <v>179</v>
      </c>
      <c r="C410" s="1" t="s">
        <v>143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</row>
    <row r="411" spans="1:9" hidden="1" x14ac:dyDescent="0.25">
      <c r="A411" s="1" t="s">
        <v>10</v>
      </c>
      <c r="B411" s="1" t="s">
        <v>179</v>
      </c>
      <c r="C411" s="1" t="s">
        <v>3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</row>
    <row r="412" spans="1:9" hidden="1" x14ac:dyDescent="0.25">
      <c r="A412" s="1" t="s">
        <v>125</v>
      </c>
      <c r="B412" s="1" t="s">
        <v>180</v>
      </c>
      <c r="C412" s="1" t="s">
        <v>143</v>
      </c>
      <c r="D412" s="1">
        <v>322.35000000000002</v>
      </c>
      <c r="E412" s="1">
        <v>29.82</v>
      </c>
      <c r="F412" s="1">
        <v>0</v>
      </c>
      <c r="G412" s="1">
        <v>-196.81899999999999</v>
      </c>
      <c r="H412" s="1">
        <v>1934.1130000000001</v>
      </c>
      <c r="I412" s="1">
        <v>-1934.1130000000001</v>
      </c>
    </row>
    <row r="413" spans="1:9" hidden="1" x14ac:dyDescent="0.25">
      <c r="A413" s="1" t="s">
        <v>125</v>
      </c>
      <c r="B413" s="1" t="s">
        <v>180</v>
      </c>
      <c r="C413" s="1" t="s">
        <v>3</v>
      </c>
      <c r="D413" s="1">
        <v>353.88</v>
      </c>
      <c r="E413" s="1">
        <v>29.82</v>
      </c>
      <c r="F413" s="1">
        <v>0</v>
      </c>
      <c r="G413" s="1">
        <v>-196.81899999999999</v>
      </c>
      <c r="H413" s="1">
        <v>2123.2739999999999</v>
      </c>
      <c r="I413" s="1">
        <v>-2033.5540000000001</v>
      </c>
    </row>
    <row r="414" spans="1:9" hidden="1" x14ac:dyDescent="0.25">
      <c r="A414" s="1" t="s">
        <v>126</v>
      </c>
      <c r="B414" s="1" t="s">
        <v>180</v>
      </c>
      <c r="C414" s="1" t="s">
        <v>143</v>
      </c>
      <c r="D414" s="1">
        <v>676.23</v>
      </c>
      <c r="E414" s="1">
        <v>53.33</v>
      </c>
      <c r="F414" s="1">
        <v>0</v>
      </c>
      <c r="G414" s="1">
        <v>-351.98</v>
      </c>
      <c r="H414" s="1">
        <v>4057.3870000000002</v>
      </c>
      <c r="I414" s="1">
        <v>-3967.6669999999999</v>
      </c>
    </row>
    <row r="415" spans="1:9" hidden="1" x14ac:dyDescent="0.25">
      <c r="A415" s="1" t="s">
        <v>126</v>
      </c>
      <c r="B415" s="1" t="s">
        <v>180</v>
      </c>
      <c r="C415" s="1" t="s">
        <v>3</v>
      </c>
      <c r="D415" s="1">
        <v>707.76</v>
      </c>
      <c r="E415" s="1">
        <v>53.33</v>
      </c>
      <c r="F415" s="1">
        <v>0</v>
      </c>
      <c r="G415" s="1">
        <v>-351.98</v>
      </c>
      <c r="H415" s="1">
        <v>4246.549</v>
      </c>
      <c r="I415" s="1">
        <v>-3995.9569999999999</v>
      </c>
    </row>
    <row r="416" spans="1:9" hidden="1" x14ac:dyDescent="0.25">
      <c r="A416" s="1" t="s">
        <v>127</v>
      </c>
      <c r="B416" s="1" t="s">
        <v>180</v>
      </c>
      <c r="C416" s="1" t="s">
        <v>143</v>
      </c>
      <c r="D416" s="1">
        <v>1030.1099999999999</v>
      </c>
      <c r="E416" s="1">
        <v>69</v>
      </c>
      <c r="F416" s="1">
        <v>0</v>
      </c>
      <c r="G416" s="1">
        <v>-455.42</v>
      </c>
      <c r="H416" s="1">
        <v>6180.6620000000003</v>
      </c>
      <c r="I416" s="1">
        <v>-5930.07</v>
      </c>
    </row>
    <row r="417" spans="1:9" hidden="1" x14ac:dyDescent="0.25">
      <c r="A417" s="1" t="s">
        <v>127</v>
      </c>
      <c r="B417" s="1" t="s">
        <v>180</v>
      </c>
      <c r="C417" s="1" t="s">
        <v>3</v>
      </c>
      <c r="D417" s="1">
        <v>1061.6400000000001</v>
      </c>
      <c r="E417" s="1">
        <v>69</v>
      </c>
      <c r="F417" s="1">
        <v>0</v>
      </c>
      <c r="G417" s="1">
        <v>-455.42</v>
      </c>
      <c r="H417" s="1">
        <v>6369.8230000000003</v>
      </c>
      <c r="I417" s="1">
        <v>-5910.2860000000001</v>
      </c>
    </row>
    <row r="418" spans="1:9" hidden="1" x14ac:dyDescent="0.25">
      <c r="A418" s="1" t="s">
        <v>9</v>
      </c>
      <c r="B418" s="1" t="s">
        <v>180</v>
      </c>
      <c r="C418" s="1" t="s">
        <v>143</v>
      </c>
      <c r="D418" s="1">
        <v>1383.99</v>
      </c>
      <c r="E418" s="1">
        <v>76.84</v>
      </c>
      <c r="F418" s="1">
        <v>0</v>
      </c>
      <c r="G418" s="1">
        <v>-507.14100000000002</v>
      </c>
      <c r="H418" s="1">
        <v>8303.9359999999997</v>
      </c>
      <c r="I418" s="1">
        <v>-7844.3990000000003</v>
      </c>
    </row>
    <row r="419" spans="1:9" hidden="1" x14ac:dyDescent="0.25">
      <c r="A419" s="1" t="s">
        <v>9</v>
      </c>
      <c r="B419" s="1" t="s">
        <v>180</v>
      </c>
      <c r="C419" s="1" t="s">
        <v>3</v>
      </c>
      <c r="D419" s="1">
        <v>1415.52</v>
      </c>
      <c r="E419" s="1">
        <v>76.84</v>
      </c>
      <c r="F419" s="1">
        <v>0</v>
      </c>
      <c r="G419" s="1">
        <v>-507.14100000000002</v>
      </c>
      <c r="H419" s="1">
        <v>8493.098</v>
      </c>
      <c r="I419" s="1">
        <v>-7798.1459999999997</v>
      </c>
    </row>
    <row r="420" spans="1:9" hidden="1" x14ac:dyDescent="0.25">
      <c r="A420" s="1" t="s">
        <v>10</v>
      </c>
      <c r="B420" s="1" t="s">
        <v>180</v>
      </c>
      <c r="C420" s="1" t="s">
        <v>143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</row>
    <row r="421" spans="1:9" hidden="1" x14ac:dyDescent="0.25">
      <c r="A421" s="1" t="s">
        <v>10</v>
      </c>
      <c r="B421" s="1" t="s">
        <v>180</v>
      </c>
      <c r="C421" s="1" t="s">
        <v>3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</row>
    <row r="422" spans="1:9" hidden="1" x14ac:dyDescent="0.25">
      <c r="A422" s="1" t="s">
        <v>125</v>
      </c>
      <c r="B422" s="1" t="s">
        <v>181</v>
      </c>
      <c r="C422" s="1" t="s">
        <v>143</v>
      </c>
      <c r="D422" s="1">
        <v>322.35000000000002</v>
      </c>
      <c r="E422" s="1">
        <v>29.82</v>
      </c>
      <c r="F422" s="1">
        <v>0</v>
      </c>
      <c r="G422" s="1">
        <v>-161.03399999999999</v>
      </c>
      <c r="H422" s="1">
        <v>1934.1130000000001</v>
      </c>
      <c r="I422" s="1">
        <v>-1934.1130000000001</v>
      </c>
    </row>
    <row r="423" spans="1:9" hidden="1" x14ac:dyDescent="0.25">
      <c r="A423" s="1" t="s">
        <v>125</v>
      </c>
      <c r="B423" s="1" t="s">
        <v>181</v>
      </c>
      <c r="C423" s="1" t="s">
        <v>3</v>
      </c>
      <c r="D423" s="1">
        <v>353.88</v>
      </c>
      <c r="E423" s="1">
        <v>29.82</v>
      </c>
      <c r="F423" s="1">
        <v>0</v>
      </c>
      <c r="G423" s="1">
        <v>-161.03399999999999</v>
      </c>
      <c r="H423" s="1">
        <v>2123.2739999999999</v>
      </c>
      <c r="I423" s="1">
        <v>-2033.5540000000001</v>
      </c>
    </row>
    <row r="424" spans="1:9" hidden="1" x14ac:dyDescent="0.25">
      <c r="A424" s="1" t="s">
        <v>126</v>
      </c>
      <c r="B424" s="1" t="s">
        <v>181</v>
      </c>
      <c r="C424" s="1" t="s">
        <v>143</v>
      </c>
      <c r="D424" s="1">
        <v>676.23</v>
      </c>
      <c r="E424" s="1">
        <v>53.33</v>
      </c>
      <c r="F424" s="1">
        <v>0</v>
      </c>
      <c r="G424" s="1">
        <v>-287.98399999999998</v>
      </c>
      <c r="H424" s="1">
        <v>4057.3870000000002</v>
      </c>
      <c r="I424" s="1">
        <v>-3967.6669999999999</v>
      </c>
    </row>
    <row r="425" spans="1:9" hidden="1" x14ac:dyDescent="0.25">
      <c r="A425" s="1" t="s">
        <v>126</v>
      </c>
      <c r="B425" s="1" t="s">
        <v>181</v>
      </c>
      <c r="C425" s="1" t="s">
        <v>3</v>
      </c>
      <c r="D425" s="1">
        <v>707.76</v>
      </c>
      <c r="E425" s="1">
        <v>53.33</v>
      </c>
      <c r="F425" s="1">
        <v>0</v>
      </c>
      <c r="G425" s="1">
        <v>-287.98399999999998</v>
      </c>
      <c r="H425" s="1">
        <v>4246.549</v>
      </c>
      <c r="I425" s="1">
        <v>-3995.9569999999999</v>
      </c>
    </row>
    <row r="426" spans="1:9" hidden="1" x14ac:dyDescent="0.25">
      <c r="A426" s="1" t="s">
        <v>127</v>
      </c>
      <c r="B426" s="1" t="s">
        <v>181</v>
      </c>
      <c r="C426" s="1" t="s">
        <v>143</v>
      </c>
      <c r="D426" s="1">
        <v>1030.1099999999999</v>
      </c>
      <c r="E426" s="1">
        <v>69</v>
      </c>
      <c r="F426" s="1">
        <v>0</v>
      </c>
      <c r="G426" s="1">
        <v>-372.61700000000002</v>
      </c>
      <c r="H426" s="1">
        <v>6180.6620000000003</v>
      </c>
      <c r="I426" s="1">
        <v>-5930.07</v>
      </c>
    </row>
    <row r="427" spans="1:9" hidden="1" x14ac:dyDescent="0.25">
      <c r="A427" s="1" t="s">
        <v>127</v>
      </c>
      <c r="B427" s="1" t="s">
        <v>181</v>
      </c>
      <c r="C427" s="1" t="s">
        <v>3</v>
      </c>
      <c r="D427" s="1">
        <v>1061.6400000000001</v>
      </c>
      <c r="E427" s="1">
        <v>69</v>
      </c>
      <c r="F427" s="1">
        <v>0</v>
      </c>
      <c r="G427" s="1">
        <v>-372.61700000000002</v>
      </c>
      <c r="H427" s="1">
        <v>6369.8230000000003</v>
      </c>
      <c r="I427" s="1">
        <v>-5910.2860000000001</v>
      </c>
    </row>
    <row r="428" spans="1:9" hidden="1" x14ac:dyDescent="0.25">
      <c r="A428" s="1" t="s">
        <v>9</v>
      </c>
      <c r="B428" s="1" t="s">
        <v>181</v>
      </c>
      <c r="C428" s="1" t="s">
        <v>143</v>
      </c>
      <c r="D428" s="1">
        <v>1383.99</v>
      </c>
      <c r="E428" s="1">
        <v>76.84</v>
      </c>
      <c r="F428" s="1">
        <v>0</v>
      </c>
      <c r="G428" s="1">
        <v>-414.93299999999999</v>
      </c>
      <c r="H428" s="1">
        <v>8303.9359999999997</v>
      </c>
      <c r="I428" s="1">
        <v>-7844.3990000000003</v>
      </c>
    </row>
    <row r="429" spans="1:9" hidden="1" x14ac:dyDescent="0.25">
      <c r="A429" s="1" t="s">
        <v>9</v>
      </c>
      <c r="B429" s="1" t="s">
        <v>181</v>
      </c>
      <c r="C429" s="1" t="s">
        <v>3</v>
      </c>
      <c r="D429" s="1">
        <v>1415.52</v>
      </c>
      <c r="E429" s="1">
        <v>76.84</v>
      </c>
      <c r="F429" s="1">
        <v>0</v>
      </c>
      <c r="G429" s="1">
        <v>-414.93299999999999</v>
      </c>
      <c r="H429" s="1">
        <v>8493.098</v>
      </c>
      <c r="I429" s="1">
        <v>-7798.1459999999997</v>
      </c>
    </row>
    <row r="430" spans="1:9" hidden="1" x14ac:dyDescent="0.25">
      <c r="A430" s="1" t="s">
        <v>10</v>
      </c>
      <c r="B430" s="1" t="s">
        <v>181</v>
      </c>
      <c r="C430" s="1" t="s">
        <v>143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10</v>
      </c>
      <c r="B431" s="1" t="s">
        <v>181</v>
      </c>
      <c r="C431" s="1" t="s">
        <v>3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125</v>
      </c>
      <c r="B432" s="1" t="s">
        <v>182</v>
      </c>
      <c r="C432" s="1" t="s">
        <v>143</v>
      </c>
      <c r="D432" s="1">
        <v>322.35000000000002</v>
      </c>
      <c r="E432" s="1">
        <v>0</v>
      </c>
      <c r="F432" s="1">
        <v>-29.82</v>
      </c>
      <c r="G432" s="1">
        <v>-196.81899999999999</v>
      </c>
      <c r="H432" s="1">
        <v>1934.1130000000001</v>
      </c>
      <c r="I432" s="1">
        <v>-1934.1130000000001</v>
      </c>
    </row>
    <row r="433" spans="1:9" hidden="1" x14ac:dyDescent="0.25">
      <c r="A433" s="1" t="s">
        <v>125</v>
      </c>
      <c r="B433" s="1" t="s">
        <v>182</v>
      </c>
      <c r="C433" s="1" t="s">
        <v>3</v>
      </c>
      <c r="D433" s="1">
        <v>353.88</v>
      </c>
      <c r="E433" s="1">
        <v>0</v>
      </c>
      <c r="F433" s="1">
        <v>-29.82</v>
      </c>
      <c r="G433" s="1">
        <v>-196.81899999999999</v>
      </c>
      <c r="H433" s="1">
        <v>2212.9940000000001</v>
      </c>
      <c r="I433" s="1">
        <v>-2123.2739999999999</v>
      </c>
    </row>
    <row r="434" spans="1:9" hidden="1" x14ac:dyDescent="0.25">
      <c r="A434" s="1" t="s">
        <v>126</v>
      </c>
      <c r="B434" s="1" t="s">
        <v>182</v>
      </c>
      <c r="C434" s="1" t="s">
        <v>143</v>
      </c>
      <c r="D434" s="1">
        <v>676.23</v>
      </c>
      <c r="E434" s="1">
        <v>0</v>
      </c>
      <c r="F434" s="1">
        <v>-53.33</v>
      </c>
      <c r="G434" s="1">
        <v>-351.98</v>
      </c>
      <c r="H434" s="1">
        <v>4147.107</v>
      </c>
      <c r="I434" s="1">
        <v>-4057.3870000000002</v>
      </c>
    </row>
    <row r="435" spans="1:9" hidden="1" x14ac:dyDescent="0.25">
      <c r="A435" s="1" t="s">
        <v>126</v>
      </c>
      <c r="B435" s="1" t="s">
        <v>182</v>
      </c>
      <c r="C435" s="1" t="s">
        <v>3</v>
      </c>
      <c r="D435" s="1">
        <v>707.76</v>
      </c>
      <c r="E435" s="1">
        <v>0</v>
      </c>
      <c r="F435" s="1">
        <v>-53.33</v>
      </c>
      <c r="G435" s="1">
        <v>-351.98</v>
      </c>
      <c r="H435" s="1">
        <v>4497.1409999999996</v>
      </c>
      <c r="I435" s="1">
        <v>-4246.549</v>
      </c>
    </row>
    <row r="436" spans="1:9" hidden="1" x14ac:dyDescent="0.25">
      <c r="A436" s="1" t="s">
        <v>127</v>
      </c>
      <c r="B436" s="1" t="s">
        <v>182</v>
      </c>
      <c r="C436" s="1" t="s">
        <v>143</v>
      </c>
      <c r="D436" s="1">
        <v>1030.1099999999999</v>
      </c>
      <c r="E436" s="1">
        <v>0</v>
      </c>
      <c r="F436" s="1">
        <v>-69</v>
      </c>
      <c r="G436" s="1">
        <v>-455.42</v>
      </c>
      <c r="H436" s="1">
        <v>6431.2539999999999</v>
      </c>
      <c r="I436" s="1">
        <v>-6180.6620000000003</v>
      </c>
    </row>
    <row r="437" spans="1:9" hidden="1" x14ac:dyDescent="0.25">
      <c r="A437" s="1" t="s">
        <v>127</v>
      </c>
      <c r="B437" s="1" t="s">
        <v>182</v>
      </c>
      <c r="C437" s="1" t="s">
        <v>3</v>
      </c>
      <c r="D437" s="1">
        <v>1061.6400000000001</v>
      </c>
      <c r="E437" s="1">
        <v>0</v>
      </c>
      <c r="F437" s="1">
        <v>-69</v>
      </c>
      <c r="G437" s="1">
        <v>-455.42</v>
      </c>
      <c r="H437" s="1">
        <v>6829.3609999999999</v>
      </c>
      <c r="I437" s="1">
        <v>-6369.8230000000003</v>
      </c>
    </row>
    <row r="438" spans="1:9" hidden="1" x14ac:dyDescent="0.25">
      <c r="A438" s="1" t="s">
        <v>9</v>
      </c>
      <c r="B438" s="1" t="s">
        <v>182</v>
      </c>
      <c r="C438" s="1" t="s">
        <v>143</v>
      </c>
      <c r="D438" s="1">
        <v>1383.99</v>
      </c>
      <c r="E438" s="1">
        <v>0</v>
      </c>
      <c r="F438" s="1">
        <v>-76.84</v>
      </c>
      <c r="G438" s="1">
        <v>-507.14100000000002</v>
      </c>
      <c r="H438" s="1">
        <v>8763.473</v>
      </c>
      <c r="I438" s="1">
        <v>-8303.9359999999997</v>
      </c>
    </row>
    <row r="439" spans="1:9" hidden="1" x14ac:dyDescent="0.25">
      <c r="A439" s="1" t="s">
        <v>9</v>
      </c>
      <c r="B439" s="1" t="s">
        <v>182</v>
      </c>
      <c r="C439" s="1" t="s">
        <v>3</v>
      </c>
      <c r="D439" s="1">
        <v>1415.52</v>
      </c>
      <c r="E439" s="1">
        <v>0</v>
      </c>
      <c r="F439" s="1">
        <v>-76.84</v>
      </c>
      <c r="G439" s="1">
        <v>-507.14100000000002</v>
      </c>
      <c r="H439" s="1">
        <v>9188.0499999999993</v>
      </c>
      <c r="I439" s="1">
        <v>-8493.098</v>
      </c>
    </row>
    <row r="440" spans="1:9" hidden="1" x14ac:dyDescent="0.25">
      <c r="A440" s="1" t="s">
        <v>10</v>
      </c>
      <c r="B440" s="1" t="s">
        <v>182</v>
      </c>
      <c r="C440" s="1" t="s">
        <v>143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10</v>
      </c>
      <c r="B441" s="1" t="s">
        <v>182</v>
      </c>
      <c r="C441" s="1" t="s">
        <v>3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125</v>
      </c>
      <c r="B442" s="1" t="s">
        <v>183</v>
      </c>
      <c r="C442" s="1" t="s">
        <v>143</v>
      </c>
      <c r="D442" s="1">
        <v>322.35000000000002</v>
      </c>
      <c r="E442" s="1">
        <v>0</v>
      </c>
      <c r="F442" s="1">
        <v>-29.82</v>
      </c>
      <c r="G442" s="1">
        <v>-161.03399999999999</v>
      </c>
      <c r="H442" s="1">
        <v>1934.1130000000001</v>
      </c>
      <c r="I442" s="1">
        <v>-1934.1130000000001</v>
      </c>
    </row>
    <row r="443" spans="1:9" hidden="1" x14ac:dyDescent="0.25">
      <c r="A443" s="1" t="s">
        <v>125</v>
      </c>
      <c r="B443" s="1" t="s">
        <v>183</v>
      </c>
      <c r="C443" s="1" t="s">
        <v>3</v>
      </c>
      <c r="D443" s="1">
        <v>353.88</v>
      </c>
      <c r="E443" s="1">
        <v>0</v>
      </c>
      <c r="F443" s="1">
        <v>-29.82</v>
      </c>
      <c r="G443" s="1">
        <v>-161.03399999999999</v>
      </c>
      <c r="H443" s="1">
        <v>2212.9940000000001</v>
      </c>
      <c r="I443" s="1">
        <v>-2123.2739999999999</v>
      </c>
    </row>
    <row r="444" spans="1:9" hidden="1" x14ac:dyDescent="0.25">
      <c r="A444" s="1" t="s">
        <v>126</v>
      </c>
      <c r="B444" s="1" t="s">
        <v>183</v>
      </c>
      <c r="C444" s="1" t="s">
        <v>143</v>
      </c>
      <c r="D444" s="1">
        <v>676.23</v>
      </c>
      <c r="E444" s="1">
        <v>0</v>
      </c>
      <c r="F444" s="1">
        <v>-53.33</v>
      </c>
      <c r="G444" s="1">
        <v>-287.98399999999998</v>
      </c>
      <c r="H444" s="1">
        <v>4147.107</v>
      </c>
      <c r="I444" s="1">
        <v>-4057.3870000000002</v>
      </c>
    </row>
    <row r="445" spans="1:9" hidden="1" x14ac:dyDescent="0.25">
      <c r="A445" s="1" t="s">
        <v>126</v>
      </c>
      <c r="B445" s="1" t="s">
        <v>183</v>
      </c>
      <c r="C445" s="1" t="s">
        <v>3</v>
      </c>
      <c r="D445" s="1">
        <v>707.76</v>
      </c>
      <c r="E445" s="1">
        <v>0</v>
      </c>
      <c r="F445" s="1">
        <v>-53.33</v>
      </c>
      <c r="G445" s="1">
        <v>-287.98399999999998</v>
      </c>
      <c r="H445" s="1">
        <v>4497.1409999999996</v>
      </c>
      <c r="I445" s="1">
        <v>-4246.549</v>
      </c>
    </row>
    <row r="446" spans="1:9" hidden="1" x14ac:dyDescent="0.25">
      <c r="A446" s="1" t="s">
        <v>127</v>
      </c>
      <c r="B446" s="1" t="s">
        <v>183</v>
      </c>
      <c r="C446" s="1" t="s">
        <v>143</v>
      </c>
      <c r="D446" s="1">
        <v>1030.1099999999999</v>
      </c>
      <c r="E446" s="1">
        <v>0</v>
      </c>
      <c r="F446" s="1">
        <v>-69</v>
      </c>
      <c r="G446" s="1">
        <v>-372.61700000000002</v>
      </c>
      <c r="H446" s="1">
        <v>6431.2539999999999</v>
      </c>
      <c r="I446" s="1">
        <v>-6180.6620000000003</v>
      </c>
    </row>
    <row r="447" spans="1:9" hidden="1" x14ac:dyDescent="0.25">
      <c r="A447" s="1" t="s">
        <v>127</v>
      </c>
      <c r="B447" s="1" t="s">
        <v>183</v>
      </c>
      <c r="C447" s="1" t="s">
        <v>3</v>
      </c>
      <c r="D447" s="1">
        <v>1061.6400000000001</v>
      </c>
      <c r="E447" s="1">
        <v>0</v>
      </c>
      <c r="F447" s="1">
        <v>-69</v>
      </c>
      <c r="G447" s="1">
        <v>-372.61700000000002</v>
      </c>
      <c r="H447" s="1">
        <v>6829.3609999999999</v>
      </c>
      <c r="I447" s="1">
        <v>-6369.8230000000003</v>
      </c>
    </row>
    <row r="448" spans="1:9" hidden="1" x14ac:dyDescent="0.25">
      <c r="A448" s="1" t="s">
        <v>9</v>
      </c>
      <c r="B448" s="1" t="s">
        <v>183</v>
      </c>
      <c r="C448" s="1" t="s">
        <v>143</v>
      </c>
      <c r="D448" s="1">
        <v>1383.99</v>
      </c>
      <c r="E448" s="1">
        <v>0</v>
      </c>
      <c r="F448" s="1">
        <v>-76.84</v>
      </c>
      <c r="G448" s="1">
        <v>-414.93299999999999</v>
      </c>
      <c r="H448" s="1">
        <v>8763.473</v>
      </c>
      <c r="I448" s="1">
        <v>-8303.9359999999997</v>
      </c>
    </row>
    <row r="449" spans="1:9" hidden="1" x14ac:dyDescent="0.25">
      <c r="A449" s="1" t="s">
        <v>9</v>
      </c>
      <c r="B449" s="1" t="s">
        <v>183</v>
      </c>
      <c r="C449" s="1" t="s">
        <v>3</v>
      </c>
      <c r="D449" s="1">
        <v>1415.52</v>
      </c>
      <c r="E449" s="1">
        <v>0</v>
      </c>
      <c r="F449" s="1">
        <v>-76.84</v>
      </c>
      <c r="G449" s="1">
        <v>-414.93299999999999</v>
      </c>
      <c r="H449" s="1">
        <v>9188.0499999999993</v>
      </c>
      <c r="I449" s="1">
        <v>-8493.098</v>
      </c>
    </row>
    <row r="450" spans="1:9" hidden="1" x14ac:dyDescent="0.25">
      <c r="A450" s="1" t="s">
        <v>10</v>
      </c>
      <c r="B450" s="1" t="s">
        <v>183</v>
      </c>
      <c r="C450" s="1" t="s">
        <v>143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10</v>
      </c>
      <c r="B451" s="1" t="s">
        <v>183</v>
      </c>
      <c r="C451" s="1" t="s">
        <v>3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125</v>
      </c>
      <c r="B452" s="1" t="s">
        <v>184</v>
      </c>
      <c r="C452" s="1" t="s">
        <v>143</v>
      </c>
      <c r="D452" s="1">
        <v>322.35000000000002</v>
      </c>
      <c r="E452" s="1">
        <v>0</v>
      </c>
      <c r="F452" s="1">
        <v>29.82</v>
      </c>
      <c r="G452" s="1">
        <v>196.81899999999999</v>
      </c>
      <c r="H452" s="1">
        <v>1934.1130000000001</v>
      </c>
      <c r="I452" s="1">
        <v>-1934.1130000000001</v>
      </c>
    </row>
    <row r="453" spans="1:9" hidden="1" x14ac:dyDescent="0.25">
      <c r="A453" s="1" t="s">
        <v>125</v>
      </c>
      <c r="B453" s="1" t="s">
        <v>184</v>
      </c>
      <c r="C453" s="1" t="s">
        <v>3</v>
      </c>
      <c r="D453" s="1">
        <v>353.88</v>
      </c>
      <c r="E453" s="1">
        <v>0</v>
      </c>
      <c r="F453" s="1">
        <v>29.82</v>
      </c>
      <c r="G453" s="1">
        <v>196.81899999999999</v>
      </c>
      <c r="H453" s="1">
        <v>2033.5540000000001</v>
      </c>
      <c r="I453" s="1">
        <v>-2123.2739999999999</v>
      </c>
    </row>
    <row r="454" spans="1:9" hidden="1" x14ac:dyDescent="0.25">
      <c r="A454" s="1" t="s">
        <v>126</v>
      </c>
      <c r="B454" s="1" t="s">
        <v>184</v>
      </c>
      <c r="C454" s="1" t="s">
        <v>143</v>
      </c>
      <c r="D454" s="1">
        <v>676.23</v>
      </c>
      <c r="E454" s="1">
        <v>0</v>
      </c>
      <c r="F454" s="1">
        <v>53.33</v>
      </c>
      <c r="G454" s="1">
        <v>351.98</v>
      </c>
      <c r="H454" s="1">
        <v>3967.6669999999999</v>
      </c>
      <c r="I454" s="1">
        <v>-4057.3870000000002</v>
      </c>
    </row>
    <row r="455" spans="1:9" hidden="1" x14ac:dyDescent="0.25">
      <c r="A455" s="1" t="s">
        <v>126</v>
      </c>
      <c r="B455" s="1" t="s">
        <v>184</v>
      </c>
      <c r="C455" s="1" t="s">
        <v>3</v>
      </c>
      <c r="D455" s="1">
        <v>707.76</v>
      </c>
      <c r="E455" s="1">
        <v>0</v>
      </c>
      <c r="F455" s="1">
        <v>53.33</v>
      </c>
      <c r="G455" s="1">
        <v>351.98</v>
      </c>
      <c r="H455" s="1">
        <v>3995.9569999999999</v>
      </c>
      <c r="I455" s="1">
        <v>-4246.549</v>
      </c>
    </row>
    <row r="456" spans="1:9" hidden="1" x14ac:dyDescent="0.25">
      <c r="A456" s="1" t="s">
        <v>127</v>
      </c>
      <c r="B456" s="1" t="s">
        <v>184</v>
      </c>
      <c r="C456" s="1" t="s">
        <v>143</v>
      </c>
      <c r="D456" s="1">
        <v>1030.1099999999999</v>
      </c>
      <c r="E456" s="1">
        <v>0</v>
      </c>
      <c r="F456" s="1">
        <v>69</v>
      </c>
      <c r="G456" s="1">
        <v>455.42</v>
      </c>
      <c r="H456" s="1">
        <v>5930.07</v>
      </c>
      <c r="I456" s="1">
        <v>-6180.6620000000003</v>
      </c>
    </row>
    <row r="457" spans="1:9" hidden="1" x14ac:dyDescent="0.25">
      <c r="A457" s="1" t="s">
        <v>127</v>
      </c>
      <c r="B457" s="1" t="s">
        <v>184</v>
      </c>
      <c r="C457" s="1" t="s">
        <v>3</v>
      </c>
      <c r="D457" s="1">
        <v>1061.6400000000001</v>
      </c>
      <c r="E457" s="1">
        <v>0</v>
      </c>
      <c r="F457" s="1">
        <v>69</v>
      </c>
      <c r="G457" s="1">
        <v>455.42</v>
      </c>
      <c r="H457" s="1">
        <v>5910.2860000000001</v>
      </c>
      <c r="I457" s="1">
        <v>-6369.8230000000003</v>
      </c>
    </row>
    <row r="458" spans="1:9" hidden="1" x14ac:dyDescent="0.25">
      <c r="A458" s="1" t="s">
        <v>9</v>
      </c>
      <c r="B458" s="1" t="s">
        <v>184</v>
      </c>
      <c r="C458" s="1" t="s">
        <v>143</v>
      </c>
      <c r="D458" s="1">
        <v>1383.99</v>
      </c>
      <c r="E458" s="1">
        <v>0</v>
      </c>
      <c r="F458" s="1">
        <v>76.84</v>
      </c>
      <c r="G458" s="1">
        <v>507.14100000000002</v>
      </c>
      <c r="H458" s="1">
        <v>7844.3990000000003</v>
      </c>
      <c r="I458" s="1">
        <v>-8303.9359999999997</v>
      </c>
    </row>
    <row r="459" spans="1:9" hidden="1" x14ac:dyDescent="0.25">
      <c r="A459" s="1" t="s">
        <v>9</v>
      </c>
      <c r="B459" s="1" t="s">
        <v>184</v>
      </c>
      <c r="C459" s="1" t="s">
        <v>3</v>
      </c>
      <c r="D459" s="1">
        <v>1415.52</v>
      </c>
      <c r="E459" s="1">
        <v>0</v>
      </c>
      <c r="F459" s="1">
        <v>76.84</v>
      </c>
      <c r="G459" s="1">
        <v>507.14100000000002</v>
      </c>
      <c r="H459" s="1">
        <v>7798.1459999999997</v>
      </c>
      <c r="I459" s="1">
        <v>-8493.098</v>
      </c>
    </row>
    <row r="460" spans="1:9" hidden="1" x14ac:dyDescent="0.25">
      <c r="A460" s="1" t="s">
        <v>10</v>
      </c>
      <c r="B460" s="1" t="s">
        <v>184</v>
      </c>
      <c r="C460" s="1" t="s">
        <v>143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10</v>
      </c>
      <c r="B461" s="1" t="s">
        <v>184</v>
      </c>
      <c r="C461" s="1" t="s">
        <v>3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125</v>
      </c>
      <c r="B462" s="1" t="s">
        <v>185</v>
      </c>
      <c r="C462" s="1" t="s">
        <v>143</v>
      </c>
      <c r="D462" s="1">
        <v>322.35000000000002</v>
      </c>
      <c r="E462" s="1">
        <v>0</v>
      </c>
      <c r="F462" s="1">
        <v>29.82</v>
      </c>
      <c r="G462" s="1">
        <v>161.03399999999999</v>
      </c>
      <c r="H462" s="1">
        <v>1934.1130000000001</v>
      </c>
      <c r="I462" s="1">
        <v>-1934.1130000000001</v>
      </c>
    </row>
    <row r="463" spans="1:9" hidden="1" x14ac:dyDescent="0.25">
      <c r="A463" s="1" t="s">
        <v>125</v>
      </c>
      <c r="B463" s="1" t="s">
        <v>185</v>
      </c>
      <c r="C463" s="1" t="s">
        <v>3</v>
      </c>
      <c r="D463" s="1">
        <v>353.88</v>
      </c>
      <c r="E463" s="1">
        <v>0</v>
      </c>
      <c r="F463" s="1">
        <v>29.82</v>
      </c>
      <c r="G463" s="1">
        <v>161.03399999999999</v>
      </c>
      <c r="H463" s="1">
        <v>2033.5540000000001</v>
      </c>
      <c r="I463" s="1">
        <v>-2123.2739999999999</v>
      </c>
    </row>
    <row r="464" spans="1:9" hidden="1" x14ac:dyDescent="0.25">
      <c r="A464" s="1" t="s">
        <v>126</v>
      </c>
      <c r="B464" s="1" t="s">
        <v>185</v>
      </c>
      <c r="C464" s="1" t="s">
        <v>143</v>
      </c>
      <c r="D464" s="1">
        <v>676.23</v>
      </c>
      <c r="E464" s="1">
        <v>0</v>
      </c>
      <c r="F464" s="1">
        <v>53.33</v>
      </c>
      <c r="G464" s="1">
        <v>287.98399999999998</v>
      </c>
      <c r="H464" s="1">
        <v>3967.6669999999999</v>
      </c>
      <c r="I464" s="1">
        <v>-4057.3870000000002</v>
      </c>
    </row>
    <row r="465" spans="1:9" hidden="1" x14ac:dyDescent="0.25">
      <c r="A465" s="1" t="s">
        <v>126</v>
      </c>
      <c r="B465" s="1" t="s">
        <v>185</v>
      </c>
      <c r="C465" s="1" t="s">
        <v>3</v>
      </c>
      <c r="D465" s="1">
        <v>707.76</v>
      </c>
      <c r="E465" s="1">
        <v>0</v>
      </c>
      <c r="F465" s="1">
        <v>53.33</v>
      </c>
      <c r="G465" s="1">
        <v>287.98399999999998</v>
      </c>
      <c r="H465" s="1">
        <v>3995.9569999999999</v>
      </c>
      <c r="I465" s="1">
        <v>-4246.549</v>
      </c>
    </row>
    <row r="466" spans="1:9" hidden="1" x14ac:dyDescent="0.25">
      <c r="A466" s="1" t="s">
        <v>127</v>
      </c>
      <c r="B466" s="1" t="s">
        <v>185</v>
      </c>
      <c r="C466" s="1" t="s">
        <v>143</v>
      </c>
      <c r="D466" s="1">
        <v>1030.1099999999999</v>
      </c>
      <c r="E466" s="1">
        <v>0</v>
      </c>
      <c r="F466" s="1">
        <v>69</v>
      </c>
      <c r="G466" s="1">
        <v>372.61700000000002</v>
      </c>
      <c r="H466" s="1">
        <v>5930.07</v>
      </c>
      <c r="I466" s="1">
        <v>-6180.6620000000003</v>
      </c>
    </row>
    <row r="467" spans="1:9" hidden="1" x14ac:dyDescent="0.25">
      <c r="A467" s="1" t="s">
        <v>127</v>
      </c>
      <c r="B467" s="1" t="s">
        <v>185</v>
      </c>
      <c r="C467" s="1" t="s">
        <v>3</v>
      </c>
      <c r="D467" s="1">
        <v>1061.6400000000001</v>
      </c>
      <c r="E467" s="1">
        <v>0</v>
      </c>
      <c r="F467" s="1">
        <v>69</v>
      </c>
      <c r="G467" s="1">
        <v>372.61700000000002</v>
      </c>
      <c r="H467" s="1">
        <v>5910.2860000000001</v>
      </c>
      <c r="I467" s="1">
        <v>-6369.8230000000003</v>
      </c>
    </row>
    <row r="468" spans="1:9" hidden="1" x14ac:dyDescent="0.25">
      <c r="A468" s="1" t="s">
        <v>9</v>
      </c>
      <c r="B468" s="1" t="s">
        <v>185</v>
      </c>
      <c r="C468" s="1" t="s">
        <v>143</v>
      </c>
      <c r="D468" s="1">
        <v>1383.99</v>
      </c>
      <c r="E468" s="1">
        <v>0</v>
      </c>
      <c r="F468" s="1">
        <v>76.84</v>
      </c>
      <c r="G468" s="1">
        <v>414.93299999999999</v>
      </c>
      <c r="H468" s="1">
        <v>7844.3990000000003</v>
      </c>
      <c r="I468" s="1">
        <v>-8303.9359999999997</v>
      </c>
    </row>
    <row r="469" spans="1:9" hidden="1" x14ac:dyDescent="0.25">
      <c r="A469" s="1" t="s">
        <v>9</v>
      </c>
      <c r="B469" s="1" t="s">
        <v>185</v>
      </c>
      <c r="C469" s="1" t="s">
        <v>3</v>
      </c>
      <c r="D469" s="1">
        <v>1415.52</v>
      </c>
      <c r="E469" s="1">
        <v>0</v>
      </c>
      <c r="F469" s="1">
        <v>76.84</v>
      </c>
      <c r="G469" s="1">
        <v>414.93299999999999</v>
      </c>
      <c r="H469" s="1">
        <v>7798.1459999999997</v>
      </c>
      <c r="I469" s="1">
        <v>-8493.098</v>
      </c>
    </row>
    <row r="470" spans="1:9" hidden="1" x14ac:dyDescent="0.25">
      <c r="A470" s="1" t="s">
        <v>10</v>
      </c>
      <c r="B470" s="1" t="s">
        <v>185</v>
      </c>
      <c r="C470" s="1" t="s">
        <v>143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</row>
    <row r="471" spans="1:9" hidden="1" x14ac:dyDescent="0.25">
      <c r="A471" s="1" t="s">
        <v>10</v>
      </c>
      <c r="B471" s="1" t="s">
        <v>185</v>
      </c>
      <c r="C471" s="1" t="s">
        <v>3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</row>
    <row r="472" spans="1:9" hidden="1" x14ac:dyDescent="0.25">
      <c r="A472" s="1" t="s">
        <v>125</v>
      </c>
      <c r="B472" s="1" t="s">
        <v>186</v>
      </c>
      <c r="C472" s="1" t="s">
        <v>143</v>
      </c>
      <c r="D472" s="1">
        <v>255.52</v>
      </c>
      <c r="E472" s="1">
        <v>-29.82</v>
      </c>
      <c r="F472" s="1">
        <v>0</v>
      </c>
      <c r="G472" s="1">
        <v>196.81899999999999</v>
      </c>
      <c r="H472" s="1">
        <v>1533.11</v>
      </c>
      <c r="I472" s="1">
        <v>-1533.11</v>
      </c>
    </row>
    <row r="473" spans="1:9" hidden="1" x14ac:dyDescent="0.25">
      <c r="A473" s="1" t="s">
        <v>125</v>
      </c>
      <c r="B473" s="1" t="s">
        <v>186</v>
      </c>
      <c r="C473" s="1" t="s">
        <v>3</v>
      </c>
      <c r="D473" s="1">
        <v>280.04000000000002</v>
      </c>
      <c r="E473" s="1">
        <v>-29.82</v>
      </c>
      <c r="F473" s="1">
        <v>0</v>
      </c>
      <c r="G473" s="1">
        <v>196.81899999999999</v>
      </c>
      <c r="H473" s="1">
        <v>1680.2360000000001</v>
      </c>
      <c r="I473" s="1">
        <v>-1769.9559999999999</v>
      </c>
    </row>
    <row r="474" spans="1:9" hidden="1" x14ac:dyDescent="0.25">
      <c r="A474" s="1" t="s">
        <v>126</v>
      </c>
      <c r="B474" s="1" t="s">
        <v>186</v>
      </c>
      <c r="C474" s="1" t="s">
        <v>143</v>
      </c>
      <c r="D474" s="1">
        <v>535.55999999999995</v>
      </c>
      <c r="E474" s="1">
        <v>-53.33</v>
      </c>
      <c r="F474" s="1">
        <v>0</v>
      </c>
      <c r="G474" s="1">
        <v>351.98</v>
      </c>
      <c r="H474" s="1">
        <v>3213.346</v>
      </c>
      <c r="I474" s="1">
        <v>-3303.0659999999998</v>
      </c>
    </row>
    <row r="475" spans="1:9" hidden="1" x14ac:dyDescent="0.25">
      <c r="A475" s="1" t="s">
        <v>126</v>
      </c>
      <c r="B475" s="1" t="s">
        <v>186</v>
      </c>
      <c r="C475" s="1" t="s">
        <v>3</v>
      </c>
      <c r="D475" s="1">
        <v>560.08000000000004</v>
      </c>
      <c r="E475" s="1">
        <v>-53.33</v>
      </c>
      <c r="F475" s="1">
        <v>0</v>
      </c>
      <c r="G475" s="1">
        <v>351.98</v>
      </c>
      <c r="H475" s="1">
        <v>3360.471</v>
      </c>
      <c r="I475" s="1">
        <v>-3611.0639999999999</v>
      </c>
    </row>
    <row r="476" spans="1:9" hidden="1" x14ac:dyDescent="0.25">
      <c r="A476" s="1" t="s">
        <v>127</v>
      </c>
      <c r="B476" s="1" t="s">
        <v>186</v>
      </c>
      <c r="C476" s="1" t="s">
        <v>143</v>
      </c>
      <c r="D476" s="1">
        <v>815.6</v>
      </c>
      <c r="E476" s="1">
        <v>-69</v>
      </c>
      <c r="F476" s="1">
        <v>0</v>
      </c>
      <c r="G476" s="1">
        <v>455.42</v>
      </c>
      <c r="H476" s="1">
        <v>4893.5810000000001</v>
      </c>
      <c r="I476" s="1">
        <v>-5144.174</v>
      </c>
    </row>
    <row r="477" spans="1:9" hidden="1" x14ac:dyDescent="0.25">
      <c r="A477" s="1" t="s">
        <v>127</v>
      </c>
      <c r="B477" s="1" t="s">
        <v>186</v>
      </c>
      <c r="C477" s="1" t="s">
        <v>3</v>
      </c>
      <c r="D477" s="1">
        <v>840.12</v>
      </c>
      <c r="E477" s="1">
        <v>-69</v>
      </c>
      <c r="F477" s="1">
        <v>0</v>
      </c>
      <c r="G477" s="1">
        <v>455.42</v>
      </c>
      <c r="H477" s="1">
        <v>5040.7070000000003</v>
      </c>
      <c r="I477" s="1">
        <v>-5500.2439999999997</v>
      </c>
    </row>
    <row r="478" spans="1:9" hidden="1" x14ac:dyDescent="0.25">
      <c r="A478" s="1" t="s">
        <v>9</v>
      </c>
      <c r="B478" s="1" t="s">
        <v>186</v>
      </c>
      <c r="C478" s="1" t="s">
        <v>143</v>
      </c>
      <c r="D478" s="1">
        <v>1095.6400000000001</v>
      </c>
      <c r="E478" s="1">
        <v>-76.84</v>
      </c>
      <c r="F478" s="1">
        <v>0</v>
      </c>
      <c r="G478" s="1">
        <v>507.14100000000002</v>
      </c>
      <c r="H478" s="1">
        <v>6573.817</v>
      </c>
      <c r="I478" s="1">
        <v>-7033.3540000000003</v>
      </c>
    </row>
    <row r="479" spans="1:9" hidden="1" x14ac:dyDescent="0.25">
      <c r="A479" s="1" t="s">
        <v>9</v>
      </c>
      <c r="B479" s="1" t="s">
        <v>186</v>
      </c>
      <c r="C479" s="1" t="s">
        <v>3</v>
      </c>
      <c r="D479" s="1">
        <v>1120.1600000000001</v>
      </c>
      <c r="E479" s="1">
        <v>-76.84</v>
      </c>
      <c r="F479" s="1">
        <v>0</v>
      </c>
      <c r="G479" s="1">
        <v>507.14100000000002</v>
      </c>
      <c r="H479" s="1">
        <v>6720.9430000000002</v>
      </c>
      <c r="I479" s="1">
        <v>-7415.8940000000002</v>
      </c>
    </row>
    <row r="480" spans="1:9" hidden="1" x14ac:dyDescent="0.25">
      <c r="A480" s="1" t="s">
        <v>10</v>
      </c>
      <c r="B480" s="1" t="s">
        <v>186</v>
      </c>
      <c r="C480" s="1" t="s">
        <v>143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</row>
    <row r="481" spans="1:9" hidden="1" x14ac:dyDescent="0.25">
      <c r="A481" s="1" t="s">
        <v>10</v>
      </c>
      <c r="B481" s="1" t="s">
        <v>186</v>
      </c>
      <c r="C481" s="1" t="s">
        <v>3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</row>
    <row r="482" spans="1:9" hidden="1" x14ac:dyDescent="0.25">
      <c r="A482" s="1" t="s">
        <v>125</v>
      </c>
      <c r="B482" s="1" t="s">
        <v>187</v>
      </c>
      <c r="C482" s="1" t="s">
        <v>143</v>
      </c>
      <c r="D482" s="1">
        <v>255.52</v>
      </c>
      <c r="E482" s="1">
        <v>-29.82</v>
      </c>
      <c r="F482" s="1">
        <v>0</v>
      </c>
      <c r="G482" s="1">
        <v>161.03399999999999</v>
      </c>
      <c r="H482" s="1">
        <v>1533.11</v>
      </c>
      <c r="I482" s="1">
        <v>-1533.11</v>
      </c>
    </row>
    <row r="483" spans="1:9" hidden="1" x14ac:dyDescent="0.25">
      <c r="A483" s="1" t="s">
        <v>125</v>
      </c>
      <c r="B483" s="1" t="s">
        <v>187</v>
      </c>
      <c r="C483" s="1" t="s">
        <v>3</v>
      </c>
      <c r="D483" s="1">
        <v>280.04000000000002</v>
      </c>
      <c r="E483" s="1">
        <v>-29.82</v>
      </c>
      <c r="F483" s="1">
        <v>0</v>
      </c>
      <c r="G483" s="1">
        <v>161.03399999999999</v>
      </c>
      <c r="H483" s="1">
        <v>1680.2360000000001</v>
      </c>
      <c r="I483" s="1">
        <v>-1769.9559999999999</v>
      </c>
    </row>
    <row r="484" spans="1:9" hidden="1" x14ac:dyDescent="0.25">
      <c r="A484" s="1" t="s">
        <v>126</v>
      </c>
      <c r="B484" s="1" t="s">
        <v>187</v>
      </c>
      <c r="C484" s="1" t="s">
        <v>143</v>
      </c>
      <c r="D484" s="1">
        <v>535.55999999999995</v>
      </c>
      <c r="E484" s="1">
        <v>-53.33</v>
      </c>
      <c r="F484" s="1">
        <v>0</v>
      </c>
      <c r="G484" s="1">
        <v>287.98399999999998</v>
      </c>
      <c r="H484" s="1">
        <v>3213.346</v>
      </c>
      <c r="I484" s="1">
        <v>-3303.0659999999998</v>
      </c>
    </row>
    <row r="485" spans="1:9" hidden="1" x14ac:dyDescent="0.25">
      <c r="A485" s="1" t="s">
        <v>126</v>
      </c>
      <c r="B485" s="1" t="s">
        <v>187</v>
      </c>
      <c r="C485" s="1" t="s">
        <v>3</v>
      </c>
      <c r="D485" s="1">
        <v>560.08000000000004</v>
      </c>
      <c r="E485" s="1">
        <v>-53.33</v>
      </c>
      <c r="F485" s="1">
        <v>0</v>
      </c>
      <c r="G485" s="1">
        <v>287.98399999999998</v>
      </c>
      <c r="H485" s="1">
        <v>3360.471</v>
      </c>
      <c r="I485" s="1">
        <v>-3611.0639999999999</v>
      </c>
    </row>
    <row r="486" spans="1:9" hidden="1" x14ac:dyDescent="0.25">
      <c r="A486" s="1" t="s">
        <v>127</v>
      </c>
      <c r="B486" s="1" t="s">
        <v>187</v>
      </c>
      <c r="C486" s="1" t="s">
        <v>143</v>
      </c>
      <c r="D486" s="1">
        <v>815.6</v>
      </c>
      <c r="E486" s="1">
        <v>-69</v>
      </c>
      <c r="F486" s="1">
        <v>0</v>
      </c>
      <c r="G486" s="1">
        <v>372.61700000000002</v>
      </c>
      <c r="H486" s="1">
        <v>4893.5810000000001</v>
      </c>
      <c r="I486" s="1">
        <v>-5144.174</v>
      </c>
    </row>
    <row r="487" spans="1:9" hidden="1" x14ac:dyDescent="0.25">
      <c r="A487" s="1" t="s">
        <v>127</v>
      </c>
      <c r="B487" s="1" t="s">
        <v>187</v>
      </c>
      <c r="C487" s="1" t="s">
        <v>3</v>
      </c>
      <c r="D487" s="1">
        <v>840.12</v>
      </c>
      <c r="E487" s="1">
        <v>-69</v>
      </c>
      <c r="F487" s="1">
        <v>0</v>
      </c>
      <c r="G487" s="1">
        <v>372.61700000000002</v>
      </c>
      <c r="H487" s="1">
        <v>5040.7070000000003</v>
      </c>
      <c r="I487" s="1">
        <v>-5500.2439999999997</v>
      </c>
    </row>
    <row r="488" spans="1:9" hidden="1" x14ac:dyDescent="0.25">
      <c r="A488" s="1" t="s">
        <v>9</v>
      </c>
      <c r="B488" s="1" t="s">
        <v>187</v>
      </c>
      <c r="C488" s="1" t="s">
        <v>143</v>
      </c>
      <c r="D488" s="1">
        <v>1095.6400000000001</v>
      </c>
      <c r="E488" s="1">
        <v>-76.84</v>
      </c>
      <c r="F488" s="1">
        <v>0</v>
      </c>
      <c r="G488" s="1">
        <v>414.93299999999999</v>
      </c>
      <c r="H488" s="1">
        <v>6573.817</v>
      </c>
      <c r="I488" s="1">
        <v>-7033.3540000000003</v>
      </c>
    </row>
    <row r="489" spans="1:9" hidden="1" x14ac:dyDescent="0.25">
      <c r="A489" s="1" t="s">
        <v>9</v>
      </c>
      <c r="B489" s="1" t="s">
        <v>187</v>
      </c>
      <c r="C489" s="1" t="s">
        <v>3</v>
      </c>
      <c r="D489" s="1">
        <v>1120.1600000000001</v>
      </c>
      <c r="E489" s="1">
        <v>-76.84</v>
      </c>
      <c r="F489" s="1">
        <v>0</v>
      </c>
      <c r="G489" s="1">
        <v>414.93299999999999</v>
      </c>
      <c r="H489" s="1">
        <v>6720.9430000000002</v>
      </c>
      <c r="I489" s="1">
        <v>-7415.8940000000002</v>
      </c>
    </row>
    <row r="490" spans="1:9" hidden="1" x14ac:dyDescent="0.25">
      <c r="A490" s="1" t="s">
        <v>10</v>
      </c>
      <c r="B490" s="1" t="s">
        <v>187</v>
      </c>
      <c r="C490" s="1" t="s">
        <v>143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</row>
    <row r="491" spans="1:9" hidden="1" x14ac:dyDescent="0.25">
      <c r="A491" s="1" t="s">
        <v>10</v>
      </c>
      <c r="B491" s="1" t="s">
        <v>187</v>
      </c>
      <c r="C491" s="1" t="s">
        <v>3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</row>
    <row r="492" spans="1:9" hidden="1" x14ac:dyDescent="0.25">
      <c r="A492" s="1" t="s">
        <v>125</v>
      </c>
      <c r="B492" s="1" t="s">
        <v>188</v>
      </c>
      <c r="C492" s="1" t="s">
        <v>143</v>
      </c>
      <c r="D492" s="1">
        <v>255.52</v>
      </c>
      <c r="E492" s="1">
        <v>29.82</v>
      </c>
      <c r="F492" s="1">
        <v>0</v>
      </c>
      <c r="G492" s="1">
        <v>-196.81899999999999</v>
      </c>
      <c r="H492" s="1">
        <v>1533.11</v>
      </c>
      <c r="I492" s="1">
        <v>-1533.11</v>
      </c>
    </row>
    <row r="493" spans="1:9" hidden="1" x14ac:dyDescent="0.25">
      <c r="A493" s="1" t="s">
        <v>125</v>
      </c>
      <c r="B493" s="1" t="s">
        <v>188</v>
      </c>
      <c r="C493" s="1" t="s">
        <v>3</v>
      </c>
      <c r="D493" s="1">
        <v>280.04000000000002</v>
      </c>
      <c r="E493" s="1">
        <v>29.82</v>
      </c>
      <c r="F493" s="1">
        <v>0</v>
      </c>
      <c r="G493" s="1">
        <v>-196.81899999999999</v>
      </c>
      <c r="H493" s="1">
        <v>1680.2360000000001</v>
      </c>
      <c r="I493" s="1">
        <v>-1590.5160000000001</v>
      </c>
    </row>
    <row r="494" spans="1:9" hidden="1" x14ac:dyDescent="0.25">
      <c r="A494" s="1" t="s">
        <v>126</v>
      </c>
      <c r="B494" s="1" t="s">
        <v>188</v>
      </c>
      <c r="C494" s="1" t="s">
        <v>143</v>
      </c>
      <c r="D494" s="1">
        <v>535.55999999999995</v>
      </c>
      <c r="E494" s="1">
        <v>53.33</v>
      </c>
      <c r="F494" s="1">
        <v>0</v>
      </c>
      <c r="G494" s="1">
        <v>-351.98</v>
      </c>
      <c r="H494" s="1">
        <v>3213.346</v>
      </c>
      <c r="I494" s="1">
        <v>-3123.6260000000002</v>
      </c>
    </row>
    <row r="495" spans="1:9" hidden="1" x14ac:dyDescent="0.25">
      <c r="A495" s="1" t="s">
        <v>126</v>
      </c>
      <c r="B495" s="1" t="s">
        <v>188</v>
      </c>
      <c r="C495" s="1" t="s">
        <v>3</v>
      </c>
      <c r="D495" s="1">
        <v>560.08000000000004</v>
      </c>
      <c r="E495" s="1">
        <v>53.33</v>
      </c>
      <c r="F495" s="1">
        <v>0</v>
      </c>
      <c r="G495" s="1">
        <v>-351.98</v>
      </c>
      <c r="H495" s="1">
        <v>3360.471</v>
      </c>
      <c r="I495" s="1">
        <v>-3109.8789999999999</v>
      </c>
    </row>
    <row r="496" spans="1:9" hidden="1" x14ac:dyDescent="0.25">
      <c r="A496" s="1" t="s">
        <v>127</v>
      </c>
      <c r="B496" s="1" t="s">
        <v>188</v>
      </c>
      <c r="C496" s="1" t="s">
        <v>143</v>
      </c>
      <c r="D496" s="1">
        <v>815.6</v>
      </c>
      <c r="E496" s="1">
        <v>69</v>
      </c>
      <c r="F496" s="1">
        <v>0</v>
      </c>
      <c r="G496" s="1">
        <v>-455.42</v>
      </c>
      <c r="H496" s="1">
        <v>4893.5810000000001</v>
      </c>
      <c r="I496" s="1">
        <v>-4642.9889999999996</v>
      </c>
    </row>
    <row r="497" spans="1:9" hidden="1" x14ac:dyDescent="0.25">
      <c r="A497" s="1" t="s">
        <v>127</v>
      </c>
      <c r="B497" s="1" t="s">
        <v>188</v>
      </c>
      <c r="C497" s="1" t="s">
        <v>3</v>
      </c>
      <c r="D497" s="1">
        <v>840.12</v>
      </c>
      <c r="E497" s="1">
        <v>69</v>
      </c>
      <c r="F497" s="1">
        <v>0</v>
      </c>
      <c r="G497" s="1">
        <v>-455.42</v>
      </c>
      <c r="H497" s="1">
        <v>5040.7070000000003</v>
      </c>
      <c r="I497" s="1">
        <v>-4581.17</v>
      </c>
    </row>
    <row r="498" spans="1:9" hidden="1" x14ac:dyDescent="0.25">
      <c r="A498" s="1" t="s">
        <v>9</v>
      </c>
      <c r="B498" s="1" t="s">
        <v>188</v>
      </c>
      <c r="C498" s="1" t="s">
        <v>143</v>
      </c>
      <c r="D498" s="1">
        <v>1095.6400000000001</v>
      </c>
      <c r="E498" s="1">
        <v>76.84</v>
      </c>
      <c r="F498" s="1">
        <v>0</v>
      </c>
      <c r="G498" s="1">
        <v>-507.14100000000002</v>
      </c>
      <c r="H498" s="1">
        <v>6573.817</v>
      </c>
      <c r="I498" s="1">
        <v>-6114.28</v>
      </c>
    </row>
    <row r="499" spans="1:9" hidden="1" x14ac:dyDescent="0.25">
      <c r="A499" s="1" t="s">
        <v>9</v>
      </c>
      <c r="B499" s="1" t="s">
        <v>188</v>
      </c>
      <c r="C499" s="1" t="s">
        <v>3</v>
      </c>
      <c r="D499" s="1">
        <v>1120.1600000000001</v>
      </c>
      <c r="E499" s="1">
        <v>76.84</v>
      </c>
      <c r="F499" s="1">
        <v>0</v>
      </c>
      <c r="G499" s="1">
        <v>-507.14100000000002</v>
      </c>
      <c r="H499" s="1">
        <v>6720.9430000000002</v>
      </c>
      <c r="I499" s="1">
        <v>-6025.991</v>
      </c>
    </row>
    <row r="500" spans="1:9" hidden="1" x14ac:dyDescent="0.25">
      <c r="A500" s="1" t="s">
        <v>10</v>
      </c>
      <c r="B500" s="1" t="s">
        <v>188</v>
      </c>
      <c r="C500" s="1" t="s">
        <v>143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</row>
    <row r="501" spans="1:9" hidden="1" x14ac:dyDescent="0.25">
      <c r="A501" s="1" t="s">
        <v>10</v>
      </c>
      <c r="B501" s="1" t="s">
        <v>188</v>
      </c>
      <c r="C501" s="1" t="s">
        <v>3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</row>
    <row r="502" spans="1:9" hidden="1" x14ac:dyDescent="0.25">
      <c r="A502" s="1" t="s">
        <v>125</v>
      </c>
      <c r="B502" s="1" t="s">
        <v>189</v>
      </c>
      <c r="C502" s="1" t="s">
        <v>143</v>
      </c>
      <c r="D502" s="1">
        <v>255.52</v>
      </c>
      <c r="E502" s="1">
        <v>29.82</v>
      </c>
      <c r="F502" s="1">
        <v>0</v>
      </c>
      <c r="G502" s="1">
        <v>-161.03399999999999</v>
      </c>
      <c r="H502" s="1">
        <v>1533.11</v>
      </c>
      <c r="I502" s="1">
        <v>-1533.11</v>
      </c>
    </row>
    <row r="503" spans="1:9" hidden="1" x14ac:dyDescent="0.25">
      <c r="A503" s="1" t="s">
        <v>125</v>
      </c>
      <c r="B503" s="1" t="s">
        <v>189</v>
      </c>
      <c r="C503" s="1" t="s">
        <v>3</v>
      </c>
      <c r="D503" s="1">
        <v>280.04000000000002</v>
      </c>
      <c r="E503" s="1">
        <v>29.82</v>
      </c>
      <c r="F503" s="1">
        <v>0</v>
      </c>
      <c r="G503" s="1">
        <v>-161.03399999999999</v>
      </c>
      <c r="H503" s="1">
        <v>1680.2360000000001</v>
      </c>
      <c r="I503" s="1">
        <v>-1590.5160000000001</v>
      </c>
    </row>
    <row r="504" spans="1:9" hidden="1" x14ac:dyDescent="0.25">
      <c r="A504" s="1" t="s">
        <v>126</v>
      </c>
      <c r="B504" s="1" t="s">
        <v>189</v>
      </c>
      <c r="C504" s="1" t="s">
        <v>143</v>
      </c>
      <c r="D504" s="1">
        <v>535.55999999999995</v>
      </c>
      <c r="E504" s="1">
        <v>53.33</v>
      </c>
      <c r="F504" s="1">
        <v>0</v>
      </c>
      <c r="G504" s="1">
        <v>-287.98399999999998</v>
      </c>
      <c r="H504" s="1">
        <v>3213.346</v>
      </c>
      <c r="I504" s="1">
        <v>-3123.6260000000002</v>
      </c>
    </row>
    <row r="505" spans="1:9" hidden="1" x14ac:dyDescent="0.25">
      <c r="A505" s="1" t="s">
        <v>126</v>
      </c>
      <c r="B505" s="1" t="s">
        <v>189</v>
      </c>
      <c r="C505" s="1" t="s">
        <v>3</v>
      </c>
      <c r="D505" s="1">
        <v>560.08000000000004</v>
      </c>
      <c r="E505" s="1">
        <v>53.33</v>
      </c>
      <c r="F505" s="1">
        <v>0</v>
      </c>
      <c r="G505" s="1">
        <v>-287.98399999999998</v>
      </c>
      <c r="H505" s="1">
        <v>3360.471</v>
      </c>
      <c r="I505" s="1">
        <v>-3109.8789999999999</v>
      </c>
    </row>
    <row r="506" spans="1:9" hidden="1" x14ac:dyDescent="0.25">
      <c r="A506" s="1" t="s">
        <v>127</v>
      </c>
      <c r="B506" s="1" t="s">
        <v>189</v>
      </c>
      <c r="C506" s="1" t="s">
        <v>143</v>
      </c>
      <c r="D506" s="1">
        <v>815.6</v>
      </c>
      <c r="E506" s="1">
        <v>69</v>
      </c>
      <c r="F506" s="1">
        <v>0</v>
      </c>
      <c r="G506" s="1">
        <v>-372.61700000000002</v>
      </c>
      <c r="H506" s="1">
        <v>4893.5810000000001</v>
      </c>
      <c r="I506" s="1">
        <v>-4642.9889999999996</v>
      </c>
    </row>
    <row r="507" spans="1:9" hidden="1" x14ac:dyDescent="0.25">
      <c r="A507" s="1" t="s">
        <v>127</v>
      </c>
      <c r="B507" s="1" t="s">
        <v>189</v>
      </c>
      <c r="C507" s="1" t="s">
        <v>3</v>
      </c>
      <c r="D507" s="1">
        <v>840.12</v>
      </c>
      <c r="E507" s="1">
        <v>69</v>
      </c>
      <c r="F507" s="1">
        <v>0</v>
      </c>
      <c r="G507" s="1">
        <v>-372.61700000000002</v>
      </c>
      <c r="H507" s="1">
        <v>5040.7070000000003</v>
      </c>
      <c r="I507" s="1">
        <v>-4581.17</v>
      </c>
    </row>
    <row r="508" spans="1:9" hidden="1" x14ac:dyDescent="0.25">
      <c r="A508" s="1" t="s">
        <v>9</v>
      </c>
      <c r="B508" s="1" t="s">
        <v>189</v>
      </c>
      <c r="C508" s="1" t="s">
        <v>143</v>
      </c>
      <c r="D508" s="1">
        <v>1095.6400000000001</v>
      </c>
      <c r="E508" s="1">
        <v>76.84</v>
      </c>
      <c r="F508" s="1">
        <v>0</v>
      </c>
      <c r="G508" s="1">
        <v>-414.93299999999999</v>
      </c>
      <c r="H508" s="1">
        <v>6573.817</v>
      </c>
      <c r="I508" s="1">
        <v>-6114.28</v>
      </c>
    </row>
    <row r="509" spans="1:9" hidden="1" x14ac:dyDescent="0.25">
      <c r="A509" s="1" t="s">
        <v>9</v>
      </c>
      <c r="B509" s="1" t="s">
        <v>189</v>
      </c>
      <c r="C509" s="1" t="s">
        <v>3</v>
      </c>
      <c r="D509" s="1">
        <v>1120.1600000000001</v>
      </c>
      <c r="E509" s="1">
        <v>76.84</v>
      </c>
      <c r="F509" s="1">
        <v>0</v>
      </c>
      <c r="G509" s="1">
        <v>-414.93299999999999</v>
      </c>
      <c r="H509" s="1">
        <v>6720.9430000000002</v>
      </c>
      <c r="I509" s="1">
        <v>-6025.991</v>
      </c>
    </row>
    <row r="510" spans="1:9" hidden="1" x14ac:dyDescent="0.25">
      <c r="A510" s="1" t="s">
        <v>10</v>
      </c>
      <c r="B510" s="1" t="s">
        <v>189</v>
      </c>
      <c r="C510" s="1" t="s">
        <v>143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10</v>
      </c>
      <c r="B511" s="1" t="s">
        <v>189</v>
      </c>
      <c r="C511" s="1" t="s">
        <v>3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125</v>
      </c>
      <c r="B512" s="1" t="s">
        <v>190</v>
      </c>
      <c r="C512" s="1" t="s">
        <v>143</v>
      </c>
      <c r="D512" s="1">
        <v>255.52</v>
      </c>
      <c r="E512" s="1">
        <v>0</v>
      </c>
      <c r="F512" s="1">
        <v>-29.82</v>
      </c>
      <c r="G512" s="1">
        <v>-196.81899999999999</v>
      </c>
      <c r="H512" s="1">
        <v>1533.11</v>
      </c>
      <c r="I512" s="1">
        <v>-1533.11</v>
      </c>
    </row>
    <row r="513" spans="1:9" hidden="1" x14ac:dyDescent="0.25">
      <c r="A513" s="1" t="s">
        <v>125</v>
      </c>
      <c r="B513" s="1" t="s">
        <v>190</v>
      </c>
      <c r="C513" s="1" t="s">
        <v>3</v>
      </c>
      <c r="D513" s="1">
        <v>280.04000000000002</v>
      </c>
      <c r="E513" s="1">
        <v>0</v>
      </c>
      <c r="F513" s="1">
        <v>-29.82</v>
      </c>
      <c r="G513" s="1">
        <v>-196.81899999999999</v>
      </c>
      <c r="H513" s="1">
        <v>1769.9559999999999</v>
      </c>
      <c r="I513" s="1">
        <v>-1680.2360000000001</v>
      </c>
    </row>
    <row r="514" spans="1:9" hidden="1" x14ac:dyDescent="0.25">
      <c r="A514" s="1" t="s">
        <v>126</v>
      </c>
      <c r="B514" s="1" t="s">
        <v>190</v>
      </c>
      <c r="C514" s="1" t="s">
        <v>143</v>
      </c>
      <c r="D514" s="1">
        <v>535.55999999999995</v>
      </c>
      <c r="E514" s="1">
        <v>0</v>
      </c>
      <c r="F514" s="1">
        <v>-53.33</v>
      </c>
      <c r="G514" s="1">
        <v>-351.98</v>
      </c>
      <c r="H514" s="1">
        <v>3303.0659999999998</v>
      </c>
      <c r="I514" s="1">
        <v>-3213.346</v>
      </c>
    </row>
    <row r="515" spans="1:9" hidden="1" x14ac:dyDescent="0.25">
      <c r="A515" s="1" t="s">
        <v>126</v>
      </c>
      <c r="B515" s="1" t="s">
        <v>190</v>
      </c>
      <c r="C515" s="1" t="s">
        <v>3</v>
      </c>
      <c r="D515" s="1">
        <v>560.08000000000004</v>
      </c>
      <c r="E515" s="1">
        <v>0</v>
      </c>
      <c r="F515" s="1">
        <v>-53.33</v>
      </c>
      <c r="G515" s="1">
        <v>-351.98</v>
      </c>
      <c r="H515" s="1">
        <v>3611.0639999999999</v>
      </c>
      <c r="I515" s="1">
        <v>-3360.471</v>
      </c>
    </row>
    <row r="516" spans="1:9" hidden="1" x14ac:dyDescent="0.25">
      <c r="A516" s="1" t="s">
        <v>127</v>
      </c>
      <c r="B516" s="1" t="s">
        <v>190</v>
      </c>
      <c r="C516" s="1" t="s">
        <v>143</v>
      </c>
      <c r="D516" s="1">
        <v>815.6</v>
      </c>
      <c r="E516" s="1">
        <v>0</v>
      </c>
      <c r="F516" s="1">
        <v>-69</v>
      </c>
      <c r="G516" s="1">
        <v>-455.42</v>
      </c>
      <c r="H516" s="1">
        <v>5144.174</v>
      </c>
      <c r="I516" s="1">
        <v>-4893.5810000000001</v>
      </c>
    </row>
    <row r="517" spans="1:9" hidden="1" x14ac:dyDescent="0.25">
      <c r="A517" s="1" t="s">
        <v>127</v>
      </c>
      <c r="B517" s="1" t="s">
        <v>190</v>
      </c>
      <c r="C517" s="1" t="s">
        <v>3</v>
      </c>
      <c r="D517" s="1">
        <v>840.12</v>
      </c>
      <c r="E517" s="1">
        <v>0</v>
      </c>
      <c r="F517" s="1">
        <v>-69</v>
      </c>
      <c r="G517" s="1">
        <v>-455.42</v>
      </c>
      <c r="H517" s="1">
        <v>5500.2439999999997</v>
      </c>
      <c r="I517" s="1">
        <v>-5040.7070000000003</v>
      </c>
    </row>
    <row r="518" spans="1:9" hidden="1" x14ac:dyDescent="0.25">
      <c r="A518" s="1" t="s">
        <v>9</v>
      </c>
      <c r="B518" s="1" t="s">
        <v>190</v>
      </c>
      <c r="C518" s="1" t="s">
        <v>143</v>
      </c>
      <c r="D518" s="1">
        <v>1095.6400000000001</v>
      </c>
      <c r="E518" s="1">
        <v>0</v>
      </c>
      <c r="F518" s="1">
        <v>-76.84</v>
      </c>
      <c r="G518" s="1">
        <v>-507.14100000000002</v>
      </c>
      <c r="H518" s="1">
        <v>7033.3540000000003</v>
      </c>
      <c r="I518" s="1">
        <v>-6573.817</v>
      </c>
    </row>
    <row r="519" spans="1:9" hidden="1" x14ac:dyDescent="0.25">
      <c r="A519" s="1" t="s">
        <v>9</v>
      </c>
      <c r="B519" s="1" t="s">
        <v>190</v>
      </c>
      <c r="C519" s="1" t="s">
        <v>3</v>
      </c>
      <c r="D519" s="1">
        <v>1120.1600000000001</v>
      </c>
      <c r="E519" s="1">
        <v>0</v>
      </c>
      <c r="F519" s="1">
        <v>-76.84</v>
      </c>
      <c r="G519" s="1">
        <v>-507.14100000000002</v>
      </c>
      <c r="H519" s="1">
        <v>7415.8940000000002</v>
      </c>
      <c r="I519" s="1">
        <v>-6720.9430000000002</v>
      </c>
    </row>
    <row r="520" spans="1:9" hidden="1" x14ac:dyDescent="0.25">
      <c r="A520" s="1" t="s">
        <v>10</v>
      </c>
      <c r="B520" s="1" t="s">
        <v>190</v>
      </c>
      <c r="C520" s="1" t="s">
        <v>143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</row>
    <row r="521" spans="1:9" hidden="1" x14ac:dyDescent="0.25">
      <c r="A521" s="1" t="s">
        <v>10</v>
      </c>
      <c r="B521" s="1" t="s">
        <v>190</v>
      </c>
      <c r="C521" s="1" t="s">
        <v>3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</row>
    <row r="522" spans="1:9" hidden="1" x14ac:dyDescent="0.25">
      <c r="A522" s="1" t="s">
        <v>125</v>
      </c>
      <c r="B522" s="1" t="s">
        <v>191</v>
      </c>
      <c r="C522" s="1" t="s">
        <v>143</v>
      </c>
      <c r="D522" s="1">
        <v>255.52</v>
      </c>
      <c r="E522" s="1">
        <v>0</v>
      </c>
      <c r="F522" s="1">
        <v>-29.82</v>
      </c>
      <c r="G522" s="1">
        <v>-161.03399999999999</v>
      </c>
      <c r="H522" s="1">
        <v>1533.11</v>
      </c>
      <c r="I522" s="1">
        <v>-1533.11</v>
      </c>
    </row>
    <row r="523" spans="1:9" hidden="1" x14ac:dyDescent="0.25">
      <c r="A523" s="1" t="s">
        <v>125</v>
      </c>
      <c r="B523" s="1" t="s">
        <v>191</v>
      </c>
      <c r="C523" s="1" t="s">
        <v>3</v>
      </c>
      <c r="D523" s="1">
        <v>280.04000000000002</v>
      </c>
      <c r="E523" s="1">
        <v>0</v>
      </c>
      <c r="F523" s="1">
        <v>-29.82</v>
      </c>
      <c r="G523" s="1">
        <v>-161.03399999999999</v>
      </c>
      <c r="H523" s="1">
        <v>1769.9559999999999</v>
      </c>
      <c r="I523" s="1">
        <v>-1680.2360000000001</v>
      </c>
    </row>
    <row r="524" spans="1:9" hidden="1" x14ac:dyDescent="0.25">
      <c r="A524" s="1" t="s">
        <v>126</v>
      </c>
      <c r="B524" s="1" t="s">
        <v>191</v>
      </c>
      <c r="C524" s="1" t="s">
        <v>143</v>
      </c>
      <c r="D524" s="1">
        <v>535.55999999999995</v>
      </c>
      <c r="E524" s="1">
        <v>0</v>
      </c>
      <c r="F524" s="1">
        <v>-53.33</v>
      </c>
      <c r="G524" s="1">
        <v>-287.98399999999998</v>
      </c>
      <c r="H524" s="1">
        <v>3303.0659999999998</v>
      </c>
      <c r="I524" s="1">
        <v>-3213.346</v>
      </c>
    </row>
    <row r="525" spans="1:9" hidden="1" x14ac:dyDescent="0.25">
      <c r="A525" s="1" t="s">
        <v>126</v>
      </c>
      <c r="B525" s="1" t="s">
        <v>191</v>
      </c>
      <c r="C525" s="1" t="s">
        <v>3</v>
      </c>
      <c r="D525" s="1">
        <v>560.08000000000004</v>
      </c>
      <c r="E525" s="1">
        <v>0</v>
      </c>
      <c r="F525" s="1">
        <v>-53.33</v>
      </c>
      <c r="G525" s="1">
        <v>-287.98399999999998</v>
      </c>
      <c r="H525" s="1">
        <v>3611.0639999999999</v>
      </c>
      <c r="I525" s="1">
        <v>-3360.471</v>
      </c>
    </row>
    <row r="526" spans="1:9" hidden="1" x14ac:dyDescent="0.25">
      <c r="A526" s="1" t="s">
        <v>127</v>
      </c>
      <c r="B526" s="1" t="s">
        <v>191</v>
      </c>
      <c r="C526" s="1" t="s">
        <v>143</v>
      </c>
      <c r="D526" s="1">
        <v>815.6</v>
      </c>
      <c r="E526" s="1">
        <v>0</v>
      </c>
      <c r="F526" s="1">
        <v>-69</v>
      </c>
      <c r="G526" s="1">
        <v>-372.61700000000002</v>
      </c>
      <c r="H526" s="1">
        <v>5144.174</v>
      </c>
      <c r="I526" s="1">
        <v>-4893.5810000000001</v>
      </c>
    </row>
    <row r="527" spans="1:9" hidden="1" x14ac:dyDescent="0.25">
      <c r="A527" s="1" t="s">
        <v>127</v>
      </c>
      <c r="B527" s="1" t="s">
        <v>191</v>
      </c>
      <c r="C527" s="1" t="s">
        <v>3</v>
      </c>
      <c r="D527" s="1">
        <v>840.12</v>
      </c>
      <c r="E527" s="1">
        <v>0</v>
      </c>
      <c r="F527" s="1">
        <v>-69</v>
      </c>
      <c r="G527" s="1">
        <v>-372.61700000000002</v>
      </c>
      <c r="H527" s="1">
        <v>5500.2439999999997</v>
      </c>
      <c r="I527" s="1">
        <v>-5040.7070000000003</v>
      </c>
    </row>
    <row r="528" spans="1:9" hidden="1" x14ac:dyDescent="0.25">
      <c r="A528" s="1" t="s">
        <v>9</v>
      </c>
      <c r="B528" s="1" t="s">
        <v>191</v>
      </c>
      <c r="C528" s="1" t="s">
        <v>143</v>
      </c>
      <c r="D528" s="1">
        <v>1095.6400000000001</v>
      </c>
      <c r="E528" s="1">
        <v>0</v>
      </c>
      <c r="F528" s="1">
        <v>-76.84</v>
      </c>
      <c r="G528" s="1">
        <v>-414.93299999999999</v>
      </c>
      <c r="H528" s="1">
        <v>7033.3540000000003</v>
      </c>
      <c r="I528" s="1">
        <v>-6573.817</v>
      </c>
    </row>
    <row r="529" spans="1:9" hidden="1" x14ac:dyDescent="0.25">
      <c r="A529" s="1" t="s">
        <v>9</v>
      </c>
      <c r="B529" s="1" t="s">
        <v>191</v>
      </c>
      <c r="C529" s="1" t="s">
        <v>3</v>
      </c>
      <c r="D529" s="1">
        <v>1120.1600000000001</v>
      </c>
      <c r="E529" s="1">
        <v>0</v>
      </c>
      <c r="F529" s="1">
        <v>-76.84</v>
      </c>
      <c r="G529" s="1">
        <v>-414.93299999999999</v>
      </c>
      <c r="H529" s="1">
        <v>7415.8940000000002</v>
      </c>
      <c r="I529" s="1">
        <v>-6720.9430000000002</v>
      </c>
    </row>
    <row r="530" spans="1:9" hidden="1" x14ac:dyDescent="0.25">
      <c r="A530" s="1" t="s">
        <v>10</v>
      </c>
      <c r="B530" s="1" t="s">
        <v>191</v>
      </c>
      <c r="C530" s="1" t="s">
        <v>143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</row>
    <row r="531" spans="1:9" hidden="1" x14ac:dyDescent="0.25">
      <c r="A531" s="1" t="s">
        <v>10</v>
      </c>
      <c r="B531" s="1" t="s">
        <v>191</v>
      </c>
      <c r="C531" s="1" t="s">
        <v>3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</row>
    <row r="532" spans="1:9" hidden="1" x14ac:dyDescent="0.25">
      <c r="A532" s="1" t="s">
        <v>125</v>
      </c>
      <c r="B532" s="1" t="s">
        <v>192</v>
      </c>
      <c r="C532" s="1" t="s">
        <v>143</v>
      </c>
      <c r="D532" s="1">
        <v>255.52</v>
      </c>
      <c r="E532" s="1">
        <v>0</v>
      </c>
      <c r="F532" s="1">
        <v>29.82</v>
      </c>
      <c r="G532" s="1">
        <v>196.81899999999999</v>
      </c>
      <c r="H532" s="1">
        <v>1533.11</v>
      </c>
      <c r="I532" s="1">
        <v>-1533.11</v>
      </c>
    </row>
    <row r="533" spans="1:9" hidden="1" x14ac:dyDescent="0.25">
      <c r="A533" s="1" t="s">
        <v>125</v>
      </c>
      <c r="B533" s="1" t="s">
        <v>192</v>
      </c>
      <c r="C533" s="1" t="s">
        <v>3</v>
      </c>
      <c r="D533" s="1">
        <v>280.04000000000002</v>
      </c>
      <c r="E533" s="1">
        <v>0</v>
      </c>
      <c r="F533" s="1">
        <v>29.82</v>
      </c>
      <c r="G533" s="1">
        <v>196.81899999999999</v>
      </c>
      <c r="H533" s="1">
        <v>1590.5160000000001</v>
      </c>
      <c r="I533" s="1">
        <v>-1680.2360000000001</v>
      </c>
    </row>
    <row r="534" spans="1:9" hidden="1" x14ac:dyDescent="0.25">
      <c r="A534" s="1" t="s">
        <v>126</v>
      </c>
      <c r="B534" s="1" t="s">
        <v>192</v>
      </c>
      <c r="C534" s="1" t="s">
        <v>143</v>
      </c>
      <c r="D534" s="1">
        <v>535.55999999999995</v>
      </c>
      <c r="E534" s="1">
        <v>0</v>
      </c>
      <c r="F534" s="1">
        <v>53.33</v>
      </c>
      <c r="G534" s="1">
        <v>351.98</v>
      </c>
      <c r="H534" s="1">
        <v>3123.6260000000002</v>
      </c>
      <c r="I534" s="1">
        <v>-3213.346</v>
      </c>
    </row>
    <row r="535" spans="1:9" hidden="1" x14ac:dyDescent="0.25">
      <c r="A535" s="1" t="s">
        <v>126</v>
      </c>
      <c r="B535" s="1" t="s">
        <v>192</v>
      </c>
      <c r="C535" s="1" t="s">
        <v>3</v>
      </c>
      <c r="D535" s="1">
        <v>560.08000000000004</v>
      </c>
      <c r="E535" s="1">
        <v>0</v>
      </c>
      <c r="F535" s="1">
        <v>53.33</v>
      </c>
      <c r="G535" s="1">
        <v>351.98</v>
      </c>
      <c r="H535" s="1">
        <v>3109.8789999999999</v>
      </c>
      <c r="I535" s="1">
        <v>-3360.471</v>
      </c>
    </row>
    <row r="536" spans="1:9" hidden="1" x14ac:dyDescent="0.25">
      <c r="A536" s="1" t="s">
        <v>127</v>
      </c>
      <c r="B536" s="1" t="s">
        <v>192</v>
      </c>
      <c r="C536" s="1" t="s">
        <v>143</v>
      </c>
      <c r="D536" s="1">
        <v>815.6</v>
      </c>
      <c r="E536" s="1">
        <v>0</v>
      </c>
      <c r="F536" s="1">
        <v>69</v>
      </c>
      <c r="G536" s="1">
        <v>455.42</v>
      </c>
      <c r="H536" s="1">
        <v>4642.9889999999996</v>
      </c>
      <c r="I536" s="1">
        <v>-4893.5810000000001</v>
      </c>
    </row>
    <row r="537" spans="1:9" hidden="1" x14ac:dyDescent="0.25">
      <c r="A537" s="1" t="s">
        <v>127</v>
      </c>
      <c r="B537" s="1" t="s">
        <v>192</v>
      </c>
      <c r="C537" s="1" t="s">
        <v>3</v>
      </c>
      <c r="D537" s="1">
        <v>840.12</v>
      </c>
      <c r="E537" s="1">
        <v>0</v>
      </c>
      <c r="F537" s="1">
        <v>69</v>
      </c>
      <c r="G537" s="1">
        <v>455.42</v>
      </c>
      <c r="H537" s="1">
        <v>4581.17</v>
      </c>
      <c r="I537" s="1">
        <v>-5040.7070000000003</v>
      </c>
    </row>
    <row r="538" spans="1:9" hidden="1" x14ac:dyDescent="0.25">
      <c r="A538" s="1" t="s">
        <v>9</v>
      </c>
      <c r="B538" s="1" t="s">
        <v>192</v>
      </c>
      <c r="C538" s="1" t="s">
        <v>143</v>
      </c>
      <c r="D538" s="1">
        <v>1095.6400000000001</v>
      </c>
      <c r="E538" s="1">
        <v>0</v>
      </c>
      <c r="F538" s="1">
        <v>76.84</v>
      </c>
      <c r="G538" s="1">
        <v>507.14100000000002</v>
      </c>
      <c r="H538" s="1">
        <v>6114.28</v>
      </c>
      <c r="I538" s="1">
        <v>-6573.817</v>
      </c>
    </row>
    <row r="539" spans="1:9" hidden="1" x14ac:dyDescent="0.25">
      <c r="A539" s="1" t="s">
        <v>9</v>
      </c>
      <c r="B539" s="1" t="s">
        <v>192</v>
      </c>
      <c r="C539" s="1" t="s">
        <v>3</v>
      </c>
      <c r="D539" s="1">
        <v>1120.1600000000001</v>
      </c>
      <c r="E539" s="1">
        <v>0</v>
      </c>
      <c r="F539" s="1">
        <v>76.84</v>
      </c>
      <c r="G539" s="1">
        <v>507.14100000000002</v>
      </c>
      <c r="H539" s="1">
        <v>6025.991</v>
      </c>
      <c r="I539" s="1">
        <v>-6720.9430000000002</v>
      </c>
    </row>
    <row r="540" spans="1:9" hidden="1" x14ac:dyDescent="0.25">
      <c r="A540" s="1" t="s">
        <v>10</v>
      </c>
      <c r="B540" s="1" t="s">
        <v>192</v>
      </c>
      <c r="C540" s="1" t="s">
        <v>143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</row>
    <row r="541" spans="1:9" hidden="1" x14ac:dyDescent="0.25">
      <c r="A541" s="1" t="s">
        <v>10</v>
      </c>
      <c r="B541" s="1" t="s">
        <v>192</v>
      </c>
      <c r="C541" s="1" t="s">
        <v>3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</row>
    <row r="542" spans="1:9" hidden="1" x14ac:dyDescent="0.25">
      <c r="A542" s="1" t="s">
        <v>125</v>
      </c>
      <c r="B542" s="1" t="s">
        <v>193</v>
      </c>
      <c r="C542" s="1" t="s">
        <v>143</v>
      </c>
      <c r="D542" s="1">
        <v>255.52</v>
      </c>
      <c r="E542" s="1">
        <v>0</v>
      </c>
      <c r="F542" s="1">
        <v>29.82</v>
      </c>
      <c r="G542" s="1">
        <v>161.03399999999999</v>
      </c>
      <c r="H542" s="1">
        <v>1533.11</v>
      </c>
      <c r="I542" s="1">
        <v>-1533.11</v>
      </c>
    </row>
    <row r="543" spans="1:9" hidden="1" x14ac:dyDescent="0.25">
      <c r="A543" s="1" t="s">
        <v>125</v>
      </c>
      <c r="B543" s="1" t="s">
        <v>193</v>
      </c>
      <c r="C543" s="1" t="s">
        <v>3</v>
      </c>
      <c r="D543" s="1">
        <v>280.04000000000002</v>
      </c>
      <c r="E543" s="1">
        <v>0</v>
      </c>
      <c r="F543" s="1">
        <v>29.82</v>
      </c>
      <c r="G543" s="1">
        <v>161.03399999999999</v>
      </c>
      <c r="H543" s="1">
        <v>1590.5160000000001</v>
      </c>
      <c r="I543" s="1">
        <v>-1680.2360000000001</v>
      </c>
    </row>
    <row r="544" spans="1:9" hidden="1" x14ac:dyDescent="0.25">
      <c r="A544" s="1" t="s">
        <v>126</v>
      </c>
      <c r="B544" s="1" t="s">
        <v>193</v>
      </c>
      <c r="C544" s="1" t="s">
        <v>143</v>
      </c>
      <c r="D544" s="1">
        <v>535.55999999999995</v>
      </c>
      <c r="E544" s="1">
        <v>0</v>
      </c>
      <c r="F544" s="1">
        <v>53.33</v>
      </c>
      <c r="G544" s="1">
        <v>287.98399999999998</v>
      </c>
      <c r="H544" s="1">
        <v>3123.6260000000002</v>
      </c>
      <c r="I544" s="1">
        <v>-3213.346</v>
      </c>
    </row>
    <row r="545" spans="1:9" hidden="1" x14ac:dyDescent="0.25">
      <c r="A545" s="1" t="s">
        <v>126</v>
      </c>
      <c r="B545" s="1" t="s">
        <v>193</v>
      </c>
      <c r="C545" s="1" t="s">
        <v>3</v>
      </c>
      <c r="D545" s="1">
        <v>560.08000000000004</v>
      </c>
      <c r="E545" s="1">
        <v>0</v>
      </c>
      <c r="F545" s="1">
        <v>53.33</v>
      </c>
      <c r="G545" s="1">
        <v>287.98399999999998</v>
      </c>
      <c r="H545" s="1">
        <v>3109.8789999999999</v>
      </c>
      <c r="I545" s="1">
        <v>-3360.471</v>
      </c>
    </row>
    <row r="546" spans="1:9" hidden="1" x14ac:dyDescent="0.25">
      <c r="A546" s="1" t="s">
        <v>127</v>
      </c>
      <c r="B546" s="1" t="s">
        <v>193</v>
      </c>
      <c r="C546" s="1" t="s">
        <v>143</v>
      </c>
      <c r="D546" s="1">
        <v>815.6</v>
      </c>
      <c r="E546" s="1">
        <v>0</v>
      </c>
      <c r="F546" s="1">
        <v>69</v>
      </c>
      <c r="G546" s="1">
        <v>372.61700000000002</v>
      </c>
      <c r="H546" s="1">
        <v>4642.9889999999996</v>
      </c>
      <c r="I546" s="1">
        <v>-4893.5810000000001</v>
      </c>
    </row>
    <row r="547" spans="1:9" hidden="1" x14ac:dyDescent="0.25">
      <c r="A547" s="1" t="s">
        <v>127</v>
      </c>
      <c r="B547" s="1" t="s">
        <v>193</v>
      </c>
      <c r="C547" s="1" t="s">
        <v>3</v>
      </c>
      <c r="D547" s="1">
        <v>840.12</v>
      </c>
      <c r="E547" s="1">
        <v>0</v>
      </c>
      <c r="F547" s="1">
        <v>69</v>
      </c>
      <c r="G547" s="1">
        <v>372.61700000000002</v>
      </c>
      <c r="H547" s="1">
        <v>4581.17</v>
      </c>
      <c r="I547" s="1">
        <v>-5040.7070000000003</v>
      </c>
    </row>
    <row r="548" spans="1:9" hidden="1" x14ac:dyDescent="0.25">
      <c r="A548" s="1" t="s">
        <v>9</v>
      </c>
      <c r="B548" s="1" t="s">
        <v>193</v>
      </c>
      <c r="C548" s="1" t="s">
        <v>143</v>
      </c>
      <c r="D548" s="1">
        <v>1095.6400000000001</v>
      </c>
      <c r="E548" s="1">
        <v>0</v>
      </c>
      <c r="F548" s="1">
        <v>76.84</v>
      </c>
      <c r="G548" s="1">
        <v>414.93299999999999</v>
      </c>
      <c r="H548" s="1">
        <v>6114.28</v>
      </c>
      <c r="I548" s="1">
        <v>-6573.817</v>
      </c>
    </row>
    <row r="549" spans="1:9" hidden="1" x14ac:dyDescent="0.25">
      <c r="A549" s="1" t="s">
        <v>9</v>
      </c>
      <c r="B549" s="1" t="s">
        <v>193</v>
      </c>
      <c r="C549" s="1" t="s">
        <v>3</v>
      </c>
      <c r="D549" s="1">
        <v>1120.1600000000001</v>
      </c>
      <c r="E549" s="1">
        <v>0</v>
      </c>
      <c r="F549" s="1">
        <v>76.84</v>
      </c>
      <c r="G549" s="1">
        <v>414.93299999999999</v>
      </c>
      <c r="H549" s="1">
        <v>6025.991</v>
      </c>
      <c r="I549" s="1">
        <v>-6720.9430000000002</v>
      </c>
    </row>
    <row r="550" spans="1:9" hidden="1" x14ac:dyDescent="0.25">
      <c r="A550" s="1" t="s">
        <v>10</v>
      </c>
      <c r="B550" s="1" t="s">
        <v>193</v>
      </c>
      <c r="C550" s="1" t="s">
        <v>143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</row>
    <row r="551" spans="1:9" hidden="1" x14ac:dyDescent="0.25">
      <c r="A551" s="1" t="s">
        <v>10</v>
      </c>
      <c r="B551" s="1" t="s">
        <v>193</v>
      </c>
      <c r="C551" s="1" t="s">
        <v>3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</row>
    <row r="552" spans="1:9" hidden="1" x14ac:dyDescent="0.25">
      <c r="A552" s="1" t="s">
        <v>125</v>
      </c>
      <c r="B552" s="1" t="s">
        <v>194</v>
      </c>
      <c r="C552" s="1" t="s">
        <v>143</v>
      </c>
      <c r="D552" s="1">
        <v>210.53</v>
      </c>
      <c r="E552" s="1">
        <v>-99.4</v>
      </c>
      <c r="F552" s="1">
        <v>0</v>
      </c>
      <c r="G552" s="1">
        <v>656.06299999999999</v>
      </c>
      <c r="H552" s="1">
        <v>1263.1590000000001</v>
      </c>
      <c r="I552" s="1">
        <v>-1263.1590000000001</v>
      </c>
    </row>
    <row r="553" spans="1:9" hidden="1" x14ac:dyDescent="0.25">
      <c r="A553" s="1" t="s">
        <v>125</v>
      </c>
      <c r="B553" s="1" t="s">
        <v>194</v>
      </c>
      <c r="C553" s="1" t="s">
        <v>3</v>
      </c>
      <c r="D553" s="1">
        <v>232.6</v>
      </c>
      <c r="E553" s="1">
        <v>-99.4</v>
      </c>
      <c r="F553" s="1">
        <v>0</v>
      </c>
      <c r="G553" s="1">
        <v>656.06299999999999</v>
      </c>
      <c r="H553" s="1">
        <v>1395.5719999999999</v>
      </c>
      <c r="I553" s="1">
        <v>-1694.6389999999999</v>
      </c>
    </row>
    <row r="554" spans="1:9" hidden="1" x14ac:dyDescent="0.25">
      <c r="A554" s="1" t="s">
        <v>126</v>
      </c>
      <c r="B554" s="1" t="s">
        <v>194</v>
      </c>
      <c r="C554" s="1" t="s">
        <v>143</v>
      </c>
      <c r="D554" s="1">
        <v>443.12</v>
      </c>
      <c r="E554" s="1">
        <v>-177.77</v>
      </c>
      <c r="F554" s="1">
        <v>0</v>
      </c>
      <c r="G554" s="1">
        <v>1173.2660000000001</v>
      </c>
      <c r="H554" s="1">
        <v>2658.7310000000002</v>
      </c>
      <c r="I554" s="1">
        <v>-2957.7979999999998</v>
      </c>
    </row>
    <row r="555" spans="1:9" hidden="1" x14ac:dyDescent="0.25">
      <c r="A555" s="1" t="s">
        <v>126</v>
      </c>
      <c r="B555" s="1" t="s">
        <v>194</v>
      </c>
      <c r="C555" s="1" t="s">
        <v>3</v>
      </c>
      <c r="D555" s="1">
        <v>465.19</v>
      </c>
      <c r="E555" s="1">
        <v>-177.77</v>
      </c>
      <c r="F555" s="1">
        <v>0</v>
      </c>
      <c r="G555" s="1">
        <v>1173.2660000000001</v>
      </c>
      <c r="H555" s="1">
        <v>2791.1439999999998</v>
      </c>
      <c r="I555" s="1">
        <v>-3626.4520000000002</v>
      </c>
    </row>
    <row r="556" spans="1:9" hidden="1" x14ac:dyDescent="0.25">
      <c r="A556" s="1" t="s">
        <v>127</v>
      </c>
      <c r="B556" s="1" t="s">
        <v>194</v>
      </c>
      <c r="C556" s="1" t="s">
        <v>143</v>
      </c>
      <c r="D556" s="1">
        <v>675.72</v>
      </c>
      <c r="E556" s="1">
        <v>-230.01</v>
      </c>
      <c r="F556" s="1">
        <v>0</v>
      </c>
      <c r="G556" s="1">
        <v>1518.068</v>
      </c>
      <c r="H556" s="1">
        <v>4054.3029999999999</v>
      </c>
      <c r="I556" s="1">
        <v>-4889.6109999999999</v>
      </c>
    </row>
    <row r="557" spans="1:9" hidden="1" x14ac:dyDescent="0.25">
      <c r="A557" s="1" t="s">
        <v>127</v>
      </c>
      <c r="B557" s="1" t="s">
        <v>194</v>
      </c>
      <c r="C557" s="1" t="s">
        <v>3</v>
      </c>
      <c r="D557" s="1">
        <v>697.79</v>
      </c>
      <c r="E557" s="1">
        <v>-230.01</v>
      </c>
      <c r="F557" s="1">
        <v>0</v>
      </c>
      <c r="G557" s="1">
        <v>1518.068</v>
      </c>
      <c r="H557" s="1">
        <v>4186.7160000000003</v>
      </c>
      <c r="I557" s="1">
        <v>-5718.5069999999996</v>
      </c>
    </row>
    <row r="558" spans="1:9" hidden="1" x14ac:dyDescent="0.25">
      <c r="A558" s="1" t="s">
        <v>9</v>
      </c>
      <c r="B558" s="1" t="s">
        <v>194</v>
      </c>
      <c r="C558" s="1" t="s">
        <v>143</v>
      </c>
      <c r="D558" s="1">
        <v>908.31</v>
      </c>
      <c r="E558" s="1">
        <v>-256.13</v>
      </c>
      <c r="F558" s="1">
        <v>0</v>
      </c>
      <c r="G558" s="1">
        <v>1690.4690000000001</v>
      </c>
      <c r="H558" s="1">
        <v>5449.875</v>
      </c>
      <c r="I558" s="1">
        <v>-6981.6660000000002</v>
      </c>
    </row>
    <row r="559" spans="1:9" hidden="1" x14ac:dyDescent="0.25">
      <c r="A559" s="1" t="s">
        <v>9</v>
      </c>
      <c r="B559" s="1" t="s">
        <v>194</v>
      </c>
      <c r="C559" s="1" t="s">
        <v>3</v>
      </c>
      <c r="D559" s="1">
        <v>930.38</v>
      </c>
      <c r="E559" s="1">
        <v>-256.13</v>
      </c>
      <c r="F559" s="1">
        <v>0</v>
      </c>
      <c r="G559" s="1">
        <v>1690.4690000000001</v>
      </c>
      <c r="H559" s="1">
        <v>5582.2879999999996</v>
      </c>
      <c r="I559" s="1">
        <v>-7898.7939999999999</v>
      </c>
    </row>
    <row r="560" spans="1:9" hidden="1" x14ac:dyDescent="0.25">
      <c r="A560" s="1" t="s">
        <v>10</v>
      </c>
      <c r="B560" s="1" t="s">
        <v>194</v>
      </c>
      <c r="C560" s="1" t="s">
        <v>143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</row>
    <row r="561" spans="1:9" hidden="1" x14ac:dyDescent="0.25">
      <c r="A561" s="1" t="s">
        <v>10</v>
      </c>
      <c r="B561" s="1" t="s">
        <v>194</v>
      </c>
      <c r="C561" s="1" t="s">
        <v>3</v>
      </c>
      <c r="D561" s="1">
        <v>0</v>
      </c>
      <c r="E561" s="1">
        <v>0</v>
      </c>
      <c r="F561" s="1">
        <v>0</v>
      </c>
      <c r="G561" s="1">
        <v>0</v>
      </c>
      <c r="H561" s="1">
        <v>0</v>
      </c>
      <c r="I561" s="1">
        <v>0</v>
      </c>
    </row>
    <row r="562" spans="1:9" hidden="1" x14ac:dyDescent="0.25">
      <c r="A562" s="1" t="s">
        <v>125</v>
      </c>
      <c r="B562" s="1" t="s">
        <v>195</v>
      </c>
      <c r="C562" s="1" t="s">
        <v>143</v>
      </c>
      <c r="D562" s="1">
        <v>210.53</v>
      </c>
      <c r="E562" s="1">
        <v>-99.4</v>
      </c>
      <c r="F562" s="1">
        <v>0</v>
      </c>
      <c r="G562" s="1">
        <v>536.779</v>
      </c>
      <c r="H562" s="1">
        <v>1263.1590000000001</v>
      </c>
      <c r="I562" s="1">
        <v>-1263.1590000000001</v>
      </c>
    </row>
    <row r="563" spans="1:9" hidden="1" x14ac:dyDescent="0.25">
      <c r="A563" s="1" t="s">
        <v>125</v>
      </c>
      <c r="B563" s="1" t="s">
        <v>195</v>
      </c>
      <c r="C563" s="1" t="s">
        <v>3</v>
      </c>
      <c r="D563" s="1">
        <v>232.6</v>
      </c>
      <c r="E563" s="1">
        <v>-99.4</v>
      </c>
      <c r="F563" s="1">
        <v>0</v>
      </c>
      <c r="G563" s="1">
        <v>536.779</v>
      </c>
      <c r="H563" s="1">
        <v>1395.5719999999999</v>
      </c>
      <c r="I563" s="1">
        <v>-1694.6389999999999</v>
      </c>
    </row>
    <row r="564" spans="1:9" hidden="1" x14ac:dyDescent="0.25">
      <c r="A564" s="1" t="s">
        <v>126</v>
      </c>
      <c r="B564" s="1" t="s">
        <v>195</v>
      </c>
      <c r="C564" s="1" t="s">
        <v>143</v>
      </c>
      <c r="D564" s="1">
        <v>443.12</v>
      </c>
      <c r="E564" s="1">
        <v>-177.77</v>
      </c>
      <c r="F564" s="1">
        <v>0</v>
      </c>
      <c r="G564" s="1">
        <v>959.94500000000005</v>
      </c>
      <c r="H564" s="1">
        <v>2658.7310000000002</v>
      </c>
      <c r="I564" s="1">
        <v>-2957.7979999999998</v>
      </c>
    </row>
    <row r="565" spans="1:9" hidden="1" x14ac:dyDescent="0.25">
      <c r="A565" s="1" t="s">
        <v>126</v>
      </c>
      <c r="B565" s="1" t="s">
        <v>195</v>
      </c>
      <c r="C565" s="1" t="s">
        <v>3</v>
      </c>
      <c r="D565" s="1">
        <v>465.19</v>
      </c>
      <c r="E565" s="1">
        <v>-177.77</v>
      </c>
      <c r="F565" s="1">
        <v>0</v>
      </c>
      <c r="G565" s="1">
        <v>959.94500000000005</v>
      </c>
      <c r="H565" s="1">
        <v>2791.1439999999998</v>
      </c>
      <c r="I565" s="1">
        <v>-3626.4520000000002</v>
      </c>
    </row>
    <row r="566" spans="1:9" hidden="1" x14ac:dyDescent="0.25">
      <c r="A566" s="1" t="s">
        <v>127</v>
      </c>
      <c r="B566" s="1" t="s">
        <v>195</v>
      </c>
      <c r="C566" s="1" t="s">
        <v>143</v>
      </c>
      <c r="D566" s="1">
        <v>675.72</v>
      </c>
      <c r="E566" s="1">
        <v>-230.01</v>
      </c>
      <c r="F566" s="1">
        <v>0</v>
      </c>
      <c r="G566" s="1">
        <v>1242.056</v>
      </c>
      <c r="H566" s="1">
        <v>4054.3029999999999</v>
      </c>
      <c r="I566" s="1">
        <v>-4889.6109999999999</v>
      </c>
    </row>
    <row r="567" spans="1:9" hidden="1" x14ac:dyDescent="0.25">
      <c r="A567" s="1" t="s">
        <v>127</v>
      </c>
      <c r="B567" s="1" t="s">
        <v>195</v>
      </c>
      <c r="C567" s="1" t="s">
        <v>3</v>
      </c>
      <c r="D567" s="1">
        <v>697.79</v>
      </c>
      <c r="E567" s="1">
        <v>-230.01</v>
      </c>
      <c r="F567" s="1">
        <v>0</v>
      </c>
      <c r="G567" s="1">
        <v>1242.056</v>
      </c>
      <c r="H567" s="1">
        <v>4186.7160000000003</v>
      </c>
      <c r="I567" s="1">
        <v>-5718.5069999999996</v>
      </c>
    </row>
    <row r="568" spans="1:9" hidden="1" x14ac:dyDescent="0.25">
      <c r="A568" s="1" t="s">
        <v>9</v>
      </c>
      <c r="B568" s="1" t="s">
        <v>195</v>
      </c>
      <c r="C568" s="1" t="s">
        <v>143</v>
      </c>
      <c r="D568" s="1">
        <v>908.31</v>
      </c>
      <c r="E568" s="1">
        <v>-256.13</v>
      </c>
      <c r="F568" s="1">
        <v>0</v>
      </c>
      <c r="G568" s="1">
        <v>1383.1110000000001</v>
      </c>
      <c r="H568" s="1">
        <v>5449.875</v>
      </c>
      <c r="I568" s="1">
        <v>-6981.6660000000002</v>
      </c>
    </row>
    <row r="569" spans="1:9" hidden="1" x14ac:dyDescent="0.25">
      <c r="A569" s="1" t="s">
        <v>9</v>
      </c>
      <c r="B569" s="1" t="s">
        <v>195</v>
      </c>
      <c r="C569" s="1" t="s">
        <v>3</v>
      </c>
      <c r="D569" s="1">
        <v>930.38</v>
      </c>
      <c r="E569" s="1">
        <v>-256.13</v>
      </c>
      <c r="F569" s="1">
        <v>0</v>
      </c>
      <c r="G569" s="1">
        <v>1383.1110000000001</v>
      </c>
      <c r="H569" s="1">
        <v>5582.2879999999996</v>
      </c>
      <c r="I569" s="1">
        <v>-7898.7939999999999</v>
      </c>
    </row>
    <row r="570" spans="1:9" hidden="1" x14ac:dyDescent="0.25">
      <c r="A570" s="1" t="s">
        <v>10</v>
      </c>
      <c r="B570" s="1" t="s">
        <v>195</v>
      </c>
      <c r="C570" s="1" t="s">
        <v>143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</row>
    <row r="571" spans="1:9" hidden="1" x14ac:dyDescent="0.25">
      <c r="A571" s="1" t="s">
        <v>10</v>
      </c>
      <c r="B571" s="1" t="s">
        <v>195</v>
      </c>
      <c r="C571" s="1" t="s">
        <v>3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</row>
    <row r="572" spans="1:9" hidden="1" x14ac:dyDescent="0.25">
      <c r="A572" s="1" t="s">
        <v>125</v>
      </c>
      <c r="B572" s="1" t="s">
        <v>196</v>
      </c>
      <c r="C572" s="1" t="s">
        <v>143</v>
      </c>
      <c r="D572" s="1">
        <v>210.53</v>
      </c>
      <c r="E572" s="1">
        <v>99.4</v>
      </c>
      <c r="F572" s="1">
        <v>0</v>
      </c>
      <c r="G572" s="1">
        <v>-656.06299999999999</v>
      </c>
      <c r="H572" s="1">
        <v>1263.1590000000001</v>
      </c>
      <c r="I572" s="1">
        <v>-1263.1590000000001</v>
      </c>
    </row>
    <row r="573" spans="1:9" hidden="1" x14ac:dyDescent="0.25">
      <c r="A573" s="1" t="s">
        <v>125</v>
      </c>
      <c r="B573" s="1" t="s">
        <v>196</v>
      </c>
      <c r="C573" s="1" t="s">
        <v>3</v>
      </c>
      <c r="D573" s="1">
        <v>232.6</v>
      </c>
      <c r="E573" s="1">
        <v>99.4</v>
      </c>
      <c r="F573" s="1">
        <v>0</v>
      </c>
      <c r="G573" s="1">
        <v>-656.06299999999999</v>
      </c>
      <c r="H573" s="1">
        <v>1395.5719999999999</v>
      </c>
      <c r="I573" s="1">
        <v>-1096.5060000000001</v>
      </c>
    </row>
    <row r="574" spans="1:9" hidden="1" x14ac:dyDescent="0.25">
      <c r="A574" s="1" t="s">
        <v>126</v>
      </c>
      <c r="B574" s="1" t="s">
        <v>196</v>
      </c>
      <c r="C574" s="1" t="s">
        <v>143</v>
      </c>
      <c r="D574" s="1">
        <v>443.12</v>
      </c>
      <c r="E574" s="1">
        <v>177.77</v>
      </c>
      <c r="F574" s="1">
        <v>0</v>
      </c>
      <c r="G574" s="1">
        <v>-1173.2660000000001</v>
      </c>
      <c r="H574" s="1">
        <v>2658.7310000000002</v>
      </c>
      <c r="I574" s="1">
        <v>-2359.665</v>
      </c>
    </row>
    <row r="575" spans="1:9" hidden="1" x14ac:dyDescent="0.25">
      <c r="A575" s="1" t="s">
        <v>126</v>
      </c>
      <c r="B575" s="1" t="s">
        <v>196</v>
      </c>
      <c r="C575" s="1" t="s">
        <v>3</v>
      </c>
      <c r="D575" s="1">
        <v>465.19</v>
      </c>
      <c r="E575" s="1">
        <v>177.77</v>
      </c>
      <c r="F575" s="1">
        <v>0</v>
      </c>
      <c r="G575" s="1">
        <v>-1173.2660000000001</v>
      </c>
      <c r="H575" s="1">
        <v>2791.1439999999998</v>
      </c>
      <c r="I575" s="1">
        <v>-1955.837</v>
      </c>
    </row>
    <row r="576" spans="1:9" hidden="1" x14ac:dyDescent="0.25">
      <c r="A576" s="1" t="s">
        <v>127</v>
      </c>
      <c r="B576" s="1" t="s">
        <v>196</v>
      </c>
      <c r="C576" s="1" t="s">
        <v>143</v>
      </c>
      <c r="D576" s="1">
        <v>675.72</v>
      </c>
      <c r="E576" s="1">
        <v>230.01</v>
      </c>
      <c r="F576" s="1">
        <v>0</v>
      </c>
      <c r="G576" s="1">
        <v>-1518.068</v>
      </c>
      <c r="H576" s="1">
        <v>4054.3029999999999</v>
      </c>
      <c r="I576" s="1">
        <v>-3218.9960000000001</v>
      </c>
    </row>
    <row r="577" spans="1:9" hidden="1" x14ac:dyDescent="0.25">
      <c r="A577" s="1" t="s">
        <v>127</v>
      </c>
      <c r="B577" s="1" t="s">
        <v>196</v>
      </c>
      <c r="C577" s="1" t="s">
        <v>3</v>
      </c>
      <c r="D577" s="1">
        <v>697.79</v>
      </c>
      <c r="E577" s="1">
        <v>230.01</v>
      </c>
      <c r="F577" s="1">
        <v>0</v>
      </c>
      <c r="G577" s="1">
        <v>-1518.068</v>
      </c>
      <c r="H577" s="1">
        <v>4186.7160000000003</v>
      </c>
      <c r="I577" s="1">
        <v>-2654.9259999999999</v>
      </c>
    </row>
    <row r="578" spans="1:9" hidden="1" x14ac:dyDescent="0.25">
      <c r="A578" s="1" t="s">
        <v>9</v>
      </c>
      <c r="B578" s="1" t="s">
        <v>196</v>
      </c>
      <c r="C578" s="1" t="s">
        <v>143</v>
      </c>
      <c r="D578" s="1">
        <v>908.31</v>
      </c>
      <c r="E578" s="1">
        <v>256.13</v>
      </c>
      <c r="F578" s="1">
        <v>0</v>
      </c>
      <c r="G578" s="1">
        <v>-1690.4690000000001</v>
      </c>
      <c r="H578" s="1">
        <v>5449.875</v>
      </c>
      <c r="I578" s="1">
        <v>-3918.085</v>
      </c>
    </row>
    <row r="579" spans="1:9" hidden="1" x14ac:dyDescent="0.25">
      <c r="A579" s="1" t="s">
        <v>9</v>
      </c>
      <c r="B579" s="1" t="s">
        <v>196</v>
      </c>
      <c r="C579" s="1" t="s">
        <v>3</v>
      </c>
      <c r="D579" s="1">
        <v>930.38</v>
      </c>
      <c r="E579" s="1">
        <v>256.13</v>
      </c>
      <c r="F579" s="1">
        <v>0</v>
      </c>
      <c r="G579" s="1">
        <v>-1690.4690000000001</v>
      </c>
      <c r="H579" s="1">
        <v>5582.2879999999996</v>
      </c>
      <c r="I579" s="1">
        <v>-3265.7829999999999</v>
      </c>
    </row>
    <row r="580" spans="1:9" hidden="1" x14ac:dyDescent="0.25">
      <c r="A580" s="1" t="s">
        <v>10</v>
      </c>
      <c r="B580" s="1" t="s">
        <v>196</v>
      </c>
      <c r="C580" s="1" t="s">
        <v>143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</row>
    <row r="581" spans="1:9" hidden="1" x14ac:dyDescent="0.25">
      <c r="A581" s="1" t="s">
        <v>10</v>
      </c>
      <c r="B581" s="1" t="s">
        <v>196</v>
      </c>
      <c r="C581" s="1" t="s">
        <v>3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</row>
    <row r="582" spans="1:9" hidden="1" x14ac:dyDescent="0.25">
      <c r="A582" s="1" t="s">
        <v>125</v>
      </c>
      <c r="B582" s="1" t="s">
        <v>197</v>
      </c>
      <c r="C582" s="1" t="s">
        <v>143</v>
      </c>
      <c r="D582" s="1">
        <v>210.53</v>
      </c>
      <c r="E582" s="1">
        <v>99.4</v>
      </c>
      <c r="F582" s="1">
        <v>0</v>
      </c>
      <c r="G582" s="1">
        <v>-536.779</v>
      </c>
      <c r="H582" s="1">
        <v>1263.1590000000001</v>
      </c>
      <c r="I582" s="1">
        <v>-1263.1590000000001</v>
      </c>
    </row>
    <row r="583" spans="1:9" hidden="1" x14ac:dyDescent="0.25">
      <c r="A583" s="1" t="s">
        <v>125</v>
      </c>
      <c r="B583" s="1" t="s">
        <v>197</v>
      </c>
      <c r="C583" s="1" t="s">
        <v>3</v>
      </c>
      <c r="D583" s="1">
        <v>232.6</v>
      </c>
      <c r="E583" s="1">
        <v>99.4</v>
      </c>
      <c r="F583" s="1">
        <v>0</v>
      </c>
      <c r="G583" s="1">
        <v>-536.779</v>
      </c>
      <c r="H583" s="1">
        <v>1395.5719999999999</v>
      </c>
      <c r="I583" s="1">
        <v>-1096.5060000000001</v>
      </c>
    </row>
    <row r="584" spans="1:9" hidden="1" x14ac:dyDescent="0.25">
      <c r="A584" s="1" t="s">
        <v>126</v>
      </c>
      <c r="B584" s="1" t="s">
        <v>197</v>
      </c>
      <c r="C584" s="1" t="s">
        <v>143</v>
      </c>
      <c r="D584" s="1">
        <v>443.12</v>
      </c>
      <c r="E584" s="1">
        <v>177.77</v>
      </c>
      <c r="F584" s="1">
        <v>0</v>
      </c>
      <c r="G584" s="1">
        <v>-959.94500000000005</v>
      </c>
      <c r="H584" s="1">
        <v>2658.7310000000002</v>
      </c>
      <c r="I584" s="1">
        <v>-2359.665</v>
      </c>
    </row>
    <row r="585" spans="1:9" hidden="1" x14ac:dyDescent="0.25">
      <c r="A585" s="1" t="s">
        <v>126</v>
      </c>
      <c r="B585" s="1" t="s">
        <v>197</v>
      </c>
      <c r="C585" s="1" t="s">
        <v>3</v>
      </c>
      <c r="D585" s="1">
        <v>465.19</v>
      </c>
      <c r="E585" s="1">
        <v>177.77</v>
      </c>
      <c r="F585" s="1">
        <v>0</v>
      </c>
      <c r="G585" s="1">
        <v>-959.94500000000005</v>
      </c>
      <c r="H585" s="1">
        <v>2791.1439999999998</v>
      </c>
      <c r="I585" s="1">
        <v>-1955.837</v>
      </c>
    </row>
    <row r="586" spans="1:9" hidden="1" x14ac:dyDescent="0.25">
      <c r="A586" s="1" t="s">
        <v>127</v>
      </c>
      <c r="B586" s="1" t="s">
        <v>197</v>
      </c>
      <c r="C586" s="1" t="s">
        <v>143</v>
      </c>
      <c r="D586" s="1">
        <v>675.72</v>
      </c>
      <c r="E586" s="1">
        <v>230.01</v>
      </c>
      <c r="F586" s="1">
        <v>0</v>
      </c>
      <c r="G586" s="1">
        <v>-1242.056</v>
      </c>
      <c r="H586" s="1">
        <v>4054.3029999999999</v>
      </c>
      <c r="I586" s="1">
        <v>-3218.9960000000001</v>
      </c>
    </row>
    <row r="587" spans="1:9" hidden="1" x14ac:dyDescent="0.25">
      <c r="A587" s="1" t="s">
        <v>127</v>
      </c>
      <c r="B587" s="1" t="s">
        <v>197</v>
      </c>
      <c r="C587" s="1" t="s">
        <v>3</v>
      </c>
      <c r="D587" s="1">
        <v>697.79</v>
      </c>
      <c r="E587" s="1">
        <v>230.01</v>
      </c>
      <c r="F587" s="1">
        <v>0</v>
      </c>
      <c r="G587" s="1">
        <v>-1242.056</v>
      </c>
      <c r="H587" s="1">
        <v>4186.7160000000003</v>
      </c>
      <c r="I587" s="1">
        <v>-2654.9259999999999</v>
      </c>
    </row>
    <row r="588" spans="1:9" hidden="1" x14ac:dyDescent="0.25">
      <c r="A588" s="1" t="s">
        <v>9</v>
      </c>
      <c r="B588" s="1" t="s">
        <v>197</v>
      </c>
      <c r="C588" s="1" t="s">
        <v>143</v>
      </c>
      <c r="D588" s="1">
        <v>908.31</v>
      </c>
      <c r="E588" s="1">
        <v>256.13</v>
      </c>
      <c r="F588" s="1">
        <v>0</v>
      </c>
      <c r="G588" s="1">
        <v>-1383.1110000000001</v>
      </c>
      <c r="H588" s="1">
        <v>5449.875</v>
      </c>
      <c r="I588" s="1">
        <v>-3918.085</v>
      </c>
    </row>
    <row r="589" spans="1:9" hidden="1" x14ac:dyDescent="0.25">
      <c r="A589" s="1" t="s">
        <v>9</v>
      </c>
      <c r="B589" s="1" t="s">
        <v>197</v>
      </c>
      <c r="C589" s="1" t="s">
        <v>3</v>
      </c>
      <c r="D589" s="1">
        <v>930.38</v>
      </c>
      <c r="E589" s="1">
        <v>256.13</v>
      </c>
      <c r="F589" s="1">
        <v>0</v>
      </c>
      <c r="G589" s="1">
        <v>-1383.1110000000001</v>
      </c>
      <c r="H589" s="1">
        <v>5582.2879999999996</v>
      </c>
      <c r="I589" s="1">
        <v>-3265.7829999999999</v>
      </c>
    </row>
    <row r="590" spans="1:9" hidden="1" x14ac:dyDescent="0.25">
      <c r="A590" s="1" t="s">
        <v>10</v>
      </c>
      <c r="B590" s="1" t="s">
        <v>197</v>
      </c>
      <c r="C590" s="1" t="s">
        <v>143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</row>
    <row r="591" spans="1:9" hidden="1" x14ac:dyDescent="0.25">
      <c r="A591" s="1" t="s">
        <v>10</v>
      </c>
      <c r="B591" s="1" t="s">
        <v>197</v>
      </c>
      <c r="C591" s="1" t="s">
        <v>3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</row>
    <row r="592" spans="1:9" hidden="1" x14ac:dyDescent="0.25">
      <c r="A592" s="1" t="s">
        <v>125</v>
      </c>
      <c r="B592" s="1" t="s">
        <v>198</v>
      </c>
      <c r="C592" s="1" t="s">
        <v>143</v>
      </c>
      <c r="D592" s="1">
        <v>210.53</v>
      </c>
      <c r="E592" s="1">
        <v>0</v>
      </c>
      <c r="F592" s="1">
        <v>-99.4</v>
      </c>
      <c r="G592" s="1">
        <v>-656.06299999999999</v>
      </c>
      <c r="H592" s="1">
        <v>1263.1590000000001</v>
      </c>
      <c r="I592" s="1">
        <v>-1263.1590000000001</v>
      </c>
    </row>
    <row r="593" spans="1:9" hidden="1" x14ac:dyDescent="0.25">
      <c r="A593" s="1" t="s">
        <v>125</v>
      </c>
      <c r="B593" s="1" t="s">
        <v>198</v>
      </c>
      <c r="C593" s="1" t="s">
        <v>3</v>
      </c>
      <c r="D593" s="1">
        <v>232.6</v>
      </c>
      <c r="E593" s="1">
        <v>0</v>
      </c>
      <c r="F593" s="1">
        <v>-99.4</v>
      </c>
      <c r="G593" s="1">
        <v>-656.06299999999999</v>
      </c>
      <c r="H593" s="1">
        <v>1694.6389999999999</v>
      </c>
      <c r="I593" s="1">
        <v>-1395.5719999999999</v>
      </c>
    </row>
    <row r="594" spans="1:9" hidden="1" x14ac:dyDescent="0.25">
      <c r="A594" s="1" t="s">
        <v>126</v>
      </c>
      <c r="B594" s="1" t="s">
        <v>198</v>
      </c>
      <c r="C594" s="1" t="s">
        <v>143</v>
      </c>
      <c r="D594" s="1">
        <v>443.12</v>
      </c>
      <c r="E594" s="1">
        <v>0</v>
      </c>
      <c r="F594" s="1">
        <v>-177.77</v>
      </c>
      <c r="G594" s="1">
        <v>-1173.2660000000001</v>
      </c>
      <c r="H594" s="1">
        <v>2957.7979999999998</v>
      </c>
      <c r="I594" s="1">
        <v>-2658.7310000000002</v>
      </c>
    </row>
    <row r="595" spans="1:9" hidden="1" x14ac:dyDescent="0.25">
      <c r="A595" s="1" t="s">
        <v>126</v>
      </c>
      <c r="B595" s="1" t="s">
        <v>198</v>
      </c>
      <c r="C595" s="1" t="s">
        <v>3</v>
      </c>
      <c r="D595" s="1">
        <v>465.19</v>
      </c>
      <c r="E595" s="1">
        <v>0</v>
      </c>
      <c r="F595" s="1">
        <v>-177.77</v>
      </c>
      <c r="G595" s="1">
        <v>-1173.2660000000001</v>
      </c>
      <c r="H595" s="1">
        <v>3626.4520000000002</v>
      </c>
      <c r="I595" s="1">
        <v>-2791.1439999999998</v>
      </c>
    </row>
    <row r="596" spans="1:9" hidden="1" x14ac:dyDescent="0.25">
      <c r="A596" s="1" t="s">
        <v>127</v>
      </c>
      <c r="B596" s="1" t="s">
        <v>198</v>
      </c>
      <c r="C596" s="1" t="s">
        <v>143</v>
      </c>
      <c r="D596" s="1">
        <v>675.72</v>
      </c>
      <c r="E596" s="1">
        <v>0</v>
      </c>
      <c r="F596" s="1">
        <v>-230.01</v>
      </c>
      <c r="G596" s="1">
        <v>-1518.068</v>
      </c>
      <c r="H596" s="1">
        <v>4889.6109999999999</v>
      </c>
      <c r="I596" s="1">
        <v>-4054.3029999999999</v>
      </c>
    </row>
    <row r="597" spans="1:9" hidden="1" x14ac:dyDescent="0.25">
      <c r="A597" s="1" t="s">
        <v>127</v>
      </c>
      <c r="B597" s="1" t="s">
        <v>198</v>
      </c>
      <c r="C597" s="1" t="s">
        <v>3</v>
      </c>
      <c r="D597" s="1">
        <v>697.79</v>
      </c>
      <c r="E597" s="1">
        <v>0</v>
      </c>
      <c r="F597" s="1">
        <v>-230.01</v>
      </c>
      <c r="G597" s="1">
        <v>-1518.068</v>
      </c>
      <c r="H597" s="1">
        <v>5718.5069999999996</v>
      </c>
      <c r="I597" s="1">
        <v>-4186.7160000000003</v>
      </c>
    </row>
    <row r="598" spans="1:9" hidden="1" x14ac:dyDescent="0.25">
      <c r="A598" s="1" t="s">
        <v>9</v>
      </c>
      <c r="B598" s="1" t="s">
        <v>198</v>
      </c>
      <c r="C598" s="1" t="s">
        <v>143</v>
      </c>
      <c r="D598" s="1">
        <v>908.31</v>
      </c>
      <c r="E598" s="1">
        <v>0</v>
      </c>
      <c r="F598" s="1">
        <v>-256.13</v>
      </c>
      <c r="G598" s="1">
        <v>-1690.4690000000001</v>
      </c>
      <c r="H598" s="1">
        <v>6981.6660000000002</v>
      </c>
      <c r="I598" s="1">
        <v>-5449.875</v>
      </c>
    </row>
    <row r="599" spans="1:9" hidden="1" x14ac:dyDescent="0.25">
      <c r="A599" s="1" t="s">
        <v>9</v>
      </c>
      <c r="B599" s="1" t="s">
        <v>198</v>
      </c>
      <c r="C599" s="1" t="s">
        <v>3</v>
      </c>
      <c r="D599" s="1">
        <v>930.38</v>
      </c>
      <c r="E599" s="1">
        <v>0</v>
      </c>
      <c r="F599" s="1">
        <v>-256.13</v>
      </c>
      <c r="G599" s="1">
        <v>-1690.4690000000001</v>
      </c>
      <c r="H599" s="1">
        <v>7898.7939999999999</v>
      </c>
      <c r="I599" s="1">
        <v>-5582.2879999999996</v>
      </c>
    </row>
    <row r="600" spans="1:9" hidden="1" x14ac:dyDescent="0.25">
      <c r="A600" s="1" t="s">
        <v>10</v>
      </c>
      <c r="B600" s="1" t="s">
        <v>198</v>
      </c>
      <c r="C600" s="1" t="s">
        <v>143</v>
      </c>
      <c r="D600" s="1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</row>
    <row r="601" spans="1:9" hidden="1" x14ac:dyDescent="0.25">
      <c r="A601" s="1" t="s">
        <v>10</v>
      </c>
      <c r="B601" s="1" t="s">
        <v>198</v>
      </c>
      <c r="C601" s="1" t="s">
        <v>3</v>
      </c>
      <c r="D601" s="1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</row>
    <row r="602" spans="1:9" hidden="1" x14ac:dyDescent="0.25">
      <c r="A602" s="1" t="s">
        <v>125</v>
      </c>
      <c r="B602" s="1" t="s">
        <v>199</v>
      </c>
      <c r="C602" s="1" t="s">
        <v>143</v>
      </c>
      <c r="D602" s="1">
        <v>210.53</v>
      </c>
      <c r="E602" s="1">
        <v>0</v>
      </c>
      <c r="F602" s="1">
        <v>-99.4</v>
      </c>
      <c r="G602" s="1">
        <v>-536.779</v>
      </c>
      <c r="H602" s="1">
        <v>1263.1590000000001</v>
      </c>
      <c r="I602" s="1">
        <v>-1263.1590000000001</v>
      </c>
    </row>
    <row r="603" spans="1:9" hidden="1" x14ac:dyDescent="0.25">
      <c r="A603" s="1" t="s">
        <v>125</v>
      </c>
      <c r="B603" s="1" t="s">
        <v>199</v>
      </c>
      <c r="C603" s="1" t="s">
        <v>3</v>
      </c>
      <c r="D603" s="1">
        <v>232.6</v>
      </c>
      <c r="E603" s="1">
        <v>0</v>
      </c>
      <c r="F603" s="1">
        <v>-99.4</v>
      </c>
      <c r="G603" s="1">
        <v>-536.779</v>
      </c>
      <c r="H603" s="1">
        <v>1694.6389999999999</v>
      </c>
      <c r="I603" s="1">
        <v>-1395.5719999999999</v>
      </c>
    </row>
    <row r="604" spans="1:9" hidden="1" x14ac:dyDescent="0.25">
      <c r="A604" s="1" t="s">
        <v>126</v>
      </c>
      <c r="B604" s="1" t="s">
        <v>199</v>
      </c>
      <c r="C604" s="1" t="s">
        <v>143</v>
      </c>
      <c r="D604" s="1">
        <v>443.12</v>
      </c>
      <c r="E604" s="1">
        <v>0</v>
      </c>
      <c r="F604" s="1">
        <v>-177.77</v>
      </c>
      <c r="G604" s="1">
        <v>-959.94500000000005</v>
      </c>
      <c r="H604" s="1">
        <v>2957.7979999999998</v>
      </c>
      <c r="I604" s="1">
        <v>-2658.7310000000002</v>
      </c>
    </row>
    <row r="605" spans="1:9" hidden="1" x14ac:dyDescent="0.25">
      <c r="A605" s="1" t="s">
        <v>126</v>
      </c>
      <c r="B605" s="1" t="s">
        <v>199</v>
      </c>
      <c r="C605" s="1" t="s">
        <v>3</v>
      </c>
      <c r="D605" s="1">
        <v>465.19</v>
      </c>
      <c r="E605" s="1">
        <v>0</v>
      </c>
      <c r="F605" s="1">
        <v>-177.77</v>
      </c>
      <c r="G605" s="1">
        <v>-959.94500000000005</v>
      </c>
      <c r="H605" s="1">
        <v>3626.4520000000002</v>
      </c>
      <c r="I605" s="1">
        <v>-2791.1439999999998</v>
      </c>
    </row>
    <row r="606" spans="1:9" hidden="1" x14ac:dyDescent="0.25">
      <c r="A606" s="1" t="s">
        <v>127</v>
      </c>
      <c r="B606" s="1" t="s">
        <v>199</v>
      </c>
      <c r="C606" s="1" t="s">
        <v>143</v>
      </c>
      <c r="D606" s="1">
        <v>675.72</v>
      </c>
      <c r="E606" s="1">
        <v>0</v>
      </c>
      <c r="F606" s="1">
        <v>-230.01</v>
      </c>
      <c r="G606" s="1">
        <v>-1242.056</v>
      </c>
      <c r="H606" s="1">
        <v>4889.6109999999999</v>
      </c>
      <c r="I606" s="1">
        <v>-4054.3029999999999</v>
      </c>
    </row>
    <row r="607" spans="1:9" hidden="1" x14ac:dyDescent="0.25">
      <c r="A607" s="1" t="s">
        <v>127</v>
      </c>
      <c r="B607" s="1" t="s">
        <v>199</v>
      </c>
      <c r="C607" s="1" t="s">
        <v>3</v>
      </c>
      <c r="D607" s="1">
        <v>697.79</v>
      </c>
      <c r="E607" s="1">
        <v>0</v>
      </c>
      <c r="F607" s="1">
        <v>-230.01</v>
      </c>
      <c r="G607" s="1">
        <v>-1242.056</v>
      </c>
      <c r="H607" s="1">
        <v>5718.5069999999996</v>
      </c>
      <c r="I607" s="1">
        <v>-4186.7160000000003</v>
      </c>
    </row>
    <row r="608" spans="1:9" hidden="1" x14ac:dyDescent="0.25">
      <c r="A608" s="1" t="s">
        <v>9</v>
      </c>
      <c r="B608" s="1" t="s">
        <v>199</v>
      </c>
      <c r="C608" s="1" t="s">
        <v>143</v>
      </c>
      <c r="D608" s="1">
        <v>908.31</v>
      </c>
      <c r="E608" s="1">
        <v>0</v>
      </c>
      <c r="F608" s="1">
        <v>-256.13</v>
      </c>
      <c r="G608" s="1">
        <v>-1383.1110000000001</v>
      </c>
      <c r="H608" s="1">
        <v>6981.6660000000002</v>
      </c>
      <c r="I608" s="1">
        <v>-5449.875</v>
      </c>
    </row>
    <row r="609" spans="1:9" hidden="1" x14ac:dyDescent="0.25">
      <c r="A609" s="1" t="s">
        <v>9</v>
      </c>
      <c r="B609" s="1" t="s">
        <v>199</v>
      </c>
      <c r="C609" s="1" t="s">
        <v>3</v>
      </c>
      <c r="D609" s="1">
        <v>930.38</v>
      </c>
      <c r="E609" s="1">
        <v>0</v>
      </c>
      <c r="F609" s="1">
        <v>-256.13</v>
      </c>
      <c r="G609" s="1">
        <v>-1383.1110000000001</v>
      </c>
      <c r="H609" s="1">
        <v>7898.7939999999999</v>
      </c>
      <c r="I609" s="1">
        <v>-5582.2879999999996</v>
      </c>
    </row>
    <row r="610" spans="1:9" hidden="1" x14ac:dyDescent="0.25">
      <c r="A610" s="1" t="s">
        <v>10</v>
      </c>
      <c r="B610" s="1" t="s">
        <v>199</v>
      </c>
      <c r="C610" s="1" t="s">
        <v>143</v>
      </c>
      <c r="D610" s="1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</row>
    <row r="611" spans="1:9" hidden="1" x14ac:dyDescent="0.25">
      <c r="A611" s="1" t="s">
        <v>10</v>
      </c>
      <c r="B611" s="1" t="s">
        <v>199</v>
      </c>
      <c r="C611" s="1" t="s">
        <v>3</v>
      </c>
      <c r="D611" s="1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</row>
    <row r="612" spans="1:9" hidden="1" x14ac:dyDescent="0.25">
      <c r="A612" s="1" t="s">
        <v>125</v>
      </c>
      <c r="B612" s="1" t="s">
        <v>200</v>
      </c>
      <c r="C612" s="1" t="s">
        <v>143</v>
      </c>
      <c r="D612" s="1">
        <v>210.53</v>
      </c>
      <c r="E612" s="1">
        <v>0</v>
      </c>
      <c r="F612" s="1">
        <v>99.4</v>
      </c>
      <c r="G612" s="1">
        <v>656.06299999999999</v>
      </c>
      <c r="H612" s="1">
        <v>1263.1590000000001</v>
      </c>
      <c r="I612" s="1">
        <v>-1263.1590000000001</v>
      </c>
    </row>
    <row r="613" spans="1:9" hidden="1" x14ac:dyDescent="0.25">
      <c r="A613" s="1" t="s">
        <v>125</v>
      </c>
      <c r="B613" s="1" t="s">
        <v>200</v>
      </c>
      <c r="C613" s="1" t="s">
        <v>3</v>
      </c>
      <c r="D613" s="1">
        <v>232.6</v>
      </c>
      <c r="E613" s="1">
        <v>0</v>
      </c>
      <c r="F613" s="1">
        <v>99.4</v>
      </c>
      <c r="G613" s="1">
        <v>656.06299999999999</v>
      </c>
      <c r="H613" s="1">
        <v>1096.5060000000001</v>
      </c>
      <c r="I613" s="1">
        <v>-1395.5719999999999</v>
      </c>
    </row>
    <row r="614" spans="1:9" hidden="1" x14ac:dyDescent="0.25">
      <c r="A614" s="1" t="s">
        <v>126</v>
      </c>
      <c r="B614" s="1" t="s">
        <v>200</v>
      </c>
      <c r="C614" s="1" t="s">
        <v>143</v>
      </c>
      <c r="D614" s="1">
        <v>443.12</v>
      </c>
      <c r="E614" s="1">
        <v>0</v>
      </c>
      <c r="F614" s="1">
        <v>177.77</v>
      </c>
      <c r="G614" s="1">
        <v>1173.2660000000001</v>
      </c>
      <c r="H614" s="1">
        <v>2359.665</v>
      </c>
      <c r="I614" s="1">
        <v>-2658.7310000000002</v>
      </c>
    </row>
    <row r="615" spans="1:9" hidden="1" x14ac:dyDescent="0.25">
      <c r="A615" s="1" t="s">
        <v>126</v>
      </c>
      <c r="B615" s="1" t="s">
        <v>200</v>
      </c>
      <c r="C615" s="1" t="s">
        <v>3</v>
      </c>
      <c r="D615" s="1">
        <v>465.19</v>
      </c>
      <c r="E615" s="1">
        <v>0</v>
      </c>
      <c r="F615" s="1">
        <v>177.77</v>
      </c>
      <c r="G615" s="1">
        <v>1173.2660000000001</v>
      </c>
      <c r="H615" s="1">
        <v>1955.837</v>
      </c>
      <c r="I615" s="1">
        <v>-2791.1439999999998</v>
      </c>
    </row>
    <row r="616" spans="1:9" hidden="1" x14ac:dyDescent="0.25">
      <c r="A616" s="1" t="s">
        <v>127</v>
      </c>
      <c r="B616" s="1" t="s">
        <v>200</v>
      </c>
      <c r="C616" s="1" t="s">
        <v>143</v>
      </c>
      <c r="D616" s="1">
        <v>675.72</v>
      </c>
      <c r="E616" s="1">
        <v>0</v>
      </c>
      <c r="F616" s="1">
        <v>230.01</v>
      </c>
      <c r="G616" s="1">
        <v>1518.068</v>
      </c>
      <c r="H616" s="1">
        <v>3218.9960000000001</v>
      </c>
      <c r="I616" s="1">
        <v>-4054.3029999999999</v>
      </c>
    </row>
    <row r="617" spans="1:9" hidden="1" x14ac:dyDescent="0.25">
      <c r="A617" s="1" t="s">
        <v>127</v>
      </c>
      <c r="B617" s="1" t="s">
        <v>200</v>
      </c>
      <c r="C617" s="1" t="s">
        <v>3</v>
      </c>
      <c r="D617" s="1">
        <v>697.79</v>
      </c>
      <c r="E617" s="1">
        <v>0</v>
      </c>
      <c r="F617" s="1">
        <v>230.01</v>
      </c>
      <c r="G617" s="1">
        <v>1518.068</v>
      </c>
      <c r="H617" s="1">
        <v>2654.9259999999999</v>
      </c>
      <c r="I617" s="1">
        <v>-4186.7160000000003</v>
      </c>
    </row>
    <row r="618" spans="1:9" hidden="1" x14ac:dyDescent="0.25">
      <c r="A618" s="1" t="s">
        <v>9</v>
      </c>
      <c r="B618" s="1" t="s">
        <v>200</v>
      </c>
      <c r="C618" s="1" t="s">
        <v>143</v>
      </c>
      <c r="D618" s="1">
        <v>908.31</v>
      </c>
      <c r="E618" s="1">
        <v>0</v>
      </c>
      <c r="F618" s="1">
        <v>256.13</v>
      </c>
      <c r="G618" s="1">
        <v>1690.4690000000001</v>
      </c>
      <c r="H618" s="1">
        <v>3918.085</v>
      </c>
      <c r="I618" s="1">
        <v>-5449.875</v>
      </c>
    </row>
    <row r="619" spans="1:9" hidden="1" x14ac:dyDescent="0.25">
      <c r="A619" s="1" t="s">
        <v>9</v>
      </c>
      <c r="B619" s="1" t="s">
        <v>200</v>
      </c>
      <c r="C619" s="1" t="s">
        <v>3</v>
      </c>
      <c r="D619" s="1">
        <v>930.38</v>
      </c>
      <c r="E619" s="1">
        <v>0</v>
      </c>
      <c r="F619" s="1">
        <v>256.13</v>
      </c>
      <c r="G619" s="1">
        <v>1690.4690000000001</v>
      </c>
      <c r="H619" s="1">
        <v>3265.7829999999999</v>
      </c>
      <c r="I619" s="1">
        <v>-5582.2879999999996</v>
      </c>
    </row>
    <row r="620" spans="1:9" hidden="1" x14ac:dyDescent="0.25">
      <c r="A620" s="1" t="s">
        <v>10</v>
      </c>
      <c r="B620" s="1" t="s">
        <v>200</v>
      </c>
      <c r="C620" s="1" t="s">
        <v>143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</row>
    <row r="621" spans="1:9" hidden="1" x14ac:dyDescent="0.25">
      <c r="A621" s="1" t="s">
        <v>10</v>
      </c>
      <c r="B621" s="1" t="s">
        <v>200</v>
      </c>
      <c r="C621" s="1" t="s">
        <v>3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</row>
    <row r="622" spans="1:9" hidden="1" x14ac:dyDescent="0.25">
      <c r="A622" s="1" t="s">
        <v>125</v>
      </c>
      <c r="B622" s="1" t="s">
        <v>201</v>
      </c>
      <c r="C622" s="1" t="s">
        <v>143</v>
      </c>
      <c r="D622" s="1">
        <v>210.53</v>
      </c>
      <c r="E622" s="1">
        <v>0</v>
      </c>
      <c r="F622" s="1">
        <v>99.4</v>
      </c>
      <c r="G622" s="1">
        <v>536.779</v>
      </c>
      <c r="H622" s="1">
        <v>1263.1590000000001</v>
      </c>
      <c r="I622" s="1">
        <v>-1263.1590000000001</v>
      </c>
    </row>
    <row r="623" spans="1:9" hidden="1" x14ac:dyDescent="0.25">
      <c r="A623" s="1" t="s">
        <v>125</v>
      </c>
      <c r="B623" s="1" t="s">
        <v>201</v>
      </c>
      <c r="C623" s="1" t="s">
        <v>3</v>
      </c>
      <c r="D623" s="1">
        <v>232.6</v>
      </c>
      <c r="E623" s="1">
        <v>0</v>
      </c>
      <c r="F623" s="1">
        <v>99.4</v>
      </c>
      <c r="G623" s="1">
        <v>536.779</v>
      </c>
      <c r="H623" s="1">
        <v>1096.5060000000001</v>
      </c>
      <c r="I623" s="1">
        <v>-1395.5719999999999</v>
      </c>
    </row>
    <row r="624" spans="1:9" hidden="1" x14ac:dyDescent="0.25">
      <c r="A624" s="1" t="s">
        <v>126</v>
      </c>
      <c r="B624" s="1" t="s">
        <v>201</v>
      </c>
      <c r="C624" s="1" t="s">
        <v>143</v>
      </c>
      <c r="D624" s="1">
        <v>443.12</v>
      </c>
      <c r="E624" s="1">
        <v>0</v>
      </c>
      <c r="F624" s="1">
        <v>177.77</v>
      </c>
      <c r="G624" s="1">
        <v>959.94500000000005</v>
      </c>
      <c r="H624" s="1">
        <v>2359.665</v>
      </c>
      <c r="I624" s="1">
        <v>-2658.7310000000002</v>
      </c>
    </row>
    <row r="625" spans="1:9" hidden="1" x14ac:dyDescent="0.25">
      <c r="A625" s="1" t="s">
        <v>126</v>
      </c>
      <c r="B625" s="1" t="s">
        <v>201</v>
      </c>
      <c r="C625" s="1" t="s">
        <v>3</v>
      </c>
      <c r="D625" s="1">
        <v>465.19</v>
      </c>
      <c r="E625" s="1">
        <v>0</v>
      </c>
      <c r="F625" s="1">
        <v>177.77</v>
      </c>
      <c r="G625" s="1">
        <v>959.94500000000005</v>
      </c>
      <c r="H625" s="1">
        <v>1955.837</v>
      </c>
      <c r="I625" s="1">
        <v>-2791.1439999999998</v>
      </c>
    </row>
    <row r="626" spans="1:9" hidden="1" x14ac:dyDescent="0.25">
      <c r="A626" s="1" t="s">
        <v>127</v>
      </c>
      <c r="B626" s="1" t="s">
        <v>201</v>
      </c>
      <c r="C626" s="1" t="s">
        <v>143</v>
      </c>
      <c r="D626" s="1">
        <v>675.72</v>
      </c>
      <c r="E626" s="1">
        <v>0</v>
      </c>
      <c r="F626" s="1">
        <v>230.01</v>
      </c>
      <c r="G626" s="1">
        <v>1242.056</v>
      </c>
      <c r="H626" s="1">
        <v>3218.9960000000001</v>
      </c>
      <c r="I626" s="1">
        <v>-4054.3029999999999</v>
      </c>
    </row>
    <row r="627" spans="1:9" hidden="1" x14ac:dyDescent="0.25">
      <c r="A627" s="1" t="s">
        <v>127</v>
      </c>
      <c r="B627" s="1" t="s">
        <v>201</v>
      </c>
      <c r="C627" s="1" t="s">
        <v>3</v>
      </c>
      <c r="D627" s="1">
        <v>697.79</v>
      </c>
      <c r="E627" s="1">
        <v>0</v>
      </c>
      <c r="F627" s="1">
        <v>230.01</v>
      </c>
      <c r="G627" s="1">
        <v>1242.056</v>
      </c>
      <c r="H627" s="1">
        <v>2654.9259999999999</v>
      </c>
      <c r="I627" s="1">
        <v>-4186.7160000000003</v>
      </c>
    </row>
    <row r="628" spans="1:9" hidden="1" x14ac:dyDescent="0.25">
      <c r="A628" s="1" t="s">
        <v>9</v>
      </c>
      <c r="B628" s="1" t="s">
        <v>201</v>
      </c>
      <c r="C628" s="1" t="s">
        <v>143</v>
      </c>
      <c r="D628" s="1">
        <v>908.31</v>
      </c>
      <c r="E628" s="1">
        <v>0</v>
      </c>
      <c r="F628" s="1">
        <v>256.13</v>
      </c>
      <c r="G628" s="1">
        <v>1383.1110000000001</v>
      </c>
      <c r="H628" s="1">
        <v>3918.085</v>
      </c>
      <c r="I628" s="1">
        <v>-5449.875</v>
      </c>
    </row>
    <row r="629" spans="1:9" hidden="1" x14ac:dyDescent="0.25">
      <c r="A629" s="1" t="s">
        <v>9</v>
      </c>
      <c r="B629" s="1" t="s">
        <v>201</v>
      </c>
      <c r="C629" s="1" t="s">
        <v>3</v>
      </c>
      <c r="D629" s="1">
        <v>930.38</v>
      </c>
      <c r="E629" s="1">
        <v>0</v>
      </c>
      <c r="F629" s="1">
        <v>256.13</v>
      </c>
      <c r="G629" s="1">
        <v>1383.1110000000001</v>
      </c>
      <c r="H629" s="1">
        <v>3265.7829999999999</v>
      </c>
      <c r="I629" s="1">
        <v>-5582.2879999999996</v>
      </c>
    </row>
    <row r="630" spans="1:9" hidden="1" x14ac:dyDescent="0.25">
      <c r="A630" s="1" t="s">
        <v>10</v>
      </c>
      <c r="B630" s="1" t="s">
        <v>201</v>
      </c>
      <c r="C630" s="1" t="s">
        <v>143</v>
      </c>
      <c r="D630" s="1">
        <v>0</v>
      </c>
      <c r="E630" s="1">
        <v>0</v>
      </c>
      <c r="F630" s="1">
        <v>0</v>
      </c>
      <c r="G630" s="1">
        <v>0</v>
      </c>
      <c r="H630" s="1">
        <v>0</v>
      </c>
      <c r="I630" s="1">
        <v>0</v>
      </c>
    </row>
    <row r="631" spans="1:9" hidden="1" x14ac:dyDescent="0.25">
      <c r="A631" s="1" t="s">
        <v>10</v>
      </c>
      <c r="B631" s="1" t="s">
        <v>201</v>
      </c>
      <c r="C631" s="1" t="s">
        <v>3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</row>
    <row r="632" spans="1:9" hidden="1" x14ac:dyDescent="0.25">
      <c r="A632" s="1" t="s">
        <v>125</v>
      </c>
      <c r="B632" s="1" t="s">
        <v>202</v>
      </c>
      <c r="C632" s="1" t="s">
        <v>143</v>
      </c>
      <c r="D632" s="1">
        <v>190.48</v>
      </c>
      <c r="E632" s="1">
        <v>-99.4</v>
      </c>
      <c r="F632" s="1">
        <v>0</v>
      </c>
      <c r="G632" s="1">
        <v>656.06299999999999</v>
      </c>
      <c r="H632" s="1">
        <v>1142.8579999999999</v>
      </c>
      <c r="I632" s="1">
        <v>-1142.8579999999999</v>
      </c>
    </row>
    <row r="633" spans="1:9" hidden="1" x14ac:dyDescent="0.25">
      <c r="A633" s="1" t="s">
        <v>125</v>
      </c>
      <c r="B633" s="1" t="s">
        <v>202</v>
      </c>
      <c r="C633" s="1" t="s">
        <v>3</v>
      </c>
      <c r="D633" s="1">
        <v>210.44</v>
      </c>
      <c r="E633" s="1">
        <v>-99.4</v>
      </c>
      <c r="F633" s="1">
        <v>0</v>
      </c>
      <c r="G633" s="1">
        <v>656.06299999999999</v>
      </c>
      <c r="H633" s="1">
        <v>1262.6600000000001</v>
      </c>
      <c r="I633" s="1">
        <v>-1561.7270000000001</v>
      </c>
    </row>
    <row r="634" spans="1:9" hidden="1" x14ac:dyDescent="0.25">
      <c r="A634" s="1" t="s">
        <v>126</v>
      </c>
      <c r="B634" s="1" t="s">
        <v>202</v>
      </c>
      <c r="C634" s="1" t="s">
        <v>143</v>
      </c>
      <c r="D634" s="1">
        <v>400.92</v>
      </c>
      <c r="E634" s="1">
        <v>-177.77</v>
      </c>
      <c r="F634" s="1">
        <v>0</v>
      </c>
      <c r="G634" s="1">
        <v>1173.2660000000001</v>
      </c>
      <c r="H634" s="1">
        <v>2405.5189999999998</v>
      </c>
      <c r="I634" s="1">
        <v>-2704.585</v>
      </c>
    </row>
    <row r="635" spans="1:9" hidden="1" x14ac:dyDescent="0.25">
      <c r="A635" s="1" t="s">
        <v>126</v>
      </c>
      <c r="B635" s="1" t="s">
        <v>202</v>
      </c>
      <c r="C635" s="1" t="s">
        <v>3</v>
      </c>
      <c r="D635" s="1">
        <v>420.89</v>
      </c>
      <c r="E635" s="1">
        <v>-177.77</v>
      </c>
      <c r="F635" s="1">
        <v>0</v>
      </c>
      <c r="G635" s="1">
        <v>1173.2660000000001</v>
      </c>
      <c r="H635" s="1">
        <v>2525.3209999999999</v>
      </c>
      <c r="I635" s="1">
        <v>-3360.6280000000002</v>
      </c>
    </row>
    <row r="636" spans="1:9" hidden="1" x14ac:dyDescent="0.25">
      <c r="A636" s="1" t="s">
        <v>127</v>
      </c>
      <c r="B636" s="1" t="s">
        <v>202</v>
      </c>
      <c r="C636" s="1" t="s">
        <v>143</v>
      </c>
      <c r="D636" s="1">
        <v>611.36</v>
      </c>
      <c r="E636" s="1">
        <v>-230.01</v>
      </c>
      <c r="F636" s="1">
        <v>0</v>
      </c>
      <c r="G636" s="1">
        <v>1518.068</v>
      </c>
      <c r="H636" s="1">
        <v>3668.1790000000001</v>
      </c>
      <c r="I636" s="1">
        <v>-4503.4870000000001</v>
      </c>
    </row>
    <row r="637" spans="1:9" hidden="1" x14ac:dyDescent="0.25">
      <c r="A637" s="1" t="s">
        <v>127</v>
      </c>
      <c r="B637" s="1" t="s">
        <v>202</v>
      </c>
      <c r="C637" s="1" t="s">
        <v>3</v>
      </c>
      <c r="D637" s="1">
        <v>631.33000000000004</v>
      </c>
      <c r="E637" s="1">
        <v>-230.01</v>
      </c>
      <c r="F637" s="1">
        <v>0</v>
      </c>
      <c r="G637" s="1">
        <v>1518.068</v>
      </c>
      <c r="H637" s="1">
        <v>3787.9810000000002</v>
      </c>
      <c r="I637" s="1">
        <v>-5319.7719999999999</v>
      </c>
    </row>
    <row r="638" spans="1:9" hidden="1" x14ac:dyDescent="0.25">
      <c r="A638" s="1" t="s">
        <v>9</v>
      </c>
      <c r="B638" s="1" t="s">
        <v>202</v>
      </c>
      <c r="C638" s="1" t="s">
        <v>143</v>
      </c>
      <c r="D638" s="1">
        <v>821.81</v>
      </c>
      <c r="E638" s="1">
        <v>-256.13</v>
      </c>
      <c r="F638" s="1">
        <v>0</v>
      </c>
      <c r="G638" s="1">
        <v>1690.4690000000001</v>
      </c>
      <c r="H638" s="1">
        <v>4930.84</v>
      </c>
      <c r="I638" s="1">
        <v>-6462.63</v>
      </c>
    </row>
    <row r="639" spans="1:9" hidden="1" x14ac:dyDescent="0.25">
      <c r="A639" s="1" t="s">
        <v>9</v>
      </c>
      <c r="B639" s="1" t="s">
        <v>202</v>
      </c>
      <c r="C639" s="1" t="s">
        <v>3</v>
      </c>
      <c r="D639" s="1">
        <v>841.77</v>
      </c>
      <c r="E639" s="1">
        <v>-256.13</v>
      </c>
      <c r="F639" s="1">
        <v>0</v>
      </c>
      <c r="G639" s="1">
        <v>1690.4690000000001</v>
      </c>
      <c r="H639" s="1">
        <v>5050.6419999999998</v>
      </c>
      <c r="I639" s="1">
        <v>-7367.1480000000001</v>
      </c>
    </row>
    <row r="640" spans="1:9" hidden="1" x14ac:dyDescent="0.25">
      <c r="A640" s="1" t="s">
        <v>10</v>
      </c>
      <c r="B640" s="1" t="s">
        <v>202</v>
      </c>
      <c r="C640" s="1" t="s">
        <v>143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</row>
    <row r="641" spans="1:9" hidden="1" x14ac:dyDescent="0.25">
      <c r="A641" s="1" t="s">
        <v>10</v>
      </c>
      <c r="B641" s="1" t="s">
        <v>202</v>
      </c>
      <c r="C641" s="1" t="s">
        <v>3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</row>
    <row r="642" spans="1:9" hidden="1" x14ac:dyDescent="0.25">
      <c r="A642" s="1" t="s">
        <v>125</v>
      </c>
      <c r="B642" s="1" t="s">
        <v>203</v>
      </c>
      <c r="C642" s="1" t="s">
        <v>143</v>
      </c>
      <c r="D642" s="1">
        <v>190.48</v>
      </c>
      <c r="E642" s="1">
        <v>-99.4</v>
      </c>
      <c r="F642" s="1">
        <v>0</v>
      </c>
      <c r="G642" s="1">
        <v>536.779</v>
      </c>
      <c r="H642" s="1">
        <v>1142.8579999999999</v>
      </c>
      <c r="I642" s="1">
        <v>-1142.8579999999999</v>
      </c>
    </row>
    <row r="643" spans="1:9" hidden="1" x14ac:dyDescent="0.25">
      <c r="A643" s="1" t="s">
        <v>125</v>
      </c>
      <c r="B643" s="1" t="s">
        <v>203</v>
      </c>
      <c r="C643" s="1" t="s">
        <v>3</v>
      </c>
      <c r="D643" s="1">
        <v>210.44</v>
      </c>
      <c r="E643" s="1">
        <v>-99.4</v>
      </c>
      <c r="F643" s="1">
        <v>0</v>
      </c>
      <c r="G643" s="1">
        <v>536.779</v>
      </c>
      <c r="H643" s="1">
        <v>1262.6600000000001</v>
      </c>
      <c r="I643" s="1">
        <v>-1561.7270000000001</v>
      </c>
    </row>
    <row r="644" spans="1:9" hidden="1" x14ac:dyDescent="0.25">
      <c r="A644" s="1" t="s">
        <v>126</v>
      </c>
      <c r="B644" s="1" t="s">
        <v>203</v>
      </c>
      <c r="C644" s="1" t="s">
        <v>143</v>
      </c>
      <c r="D644" s="1">
        <v>400.92</v>
      </c>
      <c r="E644" s="1">
        <v>-177.77</v>
      </c>
      <c r="F644" s="1">
        <v>0</v>
      </c>
      <c r="G644" s="1">
        <v>959.94500000000005</v>
      </c>
      <c r="H644" s="1">
        <v>2405.5189999999998</v>
      </c>
      <c r="I644" s="1">
        <v>-2704.585</v>
      </c>
    </row>
    <row r="645" spans="1:9" hidden="1" x14ac:dyDescent="0.25">
      <c r="A645" s="1" t="s">
        <v>126</v>
      </c>
      <c r="B645" s="1" t="s">
        <v>203</v>
      </c>
      <c r="C645" s="1" t="s">
        <v>3</v>
      </c>
      <c r="D645" s="1">
        <v>420.89</v>
      </c>
      <c r="E645" s="1">
        <v>-177.77</v>
      </c>
      <c r="F645" s="1">
        <v>0</v>
      </c>
      <c r="G645" s="1">
        <v>959.94500000000005</v>
      </c>
      <c r="H645" s="1">
        <v>2525.3209999999999</v>
      </c>
      <c r="I645" s="1">
        <v>-3360.6280000000002</v>
      </c>
    </row>
    <row r="646" spans="1:9" hidden="1" x14ac:dyDescent="0.25">
      <c r="A646" s="1" t="s">
        <v>127</v>
      </c>
      <c r="B646" s="1" t="s">
        <v>203</v>
      </c>
      <c r="C646" s="1" t="s">
        <v>143</v>
      </c>
      <c r="D646" s="1">
        <v>611.36</v>
      </c>
      <c r="E646" s="1">
        <v>-230.01</v>
      </c>
      <c r="F646" s="1">
        <v>0</v>
      </c>
      <c r="G646" s="1">
        <v>1242.056</v>
      </c>
      <c r="H646" s="1">
        <v>3668.1790000000001</v>
      </c>
      <c r="I646" s="1">
        <v>-4503.4870000000001</v>
      </c>
    </row>
    <row r="647" spans="1:9" hidden="1" x14ac:dyDescent="0.25">
      <c r="A647" s="1" t="s">
        <v>127</v>
      </c>
      <c r="B647" s="1" t="s">
        <v>203</v>
      </c>
      <c r="C647" s="1" t="s">
        <v>3</v>
      </c>
      <c r="D647" s="1">
        <v>631.33000000000004</v>
      </c>
      <c r="E647" s="1">
        <v>-230.01</v>
      </c>
      <c r="F647" s="1">
        <v>0</v>
      </c>
      <c r="G647" s="1">
        <v>1242.056</v>
      </c>
      <c r="H647" s="1">
        <v>3787.9810000000002</v>
      </c>
      <c r="I647" s="1">
        <v>-5319.7719999999999</v>
      </c>
    </row>
    <row r="648" spans="1:9" hidden="1" x14ac:dyDescent="0.25">
      <c r="A648" s="1" t="s">
        <v>9</v>
      </c>
      <c r="B648" s="1" t="s">
        <v>203</v>
      </c>
      <c r="C648" s="1" t="s">
        <v>143</v>
      </c>
      <c r="D648" s="1">
        <v>821.81</v>
      </c>
      <c r="E648" s="1">
        <v>-256.13</v>
      </c>
      <c r="F648" s="1">
        <v>0</v>
      </c>
      <c r="G648" s="1">
        <v>1383.1110000000001</v>
      </c>
      <c r="H648" s="1">
        <v>4930.84</v>
      </c>
      <c r="I648" s="1">
        <v>-6462.63</v>
      </c>
    </row>
    <row r="649" spans="1:9" hidden="1" x14ac:dyDescent="0.25">
      <c r="A649" s="1" t="s">
        <v>9</v>
      </c>
      <c r="B649" s="1" t="s">
        <v>203</v>
      </c>
      <c r="C649" s="1" t="s">
        <v>3</v>
      </c>
      <c r="D649" s="1">
        <v>841.77</v>
      </c>
      <c r="E649" s="1">
        <v>-256.13</v>
      </c>
      <c r="F649" s="1">
        <v>0</v>
      </c>
      <c r="G649" s="1">
        <v>1383.1110000000001</v>
      </c>
      <c r="H649" s="1">
        <v>5050.6419999999998</v>
      </c>
      <c r="I649" s="1">
        <v>-7367.1480000000001</v>
      </c>
    </row>
    <row r="650" spans="1:9" hidden="1" x14ac:dyDescent="0.25">
      <c r="A650" s="1" t="s">
        <v>10</v>
      </c>
      <c r="B650" s="1" t="s">
        <v>203</v>
      </c>
      <c r="C650" s="1" t="s">
        <v>143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</row>
    <row r="651" spans="1:9" hidden="1" x14ac:dyDescent="0.25">
      <c r="A651" s="1" t="s">
        <v>10</v>
      </c>
      <c r="B651" s="1" t="s">
        <v>203</v>
      </c>
      <c r="C651" s="1" t="s">
        <v>3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</row>
    <row r="652" spans="1:9" hidden="1" x14ac:dyDescent="0.25">
      <c r="A652" s="1" t="s">
        <v>125</v>
      </c>
      <c r="B652" s="1" t="s">
        <v>204</v>
      </c>
      <c r="C652" s="1" t="s">
        <v>143</v>
      </c>
      <c r="D652" s="1">
        <v>190.48</v>
      </c>
      <c r="E652" s="1">
        <v>99.4</v>
      </c>
      <c r="F652" s="1">
        <v>0</v>
      </c>
      <c r="G652" s="1">
        <v>-656.06299999999999</v>
      </c>
      <c r="H652" s="1">
        <v>1142.8579999999999</v>
      </c>
      <c r="I652" s="1">
        <v>-1142.8579999999999</v>
      </c>
    </row>
    <row r="653" spans="1:9" hidden="1" x14ac:dyDescent="0.25">
      <c r="A653" s="1" t="s">
        <v>125</v>
      </c>
      <c r="B653" s="1" t="s">
        <v>204</v>
      </c>
      <c r="C653" s="1" t="s">
        <v>3</v>
      </c>
      <c r="D653" s="1">
        <v>210.44</v>
      </c>
      <c r="E653" s="1">
        <v>99.4</v>
      </c>
      <c r="F653" s="1">
        <v>0</v>
      </c>
      <c r="G653" s="1">
        <v>-656.06299999999999</v>
      </c>
      <c r="H653" s="1">
        <v>1262.6600000000001</v>
      </c>
      <c r="I653" s="1">
        <v>-963.59400000000005</v>
      </c>
    </row>
    <row r="654" spans="1:9" hidden="1" x14ac:dyDescent="0.25">
      <c r="A654" s="1" t="s">
        <v>126</v>
      </c>
      <c r="B654" s="1" t="s">
        <v>204</v>
      </c>
      <c r="C654" s="1" t="s">
        <v>143</v>
      </c>
      <c r="D654" s="1">
        <v>400.92</v>
      </c>
      <c r="E654" s="1">
        <v>177.77</v>
      </c>
      <c r="F654" s="1">
        <v>0</v>
      </c>
      <c r="G654" s="1">
        <v>-1173.2660000000001</v>
      </c>
      <c r="H654" s="1">
        <v>2405.5189999999998</v>
      </c>
      <c r="I654" s="1">
        <v>-2106.4520000000002</v>
      </c>
    </row>
    <row r="655" spans="1:9" hidden="1" x14ac:dyDescent="0.25">
      <c r="A655" s="1" t="s">
        <v>126</v>
      </c>
      <c r="B655" s="1" t="s">
        <v>204</v>
      </c>
      <c r="C655" s="1" t="s">
        <v>3</v>
      </c>
      <c r="D655" s="1">
        <v>420.89</v>
      </c>
      <c r="E655" s="1">
        <v>177.77</v>
      </c>
      <c r="F655" s="1">
        <v>0</v>
      </c>
      <c r="G655" s="1">
        <v>-1173.2660000000001</v>
      </c>
      <c r="H655" s="1">
        <v>2525.3209999999999</v>
      </c>
      <c r="I655" s="1">
        <v>-1690.0129999999999</v>
      </c>
    </row>
    <row r="656" spans="1:9" hidden="1" x14ac:dyDescent="0.25">
      <c r="A656" s="1" t="s">
        <v>127</v>
      </c>
      <c r="B656" s="1" t="s">
        <v>204</v>
      </c>
      <c r="C656" s="1" t="s">
        <v>143</v>
      </c>
      <c r="D656" s="1">
        <v>611.36</v>
      </c>
      <c r="E656" s="1">
        <v>230.01</v>
      </c>
      <c r="F656" s="1">
        <v>0</v>
      </c>
      <c r="G656" s="1">
        <v>-1518.068</v>
      </c>
      <c r="H656" s="1">
        <v>3668.1790000000001</v>
      </c>
      <c r="I656" s="1">
        <v>-2832.8719999999998</v>
      </c>
    </row>
    <row r="657" spans="1:9" hidden="1" x14ac:dyDescent="0.25">
      <c r="A657" s="1" t="s">
        <v>127</v>
      </c>
      <c r="B657" s="1" t="s">
        <v>204</v>
      </c>
      <c r="C657" s="1" t="s">
        <v>3</v>
      </c>
      <c r="D657" s="1">
        <v>631.33000000000004</v>
      </c>
      <c r="E657" s="1">
        <v>230.01</v>
      </c>
      <c r="F657" s="1">
        <v>0</v>
      </c>
      <c r="G657" s="1">
        <v>-1518.068</v>
      </c>
      <c r="H657" s="1">
        <v>3787.9810000000002</v>
      </c>
      <c r="I657" s="1">
        <v>-2256.1909999999998</v>
      </c>
    </row>
    <row r="658" spans="1:9" hidden="1" x14ac:dyDescent="0.25">
      <c r="A658" s="1" t="s">
        <v>9</v>
      </c>
      <c r="B658" s="1" t="s">
        <v>204</v>
      </c>
      <c r="C658" s="1" t="s">
        <v>143</v>
      </c>
      <c r="D658" s="1">
        <v>821.81</v>
      </c>
      <c r="E658" s="1">
        <v>256.13</v>
      </c>
      <c r="F658" s="1">
        <v>0</v>
      </c>
      <c r="G658" s="1">
        <v>-1690.4690000000001</v>
      </c>
      <c r="H658" s="1">
        <v>4930.84</v>
      </c>
      <c r="I658" s="1">
        <v>-3399.049</v>
      </c>
    </row>
    <row r="659" spans="1:9" hidden="1" x14ac:dyDescent="0.25">
      <c r="A659" s="1" t="s">
        <v>9</v>
      </c>
      <c r="B659" s="1" t="s">
        <v>204</v>
      </c>
      <c r="C659" s="1" t="s">
        <v>3</v>
      </c>
      <c r="D659" s="1">
        <v>841.77</v>
      </c>
      <c r="E659" s="1">
        <v>256.13</v>
      </c>
      <c r="F659" s="1">
        <v>0</v>
      </c>
      <c r="G659" s="1">
        <v>-1690.4690000000001</v>
      </c>
      <c r="H659" s="1">
        <v>5050.6419999999998</v>
      </c>
      <c r="I659" s="1">
        <v>-2734.136</v>
      </c>
    </row>
    <row r="660" spans="1:9" hidden="1" x14ac:dyDescent="0.25">
      <c r="A660" s="1" t="s">
        <v>10</v>
      </c>
      <c r="B660" s="1" t="s">
        <v>204</v>
      </c>
      <c r="C660" s="1" t="s">
        <v>143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10</v>
      </c>
      <c r="B661" s="1" t="s">
        <v>204</v>
      </c>
      <c r="C661" s="1" t="s">
        <v>3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125</v>
      </c>
      <c r="B662" s="1" t="s">
        <v>205</v>
      </c>
      <c r="C662" s="1" t="s">
        <v>143</v>
      </c>
      <c r="D662" s="1">
        <v>190.48</v>
      </c>
      <c r="E662" s="1">
        <v>99.4</v>
      </c>
      <c r="F662" s="1">
        <v>0</v>
      </c>
      <c r="G662" s="1">
        <v>-536.779</v>
      </c>
      <c r="H662" s="1">
        <v>1142.8579999999999</v>
      </c>
      <c r="I662" s="1">
        <v>-1142.8579999999999</v>
      </c>
    </row>
    <row r="663" spans="1:9" hidden="1" x14ac:dyDescent="0.25">
      <c r="A663" s="1" t="s">
        <v>125</v>
      </c>
      <c r="B663" s="1" t="s">
        <v>205</v>
      </c>
      <c r="C663" s="1" t="s">
        <v>3</v>
      </c>
      <c r="D663" s="1">
        <v>210.44</v>
      </c>
      <c r="E663" s="1">
        <v>99.4</v>
      </c>
      <c r="F663" s="1">
        <v>0</v>
      </c>
      <c r="G663" s="1">
        <v>-536.779</v>
      </c>
      <c r="H663" s="1">
        <v>1262.6600000000001</v>
      </c>
      <c r="I663" s="1">
        <v>-963.59400000000005</v>
      </c>
    </row>
    <row r="664" spans="1:9" hidden="1" x14ac:dyDescent="0.25">
      <c r="A664" s="1" t="s">
        <v>126</v>
      </c>
      <c r="B664" s="1" t="s">
        <v>205</v>
      </c>
      <c r="C664" s="1" t="s">
        <v>143</v>
      </c>
      <c r="D664" s="1">
        <v>400.92</v>
      </c>
      <c r="E664" s="1">
        <v>177.77</v>
      </c>
      <c r="F664" s="1">
        <v>0</v>
      </c>
      <c r="G664" s="1">
        <v>-959.94500000000005</v>
      </c>
      <c r="H664" s="1">
        <v>2405.5189999999998</v>
      </c>
      <c r="I664" s="1">
        <v>-2106.4520000000002</v>
      </c>
    </row>
    <row r="665" spans="1:9" hidden="1" x14ac:dyDescent="0.25">
      <c r="A665" s="1" t="s">
        <v>126</v>
      </c>
      <c r="B665" s="1" t="s">
        <v>205</v>
      </c>
      <c r="C665" s="1" t="s">
        <v>3</v>
      </c>
      <c r="D665" s="1">
        <v>420.89</v>
      </c>
      <c r="E665" s="1">
        <v>177.77</v>
      </c>
      <c r="F665" s="1">
        <v>0</v>
      </c>
      <c r="G665" s="1">
        <v>-959.94500000000005</v>
      </c>
      <c r="H665" s="1">
        <v>2525.3209999999999</v>
      </c>
      <c r="I665" s="1">
        <v>-1690.0129999999999</v>
      </c>
    </row>
    <row r="666" spans="1:9" hidden="1" x14ac:dyDescent="0.25">
      <c r="A666" s="1" t="s">
        <v>127</v>
      </c>
      <c r="B666" s="1" t="s">
        <v>205</v>
      </c>
      <c r="C666" s="1" t="s">
        <v>143</v>
      </c>
      <c r="D666" s="1">
        <v>611.36</v>
      </c>
      <c r="E666" s="1">
        <v>230.01</v>
      </c>
      <c r="F666" s="1">
        <v>0</v>
      </c>
      <c r="G666" s="1">
        <v>-1242.056</v>
      </c>
      <c r="H666" s="1">
        <v>3668.1790000000001</v>
      </c>
      <c r="I666" s="1">
        <v>-2832.8719999999998</v>
      </c>
    </row>
    <row r="667" spans="1:9" hidden="1" x14ac:dyDescent="0.25">
      <c r="A667" s="1" t="s">
        <v>127</v>
      </c>
      <c r="B667" s="1" t="s">
        <v>205</v>
      </c>
      <c r="C667" s="1" t="s">
        <v>3</v>
      </c>
      <c r="D667" s="1">
        <v>631.33000000000004</v>
      </c>
      <c r="E667" s="1">
        <v>230.01</v>
      </c>
      <c r="F667" s="1">
        <v>0</v>
      </c>
      <c r="G667" s="1">
        <v>-1242.056</v>
      </c>
      <c r="H667" s="1">
        <v>3787.9810000000002</v>
      </c>
      <c r="I667" s="1">
        <v>-2256.1909999999998</v>
      </c>
    </row>
    <row r="668" spans="1:9" hidden="1" x14ac:dyDescent="0.25">
      <c r="A668" s="1" t="s">
        <v>9</v>
      </c>
      <c r="B668" s="1" t="s">
        <v>205</v>
      </c>
      <c r="C668" s="1" t="s">
        <v>143</v>
      </c>
      <c r="D668" s="1">
        <v>821.81</v>
      </c>
      <c r="E668" s="1">
        <v>256.13</v>
      </c>
      <c r="F668" s="1">
        <v>0</v>
      </c>
      <c r="G668" s="1">
        <v>-1383.1110000000001</v>
      </c>
      <c r="H668" s="1">
        <v>4930.84</v>
      </c>
      <c r="I668" s="1">
        <v>-3399.049</v>
      </c>
    </row>
    <row r="669" spans="1:9" hidden="1" x14ac:dyDescent="0.25">
      <c r="A669" s="1" t="s">
        <v>9</v>
      </c>
      <c r="B669" s="1" t="s">
        <v>205</v>
      </c>
      <c r="C669" s="1" t="s">
        <v>3</v>
      </c>
      <c r="D669" s="1">
        <v>841.77</v>
      </c>
      <c r="E669" s="1">
        <v>256.13</v>
      </c>
      <c r="F669" s="1">
        <v>0</v>
      </c>
      <c r="G669" s="1">
        <v>-1383.1110000000001</v>
      </c>
      <c r="H669" s="1">
        <v>5050.6419999999998</v>
      </c>
      <c r="I669" s="1">
        <v>-2734.136</v>
      </c>
    </row>
    <row r="670" spans="1:9" hidden="1" x14ac:dyDescent="0.25">
      <c r="A670" s="1" t="s">
        <v>10</v>
      </c>
      <c r="B670" s="1" t="s">
        <v>205</v>
      </c>
      <c r="C670" s="1" t="s">
        <v>143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10</v>
      </c>
      <c r="B671" s="1" t="s">
        <v>205</v>
      </c>
      <c r="C671" s="1" t="s">
        <v>3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125</v>
      </c>
      <c r="B672" s="1" t="s">
        <v>206</v>
      </c>
      <c r="C672" s="1" t="s">
        <v>143</v>
      </c>
      <c r="D672" s="1">
        <v>190.48</v>
      </c>
      <c r="E672" s="1">
        <v>0</v>
      </c>
      <c r="F672" s="1">
        <v>-99.4</v>
      </c>
      <c r="G672" s="1">
        <v>-656.06299999999999</v>
      </c>
      <c r="H672" s="1">
        <v>1142.8579999999999</v>
      </c>
      <c r="I672" s="1">
        <v>-1142.8579999999999</v>
      </c>
    </row>
    <row r="673" spans="1:9" hidden="1" x14ac:dyDescent="0.25">
      <c r="A673" s="1" t="s">
        <v>125</v>
      </c>
      <c r="B673" s="1" t="s">
        <v>206</v>
      </c>
      <c r="C673" s="1" t="s">
        <v>3</v>
      </c>
      <c r="D673" s="1">
        <v>210.44</v>
      </c>
      <c r="E673" s="1">
        <v>0</v>
      </c>
      <c r="F673" s="1">
        <v>-99.4</v>
      </c>
      <c r="G673" s="1">
        <v>-656.06299999999999</v>
      </c>
      <c r="H673" s="1">
        <v>1561.7270000000001</v>
      </c>
      <c r="I673" s="1">
        <v>-1262.6600000000001</v>
      </c>
    </row>
    <row r="674" spans="1:9" hidden="1" x14ac:dyDescent="0.25">
      <c r="A674" s="1" t="s">
        <v>126</v>
      </c>
      <c r="B674" s="1" t="s">
        <v>206</v>
      </c>
      <c r="C674" s="1" t="s">
        <v>143</v>
      </c>
      <c r="D674" s="1">
        <v>400.92</v>
      </c>
      <c r="E674" s="1">
        <v>0</v>
      </c>
      <c r="F674" s="1">
        <v>-177.77</v>
      </c>
      <c r="G674" s="1">
        <v>-1173.2660000000001</v>
      </c>
      <c r="H674" s="1">
        <v>2704.585</v>
      </c>
      <c r="I674" s="1">
        <v>-2405.5189999999998</v>
      </c>
    </row>
    <row r="675" spans="1:9" hidden="1" x14ac:dyDescent="0.25">
      <c r="A675" s="1" t="s">
        <v>126</v>
      </c>
      <c r="B675" s="1" t="s">
        <v>206</v>
      </c>
      <c r="C675" s="1" t="s">
        <v>3</v>
      </c>
      <c r="D675" s="1">
        <v>420.89</v>
      </c>
      <c r="E675" s="1">
        <v>0</v>
      </c>
      <c r="F675" s="1">
        <v>-177.77</v>
      </c>
      <c r="G675" s="1">
        <v>-1173.2660000000001</v>
      </c>
      <c r="H675" s="1">
        <v>3360.6280000000002</v>
      </c>
      <c r="I675" s="1">
        <v>-2525.3209999999999</v>
      </c>
    </row>
    <row r="676" spans="1:9" hidden="1" x14ac:dyDescent="0.25">
      <c r="A676" s="1" t="s">
        <v>127</v>
      </c>
      <c r="B676" s="1" t="s">
        <v>206</v>
      </c>
      <c r="C676" s="1" t="s">
        <v>143</v>
      </c>
      <c r="D676" s="1">
        <v>611.36</v>
      </c>
      <c r="E676" s="1">
        <v>0</v>
      </c>
      <c r="F676" s="1">
        <v>-230.01</v>
      </c>
      <c r="G676" s="1">
        <v>-1518.068</v>
      </c>
      <c r="H676" s="1">
        <v>4503.4870000000001</v>
      </c>
      <c r="I676" s="1">
        <v>-3668.1790000000001</v>
      </c>
    </row>
    <row r="677" spans="1:9" hidden="1" x14ac:dyDescent="0.25">
      <c r="A677" s="1" t="s">
        <v>127</v>
      </c>
      <c r="B677" s="1" t="s">
        <v>206</v>
      </c>
      <c r="C677" s="1" t="s">
        <v>3</v>
      </c>
      <c r="D677" s="1">
        <v>631.33000000000004</v>
      </c>
      <c r="E677" s="1">
        <v>0</v>
      </c>
      <c r="F677" s="1">
        <v>-230.01</v>
      </c>
      <c r="G677" s="1">
        <v>-1518.068</v>
      </c>
      <c r="H677" s="1">
        <v>5319.7719999999999</v>
      </c>
      <c r="I677" s="1">
        <v>-3787.9810000000002</v>
      </c>
    </row>
    <row r="678" spans="1:9" hidden="1" x14ac:dyDescent="0.25">
      <c r="A678" s="1" t="s">
        <v>9</v>
      </c>
      <c r="B678" s="1" t="s">
        <v>206</v>
      </c>
      <c r="C678" s="1" t="s">
        <v>143</v>
      </c>
      <c r="D678" s="1">
        <v>821.81</v>
      </c>
      <c r="E678" s="1">
        <v>0</v>
      </c>
      <c r="F678" s="1">
        <v>-256.13</v>
      </c>
      <c r="G678" s="1">
        <v>-1690.4690000000001</v>
      </c>
      <c r="H678" s="1">
        <v>6462.63</v>
      </c>
      <c r="I678" s="1">
        <v>-4930.84</v>
      </c>
    </row>
    <row r="679" spans="1:9" hidden="1" x14ac:dyDescent="0.25">
      <c r="A679" s="1" t="s">
        <v>9</v>
      </c>
      <c r="B679" s="1" t="s">
        <v>206</v>
      </c>
      <c r="C679" s="1" t="s">
        <v>3</v>
      </c>
      <c r="D679" s="1">
        <v>841.77</v>
      </c>
      <c r="E679" s="1">
        <v>0</v>
      </c>
      <c r="F679" s="1">
        <v>-256.13</v>
      </c>
      <c r="G679" s="1">
        <v>-1690.4690000000001</v>
      </c>
      <c r="H679" s="1">
        <v>7367.1480000000001</v>
      </c>
      <c r="I679" s="1">
        <v>-5050.6419999999998</v>
      </c>
    </row>
    <row r="680" spans="1:9" hidden="1" x14ac:dyDescent="0.25">
      <c r="A680" s="1" t="s">
        <v>10</v>
      </c>
      <c r="B680" s="1" t="s">
        <v>206</v>
      </c>
      <c r="C680" s="1" t="s">
        <v>143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10</v>
      </c>
      <c r="B681" s="1" t="s">
        <v>206</v>
      </c>
      <c r="C681" s="1" t="s">
        <v>3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125</v>
      </c>
      <c r="B682" s="1" t="s">
        <v>207</v>
      </c>
      <c r="C682" s="1" t="s">
        <v>143</v>
      </c>
      <c r="D682" s="1">
        <v>190.48</v>
      </c>
      <c r="E682" s="1">
        <v>0</v>
      </c>
      <c r="F682" s="1">
        <v>-99.4</v>
      </c>
      <c r="G682" s="1">
        <v>-536.779</v>
      </c>
      <c r="H682" s="1">
        <v>1142.8579999999999</v>
      </c>
      <c r="I682" s="1">
        <v>-1142.8579999999999</v>
      </c>
    </row>
    <row r="683" spans="1:9" hidden="1" x14ac:dyDescent="0.25">
      <c r="A683" s="1" t="s">
        <v>125</v>
      </c>
      <c r="B683" s="1" t="s">
        <v>207</v>
      </c>
      <c r="C683" s="1" t="s">
        <v>3</v>
      </c>
      <c r="D683" s="1">
        <v>210.44</v>
      </c>
      <c r="E683" s="1">
        <v>0</v>
      </c>
      <c r="F683" s="1">
        <v>-99.4</v>
      </c>
      <c r="G683" s="1">
        <v>-536.779</v>
      </c>
      <c r="H683" s="1">
        <v>1561.7270000000001</v>
      </c>
      <c r="I683" s="1">
        <v>-1262.6600000000001</v>
      </c>
    </row>
    <row r="684" spans="1:9" hidden="1" x14ac:dyDescent="0.25">
      <c r="A684" s="1" t="s">
        <v>126</v>
      </c>
      <c r="B684" s="1" t="s">
        <v>207</v>
      </c>
      <c r="C684" s="1" t="s">
        <v>143</v>
      </c>
      <c r="D684" s="1">
        <v>400.92</v>
      </c>
      <c r="E684" s="1">
        <v>0</v>
      </c>
      <c r="F684" s="1">
        <v>-177.77</v>
      </c>
      <c r="G684" s="1">
        <v>-959.94500000000005</v>
      </c>
      <c r="H684" s="1">
        <v>2704.585</v>
      </c>
      <c r="I684" s="1">
        <v>-2405.5189999999998</v>
      </c>
    </row>
    <row r="685" spans="1:9" hidden="1" x14ac:dyDescent="0.25">
      <c r="A685" s="1" t="s">
        <v>126</v>
      </c>
      <c r="B685" s="1" t="s">
        <v>207</v>
      </c>
      <c r="C685" s="1" t="s">
        <v>3</v>
      </c>
      <c r="D685" s="1">
        <v>420.89</v>
      </c>
      <c r="E685" s="1">
        <v>0</v>
      </c>
      <c r="F685" s="1">
        <v>-177.77</v>
      </c>
      <c r="G685" s="1">
        <v>-959.94500000000005</v>
      </c>
      <c r="H685" s="1">
        <v>3360.6280000000002</v>
      </c>
      <c r="I685" s="1">
        <v>-2525.3209999999999</v>
      </c>
    </row>
    <row r="686" spans="1:9" hidden="1" x14ac:dyDescent="0.25">
      <c r="A686" s="1" t="s">
        <v>127</v>
      </c>
      <c r="B686" s="1" t="s">
        <v>207</v>
      </c>
      <c r="C686" s="1" t="s">
        <v>143</v>
      </c>
      <c r="D686" s="1">
        <v>611.36</v>
      </c>
      <c r="E686" s="1">
        <v>0</v>
      </c>
      <c r="F686" s="1">
        <v>-230.01</v>
      </c>
      <c r="G686" s="1">
        <v>-1242.056</v>
      </c>
      <c r="H686" s="1">
        <v>4503.4870000000001</v>
      </c>
      <c r="I686" s="1">
        <v>-3668.1790000000001</v>
      </c>
    </row>
    <row r="687" spans="1:9" hidden="1" x14ac:dyDescent="0.25">
      <c r="A687" s="1" t="s">
        <v>127</v>
      </c>
      <c r="B687" s="1" t="s">
        <v>207</v>
      </c>
      <c r="C687" s="1" t="s">
        <v>3</v>
      </c>
      <c r="D687" s="1">
        <v>631.33000000000004</v>
      </c>
      <c r="E687" s="1">
        <v>0</v>
      </c>
      <c r="F687" s="1">
        <v>-230.01</v>
      </c>
      <c r="G687" s="1">
        <v>-1242.056</v>
      </c>
      <c r="H687" s="1">
        <v>5319.7719999999999</v>
      </c>
      <c r="I687" s="1">
        <v>-3787.9810000000002</v>
      </c>
    </row>
    <row r="688" spans="1:9" hidden="1" x14ac:dyDescent="0.25">
      <c r="A688" s="1" t="s">
        <v>9</v>
      </c>
      <c r="B688" s="1" t="s">
        <v>207</v>
      </c>
      <c r="C688" s="1" t="s">
        <v>143</v>
      </c>
      <c r="D688" s="1">
        <v>821.81</v>
      </c>
      <c r="E688" s="1">
        <v>0</v>
      </c>
      <c r="F688" s="1">
        <v>-256.13</v>
      </c>
      <c r="G688" s="1">
        <v>-1383.1110000000001</v>
      </c>
      <c r="H688" s="1">
        <v>6462.63</v>
      </c>
      <c r="I688" s="1">
        <v>-4930.84</v>
      </c>
    </row>
    <row r="689" spans="1:9" hidden="1" x14ac:dyDescent="0.25">
      <c r="A689" s="1" t="s">
        <v>9</v>
      </c>
      <c r="B689" s="1" t="s">
        <v>207</v>
      </c>
      <c r="C689" s="1" t="s">
        <v>3</v>
      </c>
      <c r="D689" s="1">
        <v>841.77</v>
      </c>
      <c r="E689" s="1">
        <v>0</v>
      </c>
      <c r="F689" s="1">
        <v>-256.13</v>
      </c>
      <c r="G689" s="1">
        <v>-1383.1110000000001</v>
      </c>
      <c r="H689" s="1">
        <v>7367.1480000000001</v>
      </c>
      <c r="I689" s="1">
        <v>-5050.6419999999998</v>
      </c>
    </row>
    <row r="690" spans="1:9" hidden="1" x14ac:dyDescent="0.25">
      <c r="A690" s="1" t="s">
        <v>10</v>
      </c>
      <c r="B690" s="1" t="s">
        <v>207</v>
      </c>
      <c r="C690" s="1" t="s">
        <v>143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10</v>
      </c>
      <c r="B691" s="1" t="s">
        <v>207</v>
      </c>
      <c r="C691" s="1" t="s">
        <v>3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125</v>
      </c>
      <c r="B692" s="1" t="s">
        <v>208</v>
      </c>
      <c r="C692" s="1" t="s">
        <v>143</v>
      </c>
      <c r="D692" s="1">
        <v>190.48</v>
      </c>
      <c r="E692" s="1">
        <v>0</v>
      </c>
      <c r="F692" s="1">
        <v>99.4</v>
      </c>
      <c r="G692" s="1">
        <v>656.06299999999999</v>
      </c>
      <c r="H692" s="1">
        <v>1142.8579999999999</v>
      </c>
      <c r="I692" s="1">
        <v>-1142.8579999999999</v>
      </c>
    </row>
    <row r="693" spans="1:9" hidden="1" x14ac:dyDescent="0.25">
      <c r="A693" s="1" t="s">
        <v>125</v>
      </c>
      <c r="B693" s="1" t="s">
        <v>208</v>
      </c>
      <c r="C693" s="1" t="s">
        <v>3</v>
      </c>
      <c r="D693" s="1">
        <v>210.44</v>
      </c>
      <c r="E693" s="1">
        <v>0</v>
      </c>
      <c r="F693" s="1">
        <v>99.4</v>
      </c>
      <c r="G693" s="1">
        <v>656.06299999999999</v>
      </c>
      <c r="H693" s="1">
        <v>963.59400000000005</v>
      </c>
      <c r="I693" s="1">
        <v>-1262.6600000000001</v>
      </c>
    </row>
    <row r="694" spans="1:9" hidden="1" x14ac:dyDescent="0.25">
      <c r="A694" s="1" t="s">
        <v>126</v>
      </c>
      <c r="B694" s="1" t="s">
        <v>208</v>
      </c>
      <c r="C694" s="1" t="s">
        <v>143</v>
      </c>
      <c r="D694" s="1">
        <v>400.92</v>
      </c>
      <c r="E694" s="1">
        <v>0</v>
      </c>
      <c r="F694" s="1">
        <v>177.77</v>
      </c>
      <c r="G694" s="1">
        <v>1173.2660000000001</v>
      </c>
      <c r="H694" s="1">
        <v>2106.4520000000002</v>
      </c>
      <c r="I694" s="1">
        <v>-2405.5189999999998</v>
      </c>
    </row>
    <row r="695" spans="1:9" hidden="1" x14ac:dyDescent="0.25">
      <c r="A695" s="1" t="s">
        <v>126</v>
      </c>
      <c r="B695" s="1" t="s">
        <v>208</v>
      </c>
      <c r="C695" s="1" t="s">
        <v>3</v>
      </c>
      <c r="D695" s="1">
        <v>420.89</v>
      </c>
      <c r="E695" s="1">
        <v>0</v>
      </c>
      <c r="F695" s="1">
        <v>177.77</v>
      </c>
      <c r="G695" s="1">
        <v>1173.2660000000001</v>
      </c>
      <c r="H695" s="1">
        <v>1690.0129999999999</v>
      </c>
      <c r="I695" s="1">
        <v>-2525.3209999999999</v>
      </c>
    </row>
    <row r="696" spans="1:9" hidden="1" x14ac:dyDescent="0.25">
      <c r="A696" s="1" t="s">
        <v>127</v>
      </c>
      <c r="B696" s="1" t="s">
        <v>208</v>
      </c>
      <c r="C696" s="1" t="s">
        <v>143</v>
      </c>
      <c r="D696" s="1">
        <v>611.36</v>
      </c>
      <c r="E696" s="1">
        <v>0</v>
      </c>
      <c r="F696" s="1">
        <v>230.01</v>
      </c>
      <c r="G696" s="1">
        <v>1518.068</v>
      </c>
      <c r="H696" s="1">
        <v>2832.8719999999998</v>
      </c>
      <c r="I696" s="1">
        <v>-3668.1790000000001</v>
      </c>
    </row>
    <row r="697" spans="1:9" hidden="1" x14ac:dyDescent="0.25">
      <c r="A697" s="1" t="s">
        <v>127</v>
      </c>
      <c r="B697" s="1" t="s">
        <v>208</v>
      </c>
      <c r="C697" s="1" t="s">
        <v>3</v>
      </c>
      <c r="D697" s="1">
        <v>631.33000000000004</v>
      </c>
      <c r="E697" s="1">
        <v>0</v>
      </c>
      <c r="F697" s="1">
        <v>230.01</v>
      </c>
      <c r="G697" s="1">
        <v>1518.068</v>
      </c>
      <c r="H697" s="1">
        <v>2256.1909999999998</v>
      </c>
      <c r="I697" s="1">
        <v>-3787.9810000000002</v>
      </c>
    </row>
    <row r="698" spans="1:9" hidden="1" x14ac:dyDescent="0.25">
      <c r="A698" s="1" t="s">
        <v>9</v>
      </c>
      <c r="B698" s="1" t="s">
        <v>208</v>
      </c>
      <c r="C698" s="1" t="s">
        <v>143</v>
      </c>
      <c r="D698" s="1">
        <v>821.81</v>
      </c>
      <c r="E698" s="1">
        <v>0</v>
      </c>
      <c r="F698" s="1">
        <v>256.13</v>
      </c>
      <c r="G698" s="1">
        <v>1690.4690000000001</v>
      </c>
      <c r="H698" s="1">
        <v>3399.049</v>
      </c>
      <c r="I698" s="1">
        <v>-4930.84</v>
      </c>
    </row>
    <row r="699" spans="1:9" hidden="1" x14ac:dyDescent="0.25">
      <c r="A699" s="1" t="s">
        <v>9</v>
      </c>
      <c r="B699" s="1" t="s">
        <v>208</v>
      </c>
      <c r="C699" s="1" t="s">
        <v>3</v>
      </c>
      <c r="D699" s="1">
        <v>841.77</v>
      </c>
      <c r="E699" s="1">
        <v>0</v>
      </c>
      <c r="F699" s="1">
        <v>256.13</v>
      </c>
      <c r="G699" s="1">
        <v>1690.4690000000001</v>
      </c>
      <c r="H699" s="1">
        <v>2734.136</v>
      </c>
      <c r="I699" s="1">
        <v>-5050.6419999999998</v>
      </c>
    </row>
    <row r="700" spans="1:9" hidden="1" x14ac:dyDescent="0.25">
      <c r="A700" s="1" t="s">
        <v>10</v>
      </c>
      <c r="B700" s="1" t="s">
        <v>208</v>
      </c>
      <c r="C700" s="1" t="s">
        <v>143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</row>
    <row r="701" spans="1:9" hidden="1" x14ac:dyDescent="0.25">
      <c r="A701" s="1" t="s">
        <v>10</v>
      </c>
      <c r="B701" s="1" t="s">
        <v>208</v>
      </c>
      <c r="C701" s="1" t="s">
        <v>3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</row>
    <row r="702" spans="1:9" hidden="1" x14ac:dyDescent="0.25">
      <c r="A702" s="1" t="s">
        <v>125</v>
      </c>
      <c r="B702" s="1" t="s">
        <v>209</v>
      </c>
      <c r="C702" s="1" t="s">
        <v>143</v>
      </c>
      <c r="D702" s="1">
        <v>190.48</v>
      </c>
      <c r="E702" s="1">
        <v>0</v>
      </c>
      <c r="F702" s="1">
        <v>99.4</v>
      </c>
      <c r="G702" s="1">
        <v>536.779</v>
      </c>
      <c r="H702" s="1">
        <v>1142.8579999999999</v>
      </c>
      <c r="I702" s="1">
        <v>-1142.8579999999999</v>
      </c>
    </row>
    <row r="703" spans="1:9" hidden="1" x14ac:dyDescent="0.25">
      <c r="A703" s="1" t="s">
        <v>125</v>
      </c>
      <c r="B703" s="1" t="s">
        <v>209</v>
      </c>
      <c r="C703" s="1" t="s">
        <v>3</v>
      </c>
      <c r="D703" s="1">
        <v>210.44</v>
      </c>
      <c r="E703" s="1">
        <v>0</v>
      </c>
      <c r="F703" s="1">
        <v>99.4</v>
      </c>
      <c r="G703" s="1">
        <v>536.779</v>
      </c>
      <c r="H703" s="1">
        <v>963.59400000000005</v>
      </c>
      <c r="I703" s="1">
        <v>-1262.6600000000001</v>
      </c>
    </row>
    <row r="704" spans="1:9" hidden="1" x14ac:dyDescent="0.25">
      <c r="A704" s="1" t="s">
        <v>126</v>
      </c>
      <c r="B704" s="1" t="s">
        <v>209</v>
      </c>
      <c r="C704" s="1" t="s">
        <v>143</v>
      </c>
      <c r="D704" s="1">
        <v>400.92</v>
      </c>
      <c r="E704" s="1">
        <v>0</v>
      </c>
      <c r="F704" s="1">
        <v>177.77</v>
      </c>
      <c r="G704" s="1">
        <v>959.94500000000005</v>
      </c>
      <c r="H704" s="1">
        <v>2106.4520000000002</v>
      </c>
      <c r="I704" s="1">
        <v>-2405.5189999999998</v>
      </c>
    </row>
    <row r="705" spans="1:9" hidden="1" x14ac:dyDescent="0.25">
      <c r="A705" s="1" t="s">
        <v>126</v>
      </c>
      <c r="B705" s="1" t="s">
        <v>209</v>
      </c>
      <c r="C705" s="1" t="s">
        <v>3</v>
      </c>
      <c r="D705" s="1">
        <v>420.89</v>
      </c>
      <c r="E705" s="1">
        <v>0</v>
      </c>
      <c r="F705" s="1">
        <v>177.77</v>
      </c>
      <c r="G705" s="1">
        <v>959.94500000000005</v>
      </c>
      <c r="H705" s="1">
        <v>1690.0129999999999</v>
      </c>
      <c r="I705" s="1">
        <v>-2525.3209999999999</v>
      </c>
    </row>
    <row r="706" spans="1:9" hidden="1" x14ac:dyDescent="0.25">
      <c r="A706" s="1" t="s">
        <v>127</v>
      </c>
      <c r="B706" s="1" t="s">
        <v>209</v>
      </c>
      <c r="C706" s="1" t="s">
        <v>143</v>
      </c>
      <c r="D706" s="1">
        <v>611.36</v>
      </c>
      <c r="E706" s="1">
        <v>0</v>
      </c>
      <c r="F706" s="1">
        <v>230.01</v>
      </c>
      <c r="G706" s="1">
        <v>1242.056</v>
      </c>
      <c r="H706" s="1">
        <v>2832.8719999999998</v>
      </c>
      <c r="I706" s="1">
        <v>-3668.1790000000001</v>
      </c>
    </row>
    <row r="707" spans="1:9" hidden="1" x14ac:dyDescent="0.25">
      <c r="A707" s="1" t="s">
        <v>127</v>
      </c>
      <c r="B707" s="1" t="s">
        <v>209</v>
      </c>
      <c r="C707" s="1" t="s">
        <v>3</v>
      </c>
      <c r="D707" s="1">
        <v>631.33000000000004</v>
      </c>
      <c r="E707" s="1">
        <v>0</v>
      </c>
      <c r="F707" s="1">
        <v>230.01</v>
      </c>
      <c r="G707" s="1">
        <v>1242.056</v>
      </c>
      <c r="H707" s="1">
        <v>2256.1909999999998</v>
      </c>
      <c r="I707" s="1">
        <v>-3787.9810000000002</v>
      </c>
    </row>
    <row r="708" spans="1:9" hidden="1" x14ac:dyDescent="0.25">
      <c r="A708" s="1" t="s">
        <v>9</v>
      </c>
      <c r="B708" s="1" t="s">
        <v>209</v>
      </c>
      <c r="C708" s="1" t="s">
        <v>143</v>
      </c>
      <c r="D708" s="1">
        <v>821.81</v>
      </c>
      <c r="E708" s="1">
        <v>0</v>
      </c>
      <c r="F708" s="1">
        <v>256.13</v>
      </c>
      <c r="G708" s="1">
        <v>1383.1110000000001</v>
      </c>
      <c r="H708" s="1">
        <v>3399.049</v>
      </c>
      <c r="I708" s="1">
        <v>-4930.84</v>
      </c>
    </row>
    <row r="709" spans="1:9" hidden="1" x14ac:dyDescent="0.25">
      <c r="A709" s="1" t="s">
        <v>9</v>
      </c>
      <c r="B709" s="1" t="s">
        <v>209</v>
      </c>
      <c r="C709" s="1" t="s">
        <v>3</v>
      </c>
      <c r="D709" s="1">
        <v>841.77</v>
      </c>
      <c r="E709" s="1">
        <v>0</v>
      </c>
      <c r="F709" s="1">
        <v>256.13</v>
      </c>
      <c r="G709" s="1">
        <v>1383.1110000000001</v>
      </c>
      <c r="H709" s="1">
        <v>2734.136</v>
      </c>
      <c r="I709" s="1">
        <v>-5050.6419999999998</v>
      </c>
    </row>
    <row r="710" spans="1:9" hidden="1" x14ac:dyDescent="0.25">
      <c r="A710" s="1" t="s">
        <v>10</v>
      </c>
      <c r="B710" s="1" t="s">
        <v>209</v>
      </c>
      <c r="C710" s="1" t="s">
        <v>143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</row>
    <row r="711" spans="1:9" hidden="1" x14ac:dyDescent="0.25">
      <c r="A711" s="1" t="s">
        <v>10</v>
      </c>
      <c r="B711" s="1" t="s">
        <v>209</v>
      </c>
      <c r="C711" s="1" t="s">
        <v>3</v>
      </c>
      <c r="D711" s="1">
        <v>0</v>
      </c>
      <c r="E711" s="1">
        <v>0</v>
      </c>
      <c r="F711" s="1">
        <v>0</v>
      </c>
      <c r="G711" s="1">
        <v>0</v>
      </c>
      <c r="H711" s="1">
        <v>0</v>
      </c>
      <c r="I711" s="1">
        <v>0</v>
      </c>
    </row>
    <row r="712" spans="1:9" hidden="1" x14ac:dyDescent="0.25">
      <c r="A712" s="1" t="s">
        <v>125</v>
      </c>
      <c r="B712" s="1" t="s">
        <v>210</v>
      </c>
      <c r="C712" s="1" t="s">
        <v>143</v>
      </c>
      <c r="D712" s="1">
        <v>233.92</v>
      </c>
      <c r="E712" s="1">
        <v>-29.82</v>
      </c>
      <c r="F712" s="1">
        <v>0</v>
      </c>
      <c r="G712" s="1">
        <v>196.81899999999999</v>
      </c>
      <c r="H712" s="1">
        <v>1403.51</v>
      </c>
      <c r="I712" s="1">
        <v>-1403.51</v>
      </c>
    </row>
    <row r="713" spans="1:9" hidden="1" x14ac:dyDescent="0.25">
      <c r="A713" s="1" t="s">
        <v>125</v>
      </c>
      <c r="B713" s="1" t="s">
        <v>210</v>
      </c>
      <c r="C713" s="1" t="s">
        <v>3</v>
      </c>
      <c r="D713" s="1">
        <v>258.44</v>
      </c>
      <c r="E713" s="1">
        <v>-29.82</v>
      </c>
      <c r="F713" s="1">
        <v>0</v>
      </c>
      <c r="G713" s="1">
        <v>196.81899999999999</v>
      </c>
      <c r="H713" s="1">
        <v>1550.636</v>
      </c>
      <c r="I713" s="1">
        <v>-1640.356</v>
      </c>
    </row>
    <row r="714" spans="1:9" hidden="1" x14ac:dyDescent="0.25">
      <c r="A714" s="1" t="s">
        <v>126</v>
      </c>
      <c r="B714" s="1" t="s">
        <v>210</v>
      </c>
      <c r="C714" s="1" t="s">
        <v>143</v>
      </c>
      <c r="D714" s="1">
        <v>492.36</v>
      </c>
      <c r="E714" s="1">
        <v>-53.33</v>
      </c>
      <c r="F714" s="1">
        <v>0</v>
      </c>
      <c r="G714" s="1">
        <v>351.98</v>
      </c>
      <c r="H714" s="1">
        <v>2954.1460000000002</v>
      </c>
      <c r="I714" s="1">
        <v>-3043.866</v>
      </c>
    </row>
    <row r="715" spans="1:9" hidden="1" x14ac:dyDescent="0.25">
      <c r="A715" s="1" t="s">
        <v>126</v>
      </c>
      <c r="B715" s="1" t="s">
        <v>210</v>
      </c>
      <c r="C715" s="1" t="s">
        <v>3</v>
      </c>
      <c r="D715" s="1">
        <v>516.88</v>
      </c>
      <c r="E715" s="1">
        <v>-53.33</v>
      </c>
      <c r="F715" s="1">
        <v>0</v>
      </c>
      <c r="G715" s="1">
        <v>351.98</v>
      </c>
      <c r="H715" s="1">
        <v>3101.2710000000002</v>
      </c>
      <c r="I715" s="1">
        <v>-3351.864</v>
      </c>
    </row>
    <row r="716" spans="1:9" hidden="1" x14ac:dyDescent="0.25">
      <c r="A716" s="1" t="s">
        <v>127</v>
      </c>
      <c r="B716" s="1" t="s">
        <v>210</v>
      </c>
      <c r="C716" s="1" t="s">
        <v>143</v>
      </c>
      <c r="D716" s="1">
        <v>750.8</v>
      </c>
      <c r="E716" s="1">
        <v>-69</v>
      </c>
      <c r="F716" s="1">
        <v>0</v>
      </c>
      <c r="G716" s="1">
        <v>455.42</v>
      </c>
      <c r="H716" s="1">
        <v>4504.7809999999999</v>
      </c>
      <c r="I716" s="1">
        <v>-4755.3739999999998</v>
      </c>
    </row>
    <row r="717" spans="1:9" hidden="1" x14ac:dyDescent="0.25">
      <c r="A717" s="1" t="s">
        <v>127</v>
      </c>
      <c r="B717" s="1" t="s">
        <v>210</v>
      </c>
      <c r="C717" s="1" t="s">
        <v>3</v>
      </c>
      <c r="D717" s="1">
        <v>775.32</v>
      </c>
      <c r="E717" s="1">
        <v>-69</v>
      </c>
      <c r="F717" s="1">
        <v>0</v>
      </c>
      <c r="G717" s="1">
        <v>455.42</v>
      </c>
      <c r="H717" s="1">
        <v>4651.9070000000002</v>
      </c>
      <c r="I717" s="1">
        <v>-5111.4440000000004</v>
      </c>
    </row>
    <row r="718" spans="1:9" hidden="1" x14ac:dyDescent="0.25">
      <c r="A718" s="1" t="s">
        <v>9</v>
      </c>
      <c r="B718" s="1" t="s">
        <v>210</v>
      </c>
      <c r="C718" s="1" t="s">
        <v>143</v>
      </c>
      <c r="D718" s="1">
        <v>1009.24</v>
      </c>
      <c r="E718" s="1">
        <v>-76.84</v>
      </c>
      <c r="F718" s="1">
        <v>0</v>
      </c>
      <c r="G718" s="1">
        <v>507.14100000000002</v>
      </c>
      <c r="H718" s="1">
        <v>6055.4170000000004</v>
      </c>
      <c r="I718" s="1">
        <v>-6514.9539999999997</v>
      </c>
    </row>
    <row r="719" spans="1:9" hidden="1" x14ac:dyDescent="0.25">
      <c r="A719" s="1" t="s">
        <v>9</v>
      </c>
      <c r="B719" s="1" t="s">
        <v>210</v>
      </c>
      <c r="C719" s="1" t="s">
        <v>3</v>
      </c>
      <c r="D719" s="1">
        <v>1033.76</v>
      </c>
      <c r="E719" s="1">
        <v>-76.84</v>
      </c>
      <c r="F719" s="1">
        <v>0</v>
      </c>
      <c r="G719" s="1">
        <v>507.14100000000002</v>
      </c>
      <c r="H719" s="1">
        <v>6202.5429999999997</v>
      </c>
      <c r="I719" s="1">
        <v>-6897.4939999999997</v>
      </c>
    </row>
    <row r="720" spans="1:9" hidden="1" x14ac:dyDescent="0.25">
      <c r="A720" s="1" t="s">
        <v>10</v>
      </c>
      <c r="B720" s="1" t="s">
        <v>210</v>
      </c>
      <c r="C720" s="1" t="s">
        <v>143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</row>
    <row r="721" spans="1:9" hidden="1" x14ac:dyDescent="0.25">
      <c r="A721" s="1" t="s">
        <v>10</v>
      </c>
      <c r="B721" s="1" t="s">
        <v>210</v>
      </c>
      <c r="C721" s="1" t="s">
        <v>3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</row>
    <row r="722" spans="1:9" hidden="1" x14ac:dyDescent="0.25">
      <c r="A722" s="1" t="s">
        <v>125</v>
      </c>
      <c r="B722" s="1" t="s">
        <v>211</v>
      </c>
      <c r="C722" s="1" t="s">
        <v>143</v>
      </c>
      <c r="D722" s="1">
        <v>233.92</v>
      </c>
      <c r="E722" s="1">
        <v>-29.82</v>
      </c>
      <c r="F722" s="1">
        <v>0</v>
      </c>
      <c r="G722" s="1">
        <v>161.03399999999999</v>
      </c>
      <c r="H722" s="1">
        <v>1403.51</v>
      </c>
      <c r="I722" s="1">
        <v>-1403.51</v>
      </c>
    </row>
    <row r="723" spans="1:9" hidden="1" x14ac:dyDescent="0.25">
      <c r="A723" s="1" t="s">
        <v>125</v>
      </c>
      <c r="B723" s="1" t="s">
        <v>211</v>
      </c>
      <c r="C723" s="1" t="s">
        <v>3</v>
      </c>
      <c r="D723" s="1">
        <v>258.44</v>
      </c>
      <c r="E723" s="1">
        <v>-29.82</v>
      </c>
      <c r="F723" s="1">
        <v>0</v>
      </c>
      <c r="G723" s="1">
        <v>161.03399999999999</v>
      </c>
      <c r="H723" s="1">
        <v>1550.636</v>
      </c>
      <c r="I723" s="1">
        <v>-1640.356</v>
      </c>
    </row>
    <row r="724" spans="1:9" hidden="1" x14ac:dyDescent="0.25">
      <c r="A724" s="1" t="s">
        <v>126</v>
      </c>
      <c r="B724" s="1" t="s">
        <v>211</v>
      </c>
      <c r="C724" s="1" t="s">
        <v>143</v>
      </c>
      <c r="D724" s="1">
        <v>492.36</v>
      </c>
      <c r="E724" s="1">
        <v>-53.33</v>
      </c>
      <c r="F724" s="1">
        <v>0</v>
      </c>
      <c r="G724" s="1">
        <v>287.98399999999998</v>
      </c>
      <c r="H724" s="1">
        <v>2954.1460000000002</v>
      </c>
      <c r="I724" s="1">
        <v>-3043.866</v>
      </c>
    </row>
    <row r="725" spans="1:9" hidden="1" x14ac:dyDescent="0.25">
      <c r="A725" s="1" t="s">
        <v>126</v>
      </c>
      <c r="B725" s="1" t="s">
        <v>211</v>
      </c>
      <c r="C725" s="1" t="s">
        <v>3</v>
      </c>
      <c r="D725" s="1">
        <v>516.88</v>
      </c>
      <c r="E725" s="1">
        <v>-53.33</v>
      </c>
      <c r="F725" s="1">
        <v>0</v>
      </c>
      <c r="G725" s="1">
        <v>287.98399999999998</v>
      </c>
      <c r="H725" s="1">
        <v>3101.2710000000002</v>
      </c>
      <c r="I725" s="1">
        <v>-3351.864</v>
      </c>
    </row>
    <row r="726" spans="1:9" hidden="1" x14ac:dyDescent="0.25">
      <c r="A726" s="1" t="s">
        <v>127</v>
      </c>
      <c r="B726" s="1" t="s">
        <v>211</v>
      </c>
      <c r="C726" s="1" t="s">
        <v>143</v>
      </c>
      <c r="D726" s="1">
        <v>750.8</v>
      </c>
      <c r="E726" s="1">
        <v>-69</v>
      </c>
      <c r="F726" s="1">
        <v>0</v>
      </c>
      <c r="G726" s="1">
        <v>372.61700000000002</v>
      </c>
      <c r="H726" s="1">
        <v>4504.7809999999999</v>
      </c>
      <c r="I726" s="1">
        <v>-4755.3739999999998</v>
      </c>
    </row>
    <row r="727" spans="1:9" hidden="1" x14ac:dyDescent="0.25">
      <c r="A727" s="1" t="s">
        <v>127</v>
      </c>
      <c r="B727" s="1" t="s">
        <v>211</v>
      </c>
      <c r="C727" s="1" t="s">
        <v>3</v>
      </c>
      <c r="D727" s="1">
        <v>775.32</v>
      </c>
      <c r="E727" s="1">
        <v>-69</v>
      </c>
      <c r="F727" s="1">
        <v>0</v>
      </c>
      <c r="G727" s="1">
        <v>372.61700000000002</v>
      </c>
      <c r="H727" s="1">
        <v>4651.9070000000002</v>
      </c>
      <c r="I727" s="1">
        <v>-5111.4440000000004</v>
      </c>
    </row>
    <row r="728" spans="1:9" hidden="1" x14ac:dyDescent="0.25">
      <c r="A728" s="1" t="s">
        <v>9</v>
      </c>
      <c r="B728" s="1" t="s">
        <v>211</v>
      </c>
      <c r="C728" s="1" t="s">
        <v>143</v>
      </c>
      <c r="D728" s="1">
        <v>1009.24</v>
      </c>
      <c r="E728" s="1">
        <v>-76.84</v>
      </c>
      <c r="F728" s="1">
        <v>0</v>
      </c>
      <c r="G728" s="1">
        <v>414.93299999999999</v>
      </c>
      <c r="H728" s="1">
        <v>6055.4170000000004</v>
      </c>
      <c r="I728" s="1">
        <v>-6514.9539999999997</v>
      </c>
    </row>
    <row r="729" spans="1:9" hidden="1" x14ac:dyDescent="0.25">
      <c r="A729" s="1" t="s">
        <v>9</v>
      </c>
      <c r="B729" s="1" t="s">
        <v>211</v>
      </c>
      <c r="C729" s="1" t="s">
        <v>3</v>
      </c>
      <c r="D729" s="1">
        <v>1033.76</v>
      </c>
      <c r="E729" s="1">
        <v>-76.84</v>
      </c>
      <c r="F729" s="1">
        <v>0</v>
      </c>
      <c r="G729" s="1">
        <v>414.93299999999999</v>
      </c>
      <c r="H729" s="1">
        <v>6202.5429999999997</v>
      </c>
      <c r="I729" s="1">
        <v>-6897.4939999999997</v>
      </c>
    </row>
    <row r="730" spans="1:9" hidden="1" x14ac:dyDescent="0.25">
      <c r="A730" s="1" t="s">
        <v>10</v>
      </c>
      <c r="B730" s="1" t="s">
        <v>211</v>
      </c>
      <c r="C730" s="1" t="s">
        <v>143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</row>
    <row r="731" spans="1:9" hidden="1" x14ac:dyDescent="0.25">
      <c r="A731" s="1" t="s">
        <v>10</v>
      </c>
      <c r="B731" s="1" t="s">
        <v>211</v>
      </c>
      <c r="C731" s="1" t="s">
        <v>3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</row>
    <row r="732" spans="1:9" hidden="1" x14ac:dyDescent="0.25">
      <c r="A732" s="1" t="s">
        <v>125</v>
      </c>
      <c r="B732" s="1" t="s">
        <v>212</v>
      </c>
      <c r="C732" s="1" t="s">
        <v>143</v>
      </c>
      <c r="D732" s="1">
        <v>233.92</v>
      </c>
      <c r="E732" s="1">
        <v>29.82</v>
      </c>
      <c r="F732" s="1">
        <v>0</v>
      </c>
      <c r="G732" s="1">
        <v>-196.81899999999999</v>
      </c>
      <c r="H732" s="1">
        <v>1403.51</v>
      </c>
      <c r="I732" s="1">
        <v>-1403.51</v>
      </c>
    </row>
    <row r="733" spans="1:9" hidden="1" x14ac:dyDescent="0.25">
      <c r="A733" s="1" t="s">
        <v>125</v>
      </c>
      <c r="B733" s="1" t="s">
        <v>212</v>
      </c>
      <c r="C733" s="1" t="s">
        <v>3</v>
      </c>
      <c r="D733" s="1">
        <v>258.44</v>
      </c>
      <c r="E733" s="1">
        <v>29.82</v>
      </c>
      <c r="F733" s="1">
        <v>0</v>
      </c>
      <c r="G733" s="1">
        <v>-196.81899999999999</v>
      </c>
      <c r="H733" s="1">
        <v>1550.636</v>
      </c>
      <c r="I733" s="1">
        <v>-1460.9159999999999</v>
      </c>
    </row>
    <row r="734" spans="1:9" hidden="1" x14ac:dyDescent="0.25">
      <c r="A734" s="1" t="s">
        <v>126</v>
      </c>
      <c r="B734" s="1" t="s">
        <v>212</v>
      </c>
      <c r="C734" s="1" t="s">
        <v>143</v>
      </c>
      <c r="D734" s="1">
        <v>492.36</v>
      </c>
      <c r="E734" s="1">
        <v>53.33</v>
      </c>
      <c r="F734" s="1">
        <v>0</v>
      </c>
      <c r="G734" s="1">
        <v>-351.98</v>
      </c>
      <c r="H734" s="1">
        <v>2954.1460000000002</v>
      </c>
      <c r="I734" s="1">
        <v>-2864.4259999999999</v>
      </c>
    </row>
    <row r="735" spans="1:9" hidden="1" x14ac:dyDescent="0.25">
      <c r="A735" s="1" t="s">
        <v>126</v>
      </c>
      <c r="B735" s="1" t="s">
        <v>212</v>
      </c>
      <c r="C735" s="1" t="s">
        <v>3</v>
      </c>
      <c r="D735" s="1">
        <v>516.88</v>
      </c>
      <c r="E735" s="1">
        <v>53.33</v>
      </c>
      <c r="F735" s="1">
        <v>0</v>
      </c>
      <c r="G735" s="1">
        <v>-351.98</v>
      </c>
      <c r="H735" s="1">
        <v>3101.2710000000002</v>
      </c>
      <c r="I735" s="1">
        <v>-2850.6790000000001</v>
      </c>
    </row>
    <row r="736" spans="1:9" hidden="1" x14ac:dyDescent="0.25">
      <c r="A736" s="1" t="s">
        <v>127</v>
      </c>
      <c r="B736" s="1" t="s">
        <v>212</v>
      </c>
      <c r="C736" s="1" t="s">
        <v>143</v>
      </c>
      <c r="D736" s="1">
        <v>750.8</v>
      </c>
      <c r="E736" s="1">
        <v>69</v>
      </c>
      <c r="F736" s="1">
        <v>0</v>
      </c>
      <c r="G736" s="1">
        <v>-455.42</v>
      </c>
      <c r="H736" s="1">
        <v>4504.7809999999999</v>
      </c>
      <c r="I736" s="1">
        <v>-4254.1890000000003</v>
      </c>
    </row>
    <row r="737" spans="1:9" hidden="1" x14ac:dyDescent="0.25">
      <c r="A737" s="1" t="s">
        <v>127</v>
      </c>
      <c r="B737" s="1" t="s">
        <v>212</v>
      </c>
      <c r="C737" s="1" t="s">
        <v>3</v>
      </c>
      <c r="D737" s="1">
        <v>775.32</v>
      </c>
      <c r="E737" s="1">
        <v>69</v>
      </c>
      <c r="F737" s="1">
        <v>0</v>
      </c>
      <c r="G737" s="1">
        <v>-455.42</v>
      </c>
      <c r="H737" s="1">
        <v>4651.9070000000002</v>
      </c>
      <c r="I737" s="1">
        <v>-4192.37</v>
      </c>
    </row>
    <row r="738" spans="1:9" hidden="1" x14ac:dyDescent="0.25">
      <c r="A738" s="1" t="s">
        <v>9</v>
      </c>
      <c r="B738" s="1" t="s">
        <v>212</v>
      </c>
      <c r="C738" s="1" t="s">
        <v>143</v>
      </c>
      <c r="D738" s="1">
        <v>1009.24</v>
      </c>
      <c r="E738" s="1">
        <v>76.84</v>
      </c>
      <c r="F738" s="1">
        <v>0</v>
      </c>
      <c r="G738" s="1">
        <v>-507.14100000000002</v>
      </c>
      <c r="H738" s="1">
        <v>6055.4170000000004</v>
      </c>
      <c r="I738" s="1">
        <v>-5595.88</v>
      </c>
    </row>
    <row r="739" spans="1:9" hidden="1" x14ac:dyDescent="0.25">
      <c r="A739" s="1" t="s">
        <v>9</v>
      </c>
      <c r="B739" s="1" t="s">
        <v>212</v>
      </c>
      <c r="C739" s="1" t="s">
        <v>3</v>
      </c>
      <c r="D739" s="1">
        <v>1033.76</v>
      </c>
      <c r="E739" s="1">
        <v>76.84</v>
      </c>
      <c r="F739" s="1">
        <v>0</v>
      </c>
      <c r="G739" s="1">
        <v>-507.14100000000002</v>
      </c>
      <c r="H739" s="1">
        <v>6202.5429999999997</v>
      </c>
      <c r="I739" s="1">
        <v>-5507.5910000000003</v>
      </c>
    </row>
    <row r="740" spans="1:9" hidden="1" x14ac:dyDescent="0.25">
      <c r="A740" s="1" t="s">
        <v>10</v>
      </c>
      <c r="B740" s="1" t="s">
        <v>212</v>
      </c>
      <c r="C740" s="1" t="s">
        <v>143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</row>
    <row r="741" spans="1:9" hidden="1" x14ac:dyDescent="0.25">
      <c r="A741" s="1" t="s">
        <v>10</v>
      </c>
      <c r="B741" s="1" t="s">
        <v>212</v>
      </c>
      <c r="C741" s="1" t="s">
        <v>3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</row>
    <row r="742" spans="1:9" hidden="1" x14ac:dyDescent="0.25">
      <c r="A742" s="1" t="s">
        <v>125</v>
      </c>
      <c r="B742" s="1" t="s">
        <v>213</v>
      </c>
      <c r="C742" s="1" t="s">
        <v>143</v>
      </c>
      <c r="D742" s="1">
        <v>233.92</v>
      </c>
      <c r="E742" s="1">
        <v>29.82</v>
      </c>
      <c r="F742" s="1">
        <v>0</v>
      </c>
      <c r="G742" s="1">
        <v>-161.03399999999999</v>
      </c>
      <c r="H742" s="1">
        <v>1403.51</v>
      </c>
      <c r="I742" s="1">
        <v>-1403.51</v>
      </c>
    </row>
    <row r="743" spans="1:9" hidden="1" x14ac:dyDescent="0.25">
      <c r="A743" s="1" t="s">
        <v>125</v>
      </c>
      <c r="B743" s="1" t="s">
        <v>213</v>
      </c>
      <c r="C743" s="1" t="s">
        <v>3</v>
      </c>
      <c r="D743" s="1">
        <v>258.44</v>
      </c>
      <c r="E743" s="1">
        <v>29.82</v>
      </c>
      <c r="F743" s="1">
        <v>0</v>
      </c>
      <c r="G743" s="1">
        <v>-161.03399999999999</v>
      </c>
      <c r="H743" s="1">
        <v>1550.636</v>
      </c>
      <c r="I743" s="1">
        <v>-1460.9159999999999</v>
      </c>
    </row>
    <row r="744" spans="1:9" hidden="1" x14ac:dyDescent="0.25">
      <c r="A744" s="1" t="s">
        <v>126</v>
      </c>
      <c r="B744" s="1" t="s">
        <v>213</v>
      </c>
      <c r="C744" s="1" t="s">
        <v>143</v>
      </c>
      <c r="D744" s="1">
        <v>492.36</v>
      </c>
      <c r="E744" s="1">
        <v>53.33</v>
      </c>
      <c r="F744" s="1">
        <v>0</v>
      </c>
      <c r="G744" s="1">
        <v>-287.98399999999998</v>
      </c>
      <c r="H744" s="1">
        <v>2954.1460000000002</v>
      </c>
      <c r="I744" s="1">
        <v>-2864.4259999999999</v>
      </c>
    </row>
    <row r="745" spans="1:9" hidden="1" x14ac:dyDescent="0.25">
      <c r="A745" s="1" t="s">
        <v>126</v>
      </c>
      <c r="B745" s="1" t="s">
        <v>213</v>
      </c>
      <c r="C745" s="1" t="s">
        <v>3</v>
      </c>
      <c r="D745" s="1">
        <v>516.88</v>
      </c>
      <c r="E745" s="1">
        <v>53.33</v>
      </c>
      <c r="F745" s="1">
        <v>0</v>
      </c>
      <c r="G745" s="1">
        <v>-287.98399999999998</v>
      </c>
      <c r="H745" s="1">
        <v>3101.2710000000002</v>
      </c>
      <c r="I745" s="1">
        <v>-2850.6790000000001</v>
      </c>
    </row>
    <row r="746" spans="1:9" hidden="1" x14ac:dyDescent="0.25">
      <c r="A746" s="1" t="s">
        <v>127</v>
      </c>
      <c r="B746" s="1" t="s">
        <v>213</v>
      </c>
      <c r="C746" s="1" t="s">
        <v>143</v>
      </c>
      <c r="D746" s="1">
        <v>750.8</v>
      </c>
      <c r="E746" s="1">
        <v>69</v>
      </c>
      <c r="F746" s="1">
        <v>0</v>
      </c>
      <c r="G746" s="1">
        <v>-372.61700000000002</v>
      </c>
      <c r="H746" s="1">
        <v>4504.7809999999999</v>
      </c>
      <c r="I746" s="1">
        <v>-4254.1890000000003</v>
      </c>
    </row>
    <row r="747" spans="1:9" hidden="1" x14ac:dyDescent="0.25">
      <c r="A747" s="1" t="s">
        <v>127</v>
      </c>
      <c r="B747" s="1" t="s">
        <v>213</v>
      </c>
      <c r="C747" s="1" t="s">
        <v>3</v>
      </c>
      <c r="D747" s="1">
        <v>775.32</v>
      </c>
      <c r="E747" s="1">
        <v>69</v>
      </c>
      <c r="F747" s="1">
        <v>0</v>
      </c>
      <c r="G747" s="1">
        <v>-372.61700000000002</v>
      </c>
      <c r="H747" s="1">
        <v>4651.9070000000002</v>
      </c>
      <c r="I747" s="1">
        <v>-4192.37</v>
      </c>
    </row>
    <row r="748" spans="1:9" hidden="1" x14ac:dyDescent="0.25">
      <c r="A748" s="1" t="s">
        <v>9</v>
      </c>
      <c r="B748" s="1" t="s">
        <v>213</v>
      </c>
      <c r="C748" s="1" t="s">
        <v>143</v>
      </c>
      <c r="D748" s="1">
        <v>1009.24</v>
      </c>
      <c r="E748" s="1">
        <v>76.84</v>
      </c>
      <c r="F748" s="1">
        <v>0</v>
      </c>
      <c r="G748" s="1">
        <v>-414.93299999999999</v>
      </c>
      <c r="H748" s="1">
        <v>6055.4170000000004</v>
      </c>
      <c r="I748" s="1">
        <v>-5595.88</v>
      </c>
    </row>
    <row r="749" spans="1:9" hidden="1" x14ac:dyDescent="0.25">
      <c r="A749" s="1" t="s">
        <v>9</v>
      </c>
      <c r="B749" s="1" t="s">
        <v>213</v>
      </c>
      <c r="C749" s="1" t="s">
        <v>3</v>
      </c>
      <c r="D749" s="1">
        <v>1033.76</v>
      </c>
      <c r="E749" s="1">
        <v>76.84</v>
      </c>
      <c r="F749" s="1">
        <v>0</v>
      </c>
      <c r="G749" s="1">
        <v>-414.93299999999999</v>
      </c>
      <c r="H749" s="1">
        <v>6202.5429999999997</v>
      </c>
      <c r="I749" s="1">
        <v>-5507.5910000000003</v>
      </c>
    </row>
    <row r="750" spans="1:9" hidden="1" x14ac:dyDescent="0.25">
      <c r="A750" s="1" t="s">
        <v>10</v>
      </c>
      <c r="B750" s="1" t="s">
        <v>213</v>
      </c>
      <c r="C750" s="1" t="s">
        <v>143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</row>
    <row r="751" spans="1:9" hidden="1" x14ac:dyDescent="0.25">
      <c r="A751" s="1" t="s">
        <v>10</v>
      </c>
      <c r="B751" s="1" t="s">
        <v>213</v>
      </c>
      <c r="C751" s="1" t="s">
        <v>3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</row>
    <row r="752" spans="1:9" hidden="1" x14ac:dyDescent="0.25">
      <c r="A752" s="1" t="s">
        <v>125</v>
      </c>
      <c r="B752" s="1" t="s">
        <v>214</v>
      </c>
      <c r="C752" s="1" t="s">
        <v>143</v>
      </c>
      <c r="D752" s="1">
        <v>233.92</v>
      </c>
      <c r="E752" s="1">
        <v>0</v>
      </c>
      <c r="F752" s="1">
        <v>-29.82</v>
      </c>
      <c r="G752" s="1">
        <v>-196.81899999999999</v>
      </c>
      <c r="H752" s="1">
        <v>1403.51</v>
      </c>
      <c r="I752" s="1">
        <v>-1403.51</v>
      </c>
    </row>
    <row r="753" spans="1:9" hidden="1" x14ac:dyDescent="0.25">
      <c r="A753" s="1" t="s">
        <v>125</v>
      </c>
      <c r="B753" s="1" t="s">
        <v>214</v>
      </c>
      <c r="C753" s="1" t="s">
        <v>3</v>
      </c>
      <c r="D753" s="1">
        <v>258.44</v>
      </c>
      <c r="E753" s="1">
        <v>0</v>
      </c>
      <c r="F753" s="1">
        <v>-29.82</v>
      </c>
      <c r="G753" s="1">
        <v>-196.81899999999999</v>
      </c>
      <c r="H753" s="1">
        <v>1640.356</v>
      </c>
      <c r="I753" s="1">
        <v>-1550.636</v>
      </c>
    </row>
    <row r="754" spans="1:9" hidden="1" x14ac:dyDescent="0.25">
      <c r="A754" s="1" t="s">
        <v>126</v>
      </c>
      <c r="B754" s="1" t="s">
        <v>214</v>
      </c>
      <c r="C754" s="1" t="s">
        <v>143</v>
      </c>
      <c r="D754" s="1">
        <v>492.36</v>
      </c>
      <c r="E754" s="1">
        <v>0</v>
      </c>
      <c r="F754" s="1">
        <v>-53.33</v>
      </c>
      <c r="G754" s="1">
        <v>-351.98</v>
      </c>
      <c r="H754" s="1">
        <v>3043.866</v>
      </c>
      <c r="I754" s="1">
        <v>-2954.1460000000002</v>
      </c>
    </row>
    <row r="755" spans="1:9" hidden="1" x14ac:dyDescent="0.25">
      <c r="A755" s="1" t="s">
        <v>126</v>
      </c>
      <c r="B755" s="1" t="s">
        <v>214</v>
      </c>
      <c r="C755" s="1" t="s">
        <v>3</v>
      </c>
      <c r="D755" s="1">
        <v>516.88</v>
      </c>
      <c r="E755" s="1">
        <v>0</v>
      </c>
      <c r="F755" s="1">
        <v>-53.33</v>
      </c>
      <c r="G755" s="1">
        <v>-351.98</v>
      </c>
      <c r="H755" s="1">
        <v>3351.864</v>
      </c>
      <c r="I755" s="1">
        <v>-3101.2710000000002</v>
      </c>
    </row>
    <row r="756" spans="1:9" hidden="1" x14ac:dyDescent="0.25">
      <c r="A756" s="1" t="s">
        <v>127</v>
      </c>
      <c r="B756" s="1" t="s">
        <v>214</v>
      </c>
      <c r="C756" s="1" t="s">
        <v>143</v>
      </c>
      <c r="D756" s="1">
        <v>750.8</v>
      </c>
      <c r="E756" s="1">
        <v>0</v>
      </c>
      <c r="F756" s="1">
        <v>-69</v>
      </c>
      <c r="G756" s="1">
        <v>-455.42</v>
      </c>
      <c r="H756" s="1">
        <v>4755.3739999999998</v>
      </c>
      <c r="I756" s="1">
        <v>-4504.7809999999999</v>
      </c>
    </row>
    <row r="757" spans="1:9" hidden="1" x14ac:dyDescent="0.25">
      <c r="A757" s="1" t="s">
        <v>127</v>
      </c>
      <c r="B757" s="1" t="s">
        <v>214</v>
      </c>
      <c r="C757" s="1" t="s">
        <v>3</v>
      </c>
      <c r="D757" s="1">
        <v>775.32</v>
      </c>
      <c r="E757" s="1">
        <v>0</v>
      </c>
      <c r="F757" s="1">
        <v>-69</v>
      </c>
      <c r="G757" s="1">
        <v>-455.42</v>
      </c>
      <c r="H757" s="1">
        <v>5111.4440000000004</v>
      </c>
      <c r="I757" s="1">
        <v>-4651.9070000000002</v>
      </c>
    </row>
    <row r="758" spans="1:9" hidden="1" x14ac:dyDescent="0.25">
      <c r="A758" s="1" t="s">
        <v>9</v>
      </c>
      <c r="B758" s="1" t="s">
        <v>214</v>
      </c>
      <c r="C758" s="1" t="s">
        <v>143</v>
      </c>
      <c r="D758" s="1">
        <v>1009.24</v>
      </c>
      <c r="E758" s="1">
        <v>0</v>
      </c>
      <c r="F758" s="1">
        <v>-76.84</v>
      </c>
      <c r="G758" s="1">
        <v>-507.14100000000002</v>
      </c>
      <c r="H758" s="1">
        <v>6514.9539999999997</v>
      </c>
      <c r="I758" s="1">
        <v>-6055.4170000000004</v>
      </c>
    </row>
    <row r="759" spans="1:9" hidden="1" x14ac:dyDescent="0.25">
      <c r="A759" s="1" t="s">
        <v>9</v>
      </c>
      <c r="B759" s="1" t="s">
        <v>214</v>
      </c>
      <c r="C759" s="1" t="s">
        <v>3</v>
      </c>
      <c r="D759" s="1">
        <v>1033.76</v>
      </c>
      <c r="E759" s="1">
        <v>0</v>
      </c>
      <c r="F759" s="1">
        <v>-76.84</v>
      </c>
      <c r="G759" s="1">
        <v>-507.14100000000002</v>
      </c>
      <c r="H759" s="1">
        <v>6897.4939999999997</v>
      </c>
      <c r="I759" s="1">
        <v>-6202.5429999999997</v>
      </c>
    </row>
    <row r="760" spans="1:9" hidden="1" x14ac:dyDescent="0.25">
      <c r="A760" s="1" t="s">
        <v>10</v>
      </c>
      <c r="B760" s="1" t="s">
        <v>214</v>
      </c>
      <c r="C760" s="1" t="s">
        <v>143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</row>
    <row r="761" spans="1:9" hidden="1" x14ac:dyDescent="0.25">
      <c r="A761" s="1" t="s">
        <v>10</v>
      </c>
      <c r="B761" s="1" t="s">
        <v>214</v>
      </c>
      <c r="C761" s="1" t="s">
        <v>3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</row>
    <row r="762" spans="1:9" hidden="1" x14ac:dyDescent="0.25">
      <c r="A762" s="1" t="s">
        <v>125</v>
      </c>
      <c r="B762" s="1" t="s">
        <v>215</v>
      </c>
      <c r="C762" s="1" t="s">
        <v>143</v>
      </c>
      <c r="D762" s="1">
        <v>233.92</v>
      </c>
      <c r="E762" s="1">
        <v>0</v>
      </c>
      <c r="F762" s="1">
        <v>-29.82</v>
      </c>
      <c r="G762" s="1">
        <v>-161.03399999999999</v>
      </c>
      <c r="H762" s="1">
        <v>1403.51</v>
      </c>
      <c r="I762" s="1">
        <v>-1403.51</v>
      </c>
    </row>
    <row r="763" spans="1:9" hidden="1" x14ac:dyDescent="0.25">
      <c r="A763" s="1" t="s">
        <v>125</v>
      </c>
      <c r="B763" s="1" t="s">
        <v>215</v>
      </c>
      <c r="C763" s="1" t="s">
        <v>3</v>
      </c>
      <c r="D763" s="1">
        <v>258.44</v>
      </c>
      <c r="E763" s="1">
        <v>0</v>
      </c>
      <c r="F763" s="1">
        <v>-29.82</v>
      </c>
      <c r="G763" s="1">
        <v>-161.03399999999999</v>
      </c>
      <c r="H763" s="1">
        <v>1640.356</v>
      </c>
      <c r="I763" s="1">
        <v>-1550.636</v>
      </c>
    </row>
    <row r="764" spans="1:9" hidden="1" x14ac:dyDescent="0.25">
      <c r="A764" s="1" t="s">
        <v>126</v>
      </c>
      <c r="B764" s="1" t="s">
        <v>215</v>
      </c>
      <c r="C764" s="1" t="s">
        <v>143</v>
      </c>
      <c r="D764" s="1">
        <v>492.36</v>
      </c>
      <c r="E764" s="1">
        <v>0</v>
      </c>
      <c r="F764" s="1">
        <v>-53.33</v>
      </c>
      <c r="G764" s="1">
        <v>-287.98399999999998</v>
      </c>
      <c r="H764" s="1">
        <v>3043.866</v>
      </c>
      <c r="I764" s="1">
        <v>-2954.1460000000002</v>
      </c>
    </row>
    <row r="765" spans="1:9" hidden="1" x14ac:dyDescent="0.25">
      <c r="A765" s="1" t="s">
        <v>126</v>
      </c>
      <c r="B765" s="1" t="s">
        <v>215</v>
      </c>
      <c r="C765" s="1" t="s">
        <v>3</v>
      </c>
      <c r="D765" s="1">
        <v>516.88</v>
      </c>
      <c r="E765" s="1">
        <v>0</v>
      </c>
      <c r="F765" s="1">
        <v>-53.33</v>
      </c>
      <c r="G765" s="1">
        <v>-287.98399999999998</v>
      </c>
      <c r="H765" s="1">
        <v>3351.864</v>
      </c>
      <c r="I765" s="1">
        <v>-3101.2710000000002</v>
      </c>
    </row>
    <row r="766" spans="1:9" hidden="1" x14ac:dyDescent="0.25">
      <c r="A766" s="1" t="s">
        <v>127</v>
      </c>
      <c r="B766" s="1" t="s">
        <v>215</v>
      </c>
      <c r="C766" s="1" t="s">
        <v>143</v>
      </c>
      <c r="D766" s="1">
        <v>750.8</v>
      </c>
      <c r="E766" s="1">
        <v>0</v>
      </c>
      <c r="F766" s="1">
        <v>-69</v>
      </c>
      <c r="G766" s="1">
        <v>-372.61700000000002</v>
      </c>
      <c r="H766" s="1">
        <v>4755.3739999999998</v>
      </c>
      <c r="I766" s="1">
        <v>-4504.7809999999999</v>
      </c>
    </row>
    <row r="767" spans="1:9" hidden="1" x14ac:dyDescent="0.25">
      <c r="A767" s="1" t="s">
        <v>127</v>
      </c>
      <c r="B767" s="1" t="s">
        <v>215</v>
      </c>
      <c r="C767" s="1" t="s">
        <v>3</v>
      </c>
      <c r="D767" s="1">
        <v>775.32</v>
      </c>
      <c r="E767" s="1">
        <v>0</v>
      </c>
      <c r="F767" s="1">
        <v>-69</v>
      </c>
      <c r="G767" s="1">
        <v>-372.61700000000002</v>
      </c>
      <c r="H767" s="1">
        <v>5111.4440000000004</v>
      </c>
      <c r="I767" s="1">
        <v>-4651.9070000000002</v>
      </c>
    </row>
    <row r="768" spans="1:9" hidden="1" x14ac:dyDescent="0.25">
      <c r="A768" s="1" t="s">
        <v>9</v>
      </c>
      <c r="B768" s="1" t="s">
        <v>215</v>
      </c>
      <c r="C768" s="1" t="s">
        <v>143</v>
      </c>
      <c r="D768" s="1">
        <v>1009.24</v>
      </c>
      <c r="E768" s="1">
        <v>0</v>
      </c>
      <c r="F768" s="1">
        <v>-76.84</v>
      </c>
      <c r="G768" s="1">
        <v>-414.93299999999999</v>
      </c>
      <c r="H768" s="1">
        <v>6514.9539999999997</v>
      </c>
      <c r="I768" s="1">
        <v>-6055.4170000000004</v>
      </c>
    </row>
    <row r="769" spans="1:9" hidden="1" x14ac:dyDescent="0.25">
      <c r="A769" s="1" t="s">
        <v>9</v>
      </c>
      <c r="B769" s="1" t="s">
        <v>215</v>
      </c>
      <c r="C769" s="1" t="s">
        <v>3</v>
      </c>
      <c r="D769" s="1">
        <v>1033.76</v>
      </c>
      <c r="E769" s="1">
        <v>0</v>
      </c>
      <c r="F769" s="1">
        <v>-76.84</v>
      </c>
      <c r="G769" s="1">
        <v>-414.93299999999999</v>
      </c>
      <c r="H769" s="1">
        <v>6897.4939999999997</v>
      </c>
      <c r="I769" s="1">
        <v>-6202.5429999999997</v>
      </c>
    </row>
    <row r="770" spans="1:9" hidden="1" x14ac:dyDescent="0.25">
      <c r="A770" s="1" t="s">
        <v>10</v>
      </c>
      <c r="B770" s="1" t="s">
        <v>215</v>
      </c>
      <c r="C770" s="1" t="s">
        <v>143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</row>
    <row r="771" spans="1:9" hidden="1" x14ac:dyDescent="0.25">
      <c r="A771" s="1" t="s">
        <v>10</v>
      </c>
      <c r="B771" s="1" t="s">
        <v>215</v>
      </c>
      <c r="C771" s="1" t="s">
        <v>3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</row>
    <row r="772" spans="1:9" hidden="1" x14ac:dyDescent="0.25">
      <c r="A772" s="1" t="s">
        <v>125</v>
      </c>
      <c r="B772" s="1" t="s">
        <v>216</v>
      </c>
      <c r="C772" s="1" t="s">
        <v>143</v>
      </c>
      <c r="D772" s="1">
        <v>233.92</v>
      </c>
      <c r="E772" s="1">
        <v>0</v>
      </c>
      <c r="F772" s="1">
        <v>29.82</v>
      </c>
      <c r="G772" s="1">
        <v>196.81899999999999</v>
      </c>
      <c r="H772" s="1">
        <v>1403.51</v>
      </c>
      <c r="I772" s="1">
        <v>-1403.51</v>
      </c>
    </row>
    <row r="773" spans="1:9" hidden="1" x14ac:dyDescent="0.25">
      <c r="A773" s="1" t="s">
        <v>125</v>
      </c>
      <c r="B773" s="1" t="s">
        <v>216</v>
      </c>
      <c r="C773" s="1" t="s">
        <v>3</v>
      </c>
      <c r="D773" s="1">
        <v>258.44</v>
      </c>
      <c r="E773" s="1">
        <v>0</v>
      </c>
      <c r="F773" s="1">
        <v>29.82</v>
      </c>
      <c r="G773" s="1">
        <v>196.81899999999999</v>
      </c>
      <c r="H773" s="1">
        <v>1460.9159999999999</v>
      </c>
      <c r="I773" s="1">
        <v>-1550.636</v>
      </c>
    </row>
    <row r="774" spans="1:9" hidden="1" x14ac:dyDescent="0.25">
      <c r="A774" s="1" t="s">
        <v>126</v>
      </c>
      <c r="B774" s="1" t="s">
        <v>216</v>
      </c>
      <c r="C774" s="1" t="s">
        <v>143</v>
      </c>
      <c r="D774" s="1">
        <v>492.36</v>
      </c>
      <c r="E774" s="1">
        <v>0</v>
      </c>
      <c r="F774" s="1">
        <v>53.33</v>
      </c>
      <c r="G774" s="1">
        <v>351.98</v>
      </c>
      <c r="H774" s="1">
        <v>2864.4259999999999</v>
      </c>
      <c r="I774" s="1">
        <v>-2954.1460000000002</v>
      </c>
    </row>
    <row r="775" spans="1:9" hidden="1" x14ac:dyDescent="0.25">
      <c r="A775" s="1" t="s">
        <v>126</v>
      </c>
      <c r="B775" s="1" t="s">
        <v>216</v>
      </c>
      <c r="C775" s="1" t="s">
        <v>3</v>
      </c>
      <c r="D775" s="1">
        <v>516.88</v>
      </c>
      <c r="E775" s="1">
        <v>0</v>
      </c>
      <c r="F775" s="1">
        <v>53.33</v>
      </c>
      <c r="G775" s="1">
        <v>351.98</v>
      </c>
      <c r="H775" s="1">
        <v>2850.6790000000001</v>
      </c>
      <c r="I775" s="1">
        <v>-3101.2710000000002</v>
      </c>
    </row>
    <row r="776" spans="1:9" hidden="1" x14ac:dyDescent="0.25">
      <c r="A776" s="1" t="s">
        <v>127</v>
      </c>
      <c r="B776" s="1" t="s">
        <v>216</v>
      </c>
      <c r="C776" s="1" t="s">
        <v>143</v>
      </c>
      <c r="D776" s="1">
        <v>750.8</v>
      </c>
      <c r="E776" s="1">
        <v>0</v>
      </c>
      <c r="F776" s="1">
        <v>69</v>
      </c>
      <c r="G776" s="1">
        <v>455.42</v>
      </c>
      <c r="H776" s="1">
        <v>4254.1890000000003</v>
      </c>
      <c r="I776" s="1">
        <v>-4504.7809999999999</v>
      </c>
    </row>
    <row r="777" spans="1:9" hidden="1" x14ac:dyDescent="0.25">
      <c r="A777" s="1" t="s">
        <v>127</v>
      </c>
      <c r="B777" s="1" t="s">
        <v>216</v>
      </c>
      <c r="C777" s="1" t="s">
        <v>3</v>
      </c>
      <c r="D777" s="1">
        <v>775.32</v>
      </c>
      <c r="E777" s="1">
        <v>0</v>
      </c>
      <c r="F777" s="1">
        <v>69</v>
      </c>
      <c r="G777" s="1">
        <v>455.42</v>
      </c>
      <c r="H777" s="1">
        <v>4192.37</v>
      </c>
      <c r="I777" s="1">
        <v>-4651.9070000000002</v>
      </c>
    </row>
    <row r="778" spans="1:9" hidden="1" x14ac:dyDescent="0.25">
      <c r="A778" s="1" t="s">
        <v>9</v>
      </c>
      <c r="B778" s="1" t="s">
        <v>216</v>
      </c>
      <c r="C778" s="1" t="s">
        <v>143</v>
      </c>
      <c r="D778" s="1">
        <v>1009.24</v>
      </c>
      <c r="E778" s="1">
        <v>0</v>
      </c>
      <c r="F778" s="1">
        <v>76.84</v>
      </c>
      <c r="G778" s="1">
        <v>507.14100000000002</v>
      </c>
      <c r="H778" s="1">
        <v>5595.88</v>
      </c>
      <c r="I778" s="1">
        <v>-6055.4170000000004</v>
      </c>
    </row>
    <row r="779" spans="1:9" hidden="1" x14ac:dyDescent="0.25">
      <c r="A779" s="1" t="s">
        <v>9</v>
      </c>
      <c r="B779" s="1" t="s">
        <v>216</v>
      </c>
      <c r="C779" s="1" t="s">
        <v>3</v>
      </c>
      <c r="D779" s="1">
        <v>1033.76</v>
      </c>
      <c r="E779" s="1">
        <v>0</v>
      </c>
      <c r="F779" s="1">
        <v>76.84</v>
      </c>
      <c r="G779" s="1">
        <v>507.14100000000002</v>
      </c>
      <c r="H779" s="1">
        <v>5507.5910000000003</v>
      </c>
      <c r="I779" s="1">
        <v>-6202.5429999999997</v>
      </c>
    </row>
    <row r="780" spans="1:9" hidden="1" x14ac:dyDescent="0.25">
      <c r="A780" s="1" t="s">
        <v>10</v>
      </c>
      <c r="B780" s="1" t="s">
        <v>216</v>
      </c>
      <c r="C780" s="1" t="s">
        <v>143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</row>
    <row r="781" spans="1:9" hidden="1" x14ac:dyDescent="0.25">
      <c r="A781" s="1" t="s">
        <v>10</v>
      </c>
      <c r="B781" s="1" t="s">
        <v>216</v>
      </c>
      <c r="C781" s="1" t="s">
        <v>3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</row>
    <row r="782" spans="1:9" hidden="1" x14ac:dyDescent="0.25">
      <c r="A782" s="1" t="s">
        <v>125</v>
      </c>
      <c r="B782" s="1" t="s">
        <v>217</v>
      </c>
      <c r="C782" s="1" t="s">
        <v>143</v>
      </c>
      <c r="D782" s="1">
        <v>233.92</v>
      </c>
      <c r="E782" s="1">
        <v>0</v>
      </c>
      <c r="F782" s="1">
        <v>29.82</v>
      </c>
      <c r="G782" s="1">
        <v>161.03399999999999</v>
      </c>
      <c r="H782" s="1">
        <v>1403.51</v>
      </c>
      <c r="I782" s="1">
        <v>-1403.51</v>
      </c>
    </row>
    <row r="783" spans="1:9" hidden="1" x14ac:dyDescent="0.25">
      <c r="A783" s="1" t="s">
        <v>125</v>
      </c>
      <c r="B783" s="1" t="s">
        <v>217</v>
      </c>
      <c r="C783" s="1" t="s">
        <v>3</v>
      </c>
      <c r="D783" s="1">
        <v>258.44</v>
      </c>
      <c r="E783" s="1">
        <v>0</v>
      </c>
      <c r="F783" s="1">
        <v>29.82</v>
      </c>
      <c r="G783" s="1">
        <v>161.03399999999999</v>
      </c>
      <c r="H783" s="1">
        <v>1460.9159999999999</v>
      </c>
      <c r="I783" s="1">
        <v>-1550.636</v>
      </c>
    </row>
    <row r="784" spans="1:9" hidden="1" x14ac:dyDescent="0.25">
      <c r="A784" s="1" t="s">
        <v>126</v>
      </c>
      <c r="B784" s="1" t="s">
        <v>217</v>
      </c>
      <c r="C784" s="1" t="s">
        <v>143</v>
      </c>
      <c r="D784" s="1">
        <v>492.36</v>
      </c>
      <c r="E784" s="1">
        <v>0</v>
      </c>
      <c r="F784" s="1">
        <v>53.33</v>
      </c>
      <c r="G784" s="1">
        <v>287.98399999999998</v>
      </c>
      <c r="H784" s="1">
        <v>2864.4259999999999</v>
      </c>
      <c r="I784" s="1">
        <v>-2954.1460000000002</v>
      </c>
    </row>
    <row r="785" spans="1:9" hidden="1" x14ac:dyDescent="0.25">
      <c r="A785" s="1" t="s">
        <v>126</v>
      </c>
      <c r="B785" s="1" t="s">
        <v>217</v>
      </c>
      <c r="C785" s="1" t="s">
        <v>3</v>
      </c>
      <c r="D785" s="1">
        <v>516.88</v>
      </c>
      <c r="E785" s="1">
        <v>0</v>
      </c>
      <c r="F785" s="1">
        <v>53.33</v>
      </c>
      <c r="G785" s="1">
        <v>287.98399999999998</v>
      </c>
      <c r="H785" s="1">
        <v>2850.6790000000001</v>
      </c>
      <c r="I785" s="1">
        <v>-3101.2710000000002</v>
      </c>
    </row>
    <row r="786" spans="1:9" hidden="1" x14ac:dyDescent="0.25">
      <c r="A786" s="1" t="s">
        <v>127</v>
      </c>
      <c r="B786" s="1" t="s">
        <v>217</v>
      </c>
      <c r="C786" s="1" t="s">
        <v>143</v>
      </c>
      <c r="D786" s="1">
        <v>750.8</v>
      </c>
      <c r="E786" s="1">
        <v>0</v>
      </c>
      <c r="F786" s="1">
        <v>69</v>
      </c>
      <c r="G786" s="1">
        <v>372.61700000000002</v>
      </c>
      <c r="H786" s="1">
        <v>4254.1890000000003</v>
      </c>
      <c r="I786" s="1">
        <v>-4504.7809999999999</v>
      </c>
    </row>
    <row r="787" spans="1:9" hidden="1" x14ac:dyDescent="0.25">
      <c r="A787" s="1" t="s">
        <v>127</v>
      </c>
      <c r="B787" s="1" t="s">
        <v>217</v>
      </c>
      <c r="C787" s="1" t="s">
        <v>3</v>
      </c>
      <c r="D787" s="1">
        <v>775.32</v>
      </c>
      <c r="E787" s="1">
        <v>0</v>
      </c>
      <c r="F787" s="1">
        <v>69</v>
      </c>
      <c r="G787" s="1">
        <v>372.61700000000002</v>
      </c>
      <c r="H787" s="1">
        <v>4192.37</v>
      </c>
      <c r="I787" s="1">
        <v>-4651.9070000000002</v>
      </c>
    </row>
    <row r="788" spans="1:9" hidden="1" x14ac:dyDescent="0.25">
      <c r="A788" s="1" t="s">
        <v>9</v>
      </c>
      <c r="B788" s="1" t="s">
        <v>217</v>
      </c>
      <c r="C788" s="1" t="s">
        <v>143</v>
      </c>
      <c r="D788" s="1">
        <v>1009.24</v>
      </c>
      <c r="E788" s="1">
        <v>0</v>
      </c>
      <c r="F788" s="1">
        <v>76.84</v>
      </c>
      <c r="G788" s="1">
        <v>414.93299999999999</v>
      </c>
      <c r="H788" s="1">
        <v>5595.88</v>
      </c>
      <c r="I788" s="1">
        <v>-6055.4170000000004</v>
      </c>
    </row>
    <row r="789" spans="1:9" hidden="1" x14ac:dyDescent="0.25">
      <c r="A789" s="1" t="s">
        <v>9</v>
      </c>
      <c r="B789" s="1" t="s">
        <v>217</v>
      </c>
      <c r="C789" s="1" t="s">
        <v>3</v>
      </c>
      <c r="D789" s="1">
        <v>1033.76</v>
      </c>
      <c r="E789" s="1">
        <v>0</v>
      </c>
      <c r="F789" s="1">
        <v>76.84</v>
      </c>
      <c r="G789" s="1">
        <v>414.93299999999999</v>
      </c>
      <c r="H789" s="1">
        <v>5507.5910000000003</v>
      </c>
      <c r="I789" s="1">
        <v>-6202.5429999999997</v>
      </c>
    </row>
    <row r="790" spans="1:9" hidden="1" x14ac:dyDescent="0.25">
      <c r="A790" s="1" t="s">
        <v>10</v>
      </c>
      <c r="B790" s="1" t="s">
        <v>217</v>
      </c>
      <c r="C790" s="1" t="s">
        <v>143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</row>
    <row r="791" spans="1:9" hidden="1" x14ac:dyDescent="0.25">
      <c r="A791" s="1" t="s">
        <v>10</v>
      </c>
      <c r="B791" s="1" t="s">
        <v>217</v>
      </c>
      <c r="C791" s="1" t="s">
        <v>3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</row>
    <row r="792" spans="1:9" hidden="1" x14ac:dyDescent="0.25">
      <c r="A792" s="1" t="s">
        <v>125</v>
      </c>
      <c r="B792" s="1" t="s">
        <v>218</v>
      </c>
      <c r="C792" s="1" t="s">
        <v>143</v>
      </c>
      <c r="D792" s="1">
        <v>167.08</v>
      </c>
      <c r="E792" s="1">
        <v>-29.82</v>
      </c>
      <c r="F792" s="1">
        <v>0</v>
      </c>
      <c r="G792" s="1">
        <v>196.81899999999999</v>
      </c>
      <c r="H792" s="1">
        <v>1002.5069999999999</v>
      </c>
      <c r="I792" s="1">
        <v>-1002.5069999999999</v>
      </c>
    </row>
    <row r="793" spans="1:9" hidden="1" x14ac:dyDescent="0.25">
      <c r="A793" s="1" t="s">
        <v>125</v>
      </c>
      <c r="B793" s="1" t="s">
        <v>218</v>
      </c>
      <c r="C793" s="1" t="s">
        <v>3</v>
      </c>
      <c r="D793" s="1">
        <v>184.6</v>
      </c>
      <c r="E793" s="1">
        <v>-29.82</v>
      </c>
      <c r="F793" s="1">
        <v>0</v>
      </c>
      <c r="G793" s="1">
        <v>196.81899999999999</v>
      </c>
      <c r="H793" s="1">
        <v>1107.597</v>
      </c>
      <c r="I793" s="1">
        <v>-1197.317</v>
      </c>
    </row>
    <row r="794" spans="1:9" hidden="1" x14ac:dyDescent="0.25">
      <c r="A794" s="1" t="s">
        <v>126</v>
      </c>
      <c r="B794" s="1" t="s">
        <v>218</v>
      </c>
      <c r="C794" s="1" t="s">
        <v>143</v>
      </c>
      <c r="D794" s="1">
        <v>351.68</v>
      </c>
      <c r="E794" s="1">
        <v>-53.33</v>
      </c>
      <c r="F794" s="1">
        <v>0</v>
      </c>
      <c r="G794" s="1">
        <v>351.98</v>
      </c>
      <c r="H794" s="1">
        <v>2110.1039999999998</v>
      </c>
      <c r="I794" s="1">
        <v>-2199.8240000000001</v>
      </c>
    </row>
    <row r="795" spans="1:9" hidden="1" x14ac:dyDescent="0.25">
      <c r="A795" s="1" t="s">
        <v>126</v>
      </c>
      <c r="B795" s="1" t="s">
        <v>218</v>
      </c>
      <c r="C795" s="1" t="s">
        <v>3</v>
      </c>
      <c r="D795" s="1">
        <v>369.2</v>
      </c>
      <c r="E795" s="1">
        <v>-53.33</v>
      </c>
      <c r="F795" s="1">
        <v>0</v>
      </c>
      <c r="G795" s="1">
        <v>351.98</v>
      </c>
      <c r="H795" s="1">
        <v>2215.194</v>
      </c>
      <c r="I795" s="1">
        <v>-2465.7860000000001</v>
      </c>
    </row>
    <row r="796" spans="1:9" hidden="1" x14ac:dyDescent="0.25">
      <c r="A796" s="1" t="s">
        <v>127</v>
      </c>
      <c r="B796" s="1" t="s">
        <v>218</v>
      </c>
      <c r="C796" s="1" t="s">
        <v>143</v>
      </c>
      <c r="D796" s="1">
        <v>536.28</v>
      </c>
      <c r="E796" s="1">
        <v>-69</v>
      </c>
      <c r="F796" s="1">
        <v>0</v>
      </c>
      <c r="G796" s="1">
        <v>455.42</v>
      </c>
      <c r="H796" s="1">
        <v>3217.701</v>
      </c>
      <c r="I796" s="1">
        <v>-3468.2930000000001</v>
      </c>
    </row>
    <row r="797" spans="1:9" hidden="1" x14ac:dyDescent="0.25">
      <c r="A797" s="1" t="s">
        <v>127</v>
      </c>
      <c r="B797" s="1" t="s">
        <v>218</v>
      </c>
      <c r="C797" s="1" t="s">
        <v>3</v>
      </c>
      <c r="D797" s="1">
        <v>553.79999999999995</v>
      </c>
      <c r="E797" s="1">
        <v>-69</v>
      </c>
      <c r="F797" s="1">
        <v>0</v>
      </c>
      <c r="G797" s="1">
        <v>455.42</v>
      </c>
      <c r="H797" s="1">
        <v>3322.7910000000002</v>
      </c>
      <c r="I797" s="1">
        <v>-3782.328</v>
      </c>
    </row>
    <row r="798" spans="1:9" hidden="1" x14ac:dyDescent="0.25">
      <c r="A798" s="1" t="s">
        <v>9</v>
      </c>
      <c r="B798" s="1" t="s">
        <v>218</v>
      </c>
      <c r="C798" s="1" t="s">
        <v>143</v>
      </c>
      <c r="D798" s="1">
        <v>720.88</v>
      </c>
      <c r="E798" s="1">
        <v>-76.84</v>
      </c>
      <c r="F798" s="1">
        <v>0</v>
      </c>
      <c r="G798" s="1">
        <v>507.14100000000002</v>
      </c>
      <c r="H798" s="1">
        <v>4325.2979999999998</v>
      </c>
      <c r="I798" s="1">
        <v>-4784.835</v>
      </c>
    </row>
    <row r="799" spans="1:9" hidden="1" x14ac:dyDescent="0.25">
      <c r="A799" s="1" t="s">
        <v>9</v>
      </c>
      <c r="B799" s="1" t="s">
        <v>218</v>
      </c>
      <c r="C799" s="1" t="s">
        <v>3</v>
      </c>
      <c r="D799" s="1">
        <v>738.4</v>
      </c>
      <c r="E799" s="1">
        <v>-76.84</v>
      </c>
      <c r="F799" s="1">
        <v>0</v>
      </c>
      <c r="G799" s="1">
        <v>507.14100000000002</v>
      </c>
      <c r="H799" s="1">
        <v>4430.3879999999999</v>
      </c>
      <c r="I799" s="1">
        <v>-5125.3389999999999</v>
      </c>
    </row>
    <row r="800" spans="1:9" hidden="1" x14ac:dyDescent="0.25">
      <c r="A800" s="1" t="s">
        <v>10</v>
      </c>
      <c r="B800" s="1" t="s">
        <v>218</v>
      </c>
      <c r="C800" s="1" t="s">
        <v>143</v>
      </c>
      <c r="D800" s="1">
        <v>0</v>
      </c>
      <c r="E800" s="1">
        <v>0</v>
      </c>
      <c r="F800" s="1">
        <v>0</v>
      </c>
      <c r="G800" s="1">
        <v>0</v>
      </c>
      <c r="H800" s="1">
        <v>0</v>
      </c>
      <c r="I800" s="1">
        <v>0</v>
      </c>
    </row>
    <row r="801" spans="1:9" hidden="1" x14ac:dyDescent="0.25">
      <c r="A801" s="1" t="s">
        <v>10</v>
      </c>
      <c r="B801" s="1" t="s">
        <v>218</v>
      </c>
      <c r="C801" s="1" t="s">
        <v>3</v>
      </c>
      <c r="D801" s="1">
        <v>0</v>
      </c>
      <c r="E801" s="1">
        <v>0</v>
      </c>
      <c r="F801" s="1">
        <v>0</v>
      </c>
      <c r="G801" s="1">
        <v>0</v>
      </c>
      <c r="H801" s="1">
        <v>0</v>
      </c>
      <c r="I801" s="1">
        <v>0</v>
      </c>
    </row>
    <row r="802" spans="1:9" hidden="1" x14ac:dyDescent="0.25">
      <c r="A802" s="1" t="s">
        <v>125</v>
      </c>
      <c r="B802" s="1" t="s">
        <v>219</v>
      </c>
      <c r="C802" s="1" t="s">
        <v>143</v>
      </c>
      <c r="D802" s="1">
        <v>167.08</v>
      </c>
      <c r="E802" s="1">
        <v>-29.82</v>
      </c>
      <c r="F802" s="1">
        <v>0</v>
      </c>
      <c r="G802" s="1">
        <v>161.03399999999999</v>
      </c>
      <c r="H802" s="1">
        <v>1002.5069999999999</v>
      </c>
      <c r="I802" s="1">
        <v>-1002.5069999999999</v>
      </c>
    </row>
    <row r="803" spans="1:9" hidden="1" x14ac:dyDescent="0.25">
      <c r="A803" s="1" t="s">
        <v>125</v>
      </c>
      <c r="B803" s="1" t="s">
        <v>219</v>
      </c>
      <c r="C803" s="1" t="s">
        <v>3</v>
      </c>
      <c r="D803" s="1">
        <v>184.6</v>
      </c>
      <c r="E803" s="1">
        <v>-29.82</v>
      </c>
      <c r="F803" s="1">
        <v>0</v>
      </c>
      <c r="G803" s="1">
        <v>161.03399999999999</v>
      </c>
      <c r="H803" s="1">
        <v>1107.597</v>
      </c>
      <c r="I803" s="1">
        <v>-1197.317</v>
      </c>
    </row>
    <row r="804" spans="1:9" hidden="1" x14ac:dyDescent="0.25">
      <c r="A804" s="1" t="s">
        <v>126</v>
      </c>
      <c r="B804" s="1" t="s">
        <v>219</v>
      </c>
      <c r="C804" s="1" t="s">
        <v>143</v>
      </c>
      <c r="D804" s="1">
        <v>351.68</v>
      </c>
      <c r="E804" s="1">
        <v>-53.33</v>
      </c>
      <c r="F804" s="1">
        <v>0</v>
      </c>
      <c r="G804" s="1">
        <v>287.98399999999998</v>
      </c>
      <c r="H804" s="1">
        <v>2110.1039999999998</v>
      </c>
      <c r="I804" s="1">
        <v>-2199.8240000000001</v>
      </c>
    </row>
    <row r="805" spans="1:9" hidden="1" x14ac:dyDescent="0.25">
      <c r="A805" s="1" t="s">
        <v>126</v>
      </c>
      <c r="B805" s="1" t="s">
        <v>219</v>
      </c>
      <c r="C805" s="1" t="s">
        <v>3</v>
      </c>
      <c r="D805" s="1">
        <v>369.2</v>
      </c>
      <c r="E805" s="1">
        <v>-53.33</v>
      </c>
      <c r="F805" s="1">
        <v>0</v>
      </c>
      <c r="G805" s="1">
        <v>287.98399999999998</v>
      </c>
      <c r="H805" s="1">
        <v>2215.194</v>
      </c>
      <c r="I805" s="1">
        <v>-2465.7860000000001</v>
      </c>
    </row>
    <row r="806" spans="1:9" hidden="1" x14ac:dyDescent="0.25">
      <c r="A806" s="1" t="s">
        <v>127</v>
      </c>
      <c r="B806" s="1" t="s">
        <v>219</v>
      </c>
      <c r="C806" s="1" t="s">
        <v>143</v>
      </c>
      <c r="D806" s="1">
        <v>536.28</v>
      </c>
      <c r="E806" s="1">
        <v>-69</v>
      </c>
      <c r="F806" s="1">
        <v>0</v>
      </c>
      <c r="G806" s="1">
        <v>372.61700000000002</v>
      </c>
      <c r="H806" s="1">
        <v>3217.701</v>
      </c>
      <c r="I806" s="1">
        <v>-3468.2930000000001</v>
      </c>
    </row>
    <row r="807" spans="1:9" hidden="1" x14ac:dyDescent="0.25">
      <c r="A807" s="1" t="s">
        <v>127</v>
      </c>
      <c r="B807" s="1" t="s">
        <v>219</v>
      </c>
      <c r="C807" s="1" t="s">
        <v>3</v>
      </c>
      <c r="D807" s="1">
        <v>553.79999999999995</v>
      </c>
      <c r="E807" s="1">
        <v>-69</v>
      </c>
      <c r="F807" s="1">
        <v>0</v>
      </c>
      <c r="G807" s="1">
        <v>372.61700000000002</v>
      </c>
      <c r="H807" s="1">
        <v>3322.7910000000002</v>
      </c>
      <c r="I807" s="1">
        <v>-3782.328</v>
      </c>
    </row>
    <row r="808" spans="1:9" hidden="1" x14ac:dyDescent="0.25">
      <c r="A808" s="1" t="s">
        <v>9</v>
      </c>
      <c r="B808" s="1" t="s">
        <v>219</v>
      </c>
      <c r="C808" s="1" t="s">
        <v>143</v>
      </c>
      <c r="D808" s="1">
        <v>720.88</v>
      </c>
      <c r="E808" s="1">
        <v>-76.84</v>
      </c>
      <c r="F808" s="1">
        <v>0</v>
      </c>
      <c r="G808" s="1">
        <v>414.93299999999999</v>
      </c>
      <c r="H808" s="1">
        <v>4325.2979999999998</v>
      </c>
      <c r="I808" s="1">
        <v>-4784.835</v>
      </c>
    </row>
    <row r="809" spans="1:9" hidden="1" x14ac:dyDescent="0.25">
      <c r="A809" s="1" t="s">
        <v>9</v>
      </c>
      <c r="B809" s="1" t="s">
        <v>219</v>
      </c>
      <c r="C809" s="1" t="s">
        <v>3</v>
      </c>
      <c r="D809" s="1">
        <v>738.4</v>
      </c>
      <c r="E809" s="1">
        <v>-76.84</v>
      </c>
      <c r="F809" s="1">
        <v>0</v>
      </c>
      <c r="G809" s="1">
        <v>414.93299999999999</v>
      </c>
      <c r="H809" s="1">
        <v>4430.3879999999999</v>
      </c>
      <c r="I809" s="1">
        <v>-5125.3389999999999</v>
      </c>
    </row>
    <row r="810" spans="1:9" hidden="1" x14ac:dyDescent="0.25">
      <c r="A810" s="1" t="s">
        <v>10</v>
      </c>
      <c r="B810" s="1" t="s">
        <v>219</v>
      </c>
      <c r="C810" s="1" t="s">
        <v>143</v>
      </c>
      <c r="D810" s="1">
        <v>0</v>
      </c>
      <c r="E810" s="1">
        <v>0</v>
      </c>
      <c r="F810" s="1">
        <v>0</v>
      </c>
      <c r="G810" s="1">
        <v>0</v>
      </c>
      <c r="H810" s="1">
        <v>0</v>
      </c>
      <c r="I810" s="1">
        <v>0</v>
      </c>
    </row>
    <row r="811" spans="1:9" hidden="1" x14ac:dyDescent="0.25">
      <c r="A811" s="1" t="s">
        <v>10</v>
      </c>
      <c r="B811" s="1" t="s">
        <v>219</v>
      </c>
      <c r="C811" s="1" t="s">
        <v>3</v>
      </c>
      <c r="D811" s="1">
        <v>0</v>
      </c>
      <c r="E811" s="1">
        <v>0</v>
      </c>
      <c r="F811" s="1">
        <v>0</v>
      </c>
      <c r="G811" s="1">
        <v>0</v>
      </c>
      <c r="H811" s="1">
        <v>0</v>
      </c>
      <c r="I811" s="1">
        <v>0</v>
      </c>
    </row>
    <row r="812" spans="1:9" hidden="1" x14ac:dyDescent="0.25">
      <c r="A812" s="1" t="s">
        <v>125</v>
      </c>
      <c r="B812" s="1" t="s">
        <v>220</v>
      </c>
      <c r="C812" s="1" t="s">
        <v>143</v>
      </c>
      <c r="D812" s="1">
        <v>167.08</v>
      </c>
      <c r="E812" s="1">
        <v>29.82</v>
      </c>
      <c r="F812" s="1">
        <v>0</v>
      </c>
      <c r="G812" s="1">
        <v>-196.81899999999999</v>
      </c>
      <c r="H812" s="1">
        <v>1002.5069999999999</v>
      </c>
      <c r="I812" s="1">
        <v>-1002.5069999999999</v>
      </c>
    </row>
    <row r="813" spans="1:9" hidden="1" x14ac:dyDescent="0.25">
      <c r="A813" s="1" t="s">
        <v>125</v>
      </c>
      <c r="B813" s="1" t="s">
        <v>220</v>
      </c>
      <c r="C813" s="1" t="s">
        <v>3</v>
      </c>
      <c r="D813" s="1">
        <v>184.6</v>
      </c>
      <c r="E813" s="1">
        <v>29.82</v>
      </c>
      <c r="F813" s="1">
        <v>0</v>
      </c>
      <c r="G813" s="1">
        <v>-196.81899999999999</v>
      </c>
      <c r="H813" s="1">
        <v>1107.597</v>
      </c>
      <c r="I813" s="1">
        <v>-1017.877</v>
      </c>
    </row>
    <row r="814" spans="1:9" hidden="1" x14ac:dyDescent="0.25">
      <c r="A814" s="1" t="s">
        <v>126</v>
      </c>
      <c r="B814" s="1" t="s">
        <v>220</v>
      </c>
      <c r="C814" s="1" t="s">
        <v>143</v>
      </c>
      <c r="D814" s="1">
        <v>351.68</v>
      </c>
      <c r="E814" s="1">
        <v>53.33</v>
      </c>
      <c r="F814" s="1">
        <v>0</v>
      </c>
      <c r="G814" s="1">
        <v>-351.98</v>
      </c>
      <c r="H814" s="1">
        <v>2110.1039999999998</v>
      </c>
      <c r="I814" s="1">
        <v>-2020.384</v>
      </c>
    </row>
    <row r="815" spans="1:9" hidden="1" x14ac:dyDescent="0.25">
      <c r="A815" s="1" t="s">
        <v>126</v>
      </c>
      <c r="B815" s="1" t="s">
        <v>220</v>
      </c>
      <c r="C815" s="1" t="s">
        <v>3</v>
      </c>
      <c r="D815" s="1">
        <v>369.2</v>
      </c>
      <c r="E815" s="1">
        <v>53.33</v>
      </c>
      <c r="F815" s="1">
        <v>0</v>
      </c>
      <c r="G815" s="1">
        <v>-351.98</v>
      </c>
      <c r="H815" s="1">
        <v>2215.194</v>
      </c>
      <c r="I815" s="1">
        <v>-1964.6020000000001</v>
      </c>
    </row>
    <row r="816" spans="1:9" hidden="1" x14ac:dyDescent="0.25">
      <c r="A816" s="1" t="s">
        <v>127</v>
      </c>
      <c r="B816" s="1" t="s">
        <v>220</v>
      </c>
      <c r="C816" s="1" t="s">
        <v>143</v>
      </c>
      <c r="D816" s="1">
        <v>536.28</v>
      </c>
      <c r="E816" s="1">
        <v>69</v>
      </c>
      <c r="F816" s="1">
        <v>0</v>
      </c>
      <c r="G816" s="1">
        <v>-455.42</v>
      </c>
      <c r="H816" s="1">
        <v>3217.701</v>
      </c>
      <c r="I816" s="1">
        <v>-2967.1089999999999</v>
      </c>
    </row>
    <row r="817" spans="1:9" hidden="1" x14ac:dyDescent="0.25">
      <c r="A817" s="1" t="s">
        <v>127</v>
      </c>
      <c r="B817" s="1" t="s">
        <v>220</v>
      </c>
      <c r="C817" s="1" t="s">
        <v>3</v>
      </c>
      <c r="D817" s="1">
        <v>553.79999999999995</v>
      </c>
      <c r="E817" s="1">
        <v>69</v>
      </c>
      <c r="F817" s="1">
        <v>0</v>
      </c>
      <c r="G817" s="1">
        <v>-455.42</v>
      </c>
      <c r="H817" s="1">
        <v>3322.7910000000002</v>
      </c>
      <c r="I817" s="1">
        <v>-2863.2539999999999</v>
      </c>
    </row>
    <row r="818" spans="1:9" hidden="1" x14ac:dyDescent="0.25">
      <c r="A818" s="1" t="s">
        <v>9</v>
      </c>
      <c r="B818" s="1" t="s">
        <v>220</v>
      </c>
      <c r="C818" s="1" t="s">
        <v>143</v>
      </c>
      <c r="D818" s="1">
        <v>720.88</v>
      </c>
      <c r="E818" s="1">
        <v>76.84</v>
      </c>
      <c r="F818" s="1">
        <v>0</v>
      </c>
      <c r="G818" s="1">
        <v>-507.14100000000002</v>
      </c>
      <c r="H818" s="1">
        <v>4325.2979999999998</v>
      </c>
      <c r="I818" s="1">
        <v>-3865.761</v>
      </c>
    </row>
    <row r="819" spans="1:9" hidden="1" x14ac:dyDescent="0.25">
      <c r="A819" s="1" t="s">
        <v>9</v>
      </c>
      <c r="B819" s="1" t="s">
        <v>220</v>
      </c>
      <c r="C819" s="1" t="s">
        <v>3</v>
      </c>
      <c r="D819" s="1">
        <v>738.4</v>
      </c>
      <c r="E819" s="1">
        <v>76.84</v>
      </c>
      <c r="F819" s="1">
        <v>0</v>
      </c>
      <c r="G819" s="1">
        <v>-507.14100000000002</v>
      </c>
      <c r="H819" s="1">
        <v>4430.3879999999999</v>
      </c>
      <c r="I819" s="1">
        <v>-3735.4360000000001</v>
      </c>
    </row>
    <row r="820" spans="1:9" hidden="1" x14ac:dyDescent="0.25">
      <c r="A820" s="1" t="s">
        <v>10</v>
      </c>
      <c r="B820" s="1" t="s">
        <v>220</v>
      </c>
      <c r="C820" s="1" t="s">
        <v>143</v>
      </c>
      <c r="D820" s="1">
        <v>0</v>
      </c>
      <c r="E820" s="1">
        <v>0</v>
      </c>
      <c r="F820" s="1">
        <v>0</v>
      </c>
      <c r="G820" s="1">
        <v>0</v>
      </c>
      <c r="H820" s="1">
        <v>0</v>
      </c>
      <c r="I820" s="1">
        <v>0</v>
      </c>
    </row>
    <row r="821" spans="1:9" hidden="1" x14ac:dyDescent="0.25">
      <c r="A821" s="1" t="s">
        <v>10</v>
      </c>
      <c r="B821" s="1" t="s">
        <v>220</v>
      </c>
      <c r="C821" s="1" t="s">
        <v>3</v>
      </c>
      <c r="D821" s="1">
        <v>0</v>
      </c>
      <c r="E821" s="1">
        <v>0</v>
      </c>
      <c r="F821" s="1">
        <v>0</v>
      </c>
      <c r="G821" s="1">
        <v>0</v>
      </c>
      <c r="H821" s="1">
        <v>0</v>
      </c>
      <c r="I821" s="1">
        <v>0</v>
      </c>
    </row>
    <row r="822" spans="1:9" hidden="1" x14ac:dyDescent="0.25">
      <c r="A822" s="1" t="s">
        <v>125</v>
      </c>
      <c r="B822" s="1" t="s">
        <v>221</v>
      </c>
      <c r="C822" s="1" t="s">
        <v>143</v>
      </c>
      <c r="D822" s="1">
        <v>167.08</v>
      </c>
      <c r="E822" s="1">
        <v>29.82</v>
      </c>
      <c r="F822" s="1">
        <v>0</v>
      </c>
      <c r="G822" s="1">
        <v>-161.03399999999999</v>
      </c>
      <c r="H822" s="1">
        <v>1002.5069999999999</v>
      </c>
      <c r="I822" s="1">
        <v>-1002.5069999999999</v>
      </c>
    </row>
    <row r="823" spans="1:9" hidden="1" x14ac:dyDescent="0.25">
      <c r="A823" s="1" t="s">
        <v>125</v>
      </c>
      <c r="B823" s="1" t="s">
        <v>221</v>
      </c>
      <c r="C823" s="1" t="s">
        <v>3</v>
      </c>
      <c r="D823" s="1">
        <v>184.6</v>
      </c>
      <c r="E823" s="1">
        <v>29.82</v>
      </c>
      <c r="F823" s="1">
        <v>0</v>
      </c>
      <c r="G823" s="1">
        <v>-161.03399999999999</v>
      </c>
      <c r="H823" s="1">
        <v>1107.597</v>
      </c>
      <c r="I823" s="1">
        <v>-1017.877</v>
      </c>
    </row>
    <row r="824" spans="1:9" hidden="1" x14ac:dyDescent="0.25">
      <c r="A824" s="1" t="s">
        <v>126</v>
      </c>
      <c r="B824" s="1" t="s">
        <v>221</v>
      </c>
      <c r="C824" s="1" t="s">
        <v>143</v>
      </c>
      <c r="D824" s="1">
        <v>351.68</v>
      </c>
      <c r="E824" s="1">
        <v>53.33</v>
      </c>
      <c r="F824" s="1">
        <v>0</v>
      </c>
      <c r="G824" s="1">
        <v>-287.98399999999998</v>
      </c>
      <c r="H824" s="1">
        <v>2110.1039999999998</v>
      </c>
      <c r="I824" s="1">
        <v>-2020.384</v>
      </c>
    </row>
    <row r="825" spans="1:9" hidden="1" x14ac:dyDescent="0.25">
      <c r="A825" s="1" t="s">
        <v>126</v>
      </c>
      <c r="B825" s="1" t="s">
        <v>221</v>
      </c>
      <c r="C825" s="1" t="s">
        <v>3</v>
      </c>
      <c r="D825" s="1">
        <v>369.2</v>
      </c>
      <c r="E825" s="1">
        <v>53.33</v>
      </c>
      <c r="F825" s="1">
        <v>0</v>
      </c>
      <c r="G825" s="1">
        <v>-287.98399999999998</v>
      </c>
      <c r="H825" s="1">
        <v>2215.194</v>
      </c>
      <c r="I825" s="1">
        <v>-1964.6020000000001</v>
      </c>
    </row>
    <row r="826" spans="1:9" hidden="1" x14ac:dyDescent="0.25">
      <c r="A826" s="1" t="s">
        <v>127</v>
      </c>
      <c r="B826" s="1" t="s">
        <v>221</v>
      </c>
      <c r="C826" s="1" t="s">
        <v>143</v>
      </c>
      <c r="D826" s="1">
        <v>536.28</v>
      </c>
      <c r="E826" s="1">
        <v>69</v>
      </c>
      <c r="F826" s="1">
        <v>0</v>
      </c>
      <c r="G826" s="1">
        <v>-372.61700000000002</v>
      </c>
      <c r="H826" s="1">
        <v>3217.701</v>
      </c>
      <c r="I826" s="1">
        <v>-2967.1089999999999</v>
      </c>
    </row>
    <row r="827" spans="1:9" hidden="1" x14ac:dyDescent="0.25">
      <c r="A827" s="1" t="s">
        <v>127</v>
      </c>
      <c r="B827" s="1" t="s">
        <v>221</v>
      </c>
      <c r="C827" s="1" t="s">
        <v>3</v>
      </c>
      <c r="D827" s="1">
        <v>553.79999999999995</v>
      </c>
      <c r="E827" s="1">
        <v>69</v>
      </c>
      <c r="F827" s="1">
        <v>0</v>
      </c>
      <c r="G827" s="1">
        <v>-372.61700000000002</v>
      </c>
      <c r="H827" s="1">
        <v>3322.7910000000002</v>
      </c>
      <c r="I827" s="1">
        <v>-2863.2539999999999</v>
      </c>
    </row>
    <row r="828" spans="1:9" hidden="1" x14ac:dyDescent="0.25">
      <c r="A828" s="1" t="s">
        <v>9</v>
      </c>
      <c r="B828" s="1" t="s">
        <v>221</v>
      </c>
      <c r="C828" s="1" t="s">
        <v>143</v>
      </c>
      <c r="D828" s="1">
        <v>720.88</v>
      </c>
      <c r="E828" s="1">
        <v>76.84</v>
      </c>
      <c r="F828" s="1">
        <v>0</v>
      </c>
      <c r="G828" s="1">
        <v>-414.93299999999999</v>
      </c>
      <c r="H828" s="1">
        <v>4325.2979999999998</v>
      </c>
      <c r="I828" s="1">
        <v>-3865.761</v>
      </c>
    </row>
    <row r="829" spans="1:9" hidden="1" x14ac:dyDescent="0.25">
      <c r="A829" s="1" t="s">
        <v>9</v>
      </c>
      <c r="B829" s="1" t="s">
        <v>221</v>
      </c>
      <c r="C829" s="1" t="s">
        <v>3</v>
      </c>
      <c r="D829" s="1">
        <v>738.4</v>
      </c>
      <c r="E829" s="1">
        <v>76.84</v>
      </c>
      <c r="F829" s="1">
        <v>0</v>
      </c>
      <c r="G829" s="1">
        <v>-414.93299999999999</v>
      </c>
      <c r="H829" s="1">
        <v>4430.3879999999999</v>
      </c>
      <c r="I829" s="1">
        <v>-3735.4360000000001</v>
      </c>
    </row>
    <row r="830" spans="1:9" hidden="1" x14ac:dyDescent="0.25">
      <c r="A830" s="1" t="s">
        <v>10</v>
      </c>
      <c r="B830" s="1" t="s">
        <v>221</v>
      </c>
      <c r="C830" s="1" t="s">
        <v>143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10</v>
      </c>
      <c r="B831" s="1" t="s">
        <v>221</v>
      </c>
      <c r="C831" s="1" t="s">
        <v>3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125</v>
      </c>
      <c r="B832" s="1" t="s">
        <v>222</v>
      </c>
      <c r="C832" s="1" t="s">
        <v>143</v>
      </c>
      <c r="D832" s="1">
        <v>167.08</v>
      </c>
      <c r="E832" s="1">
        <v>0</v>
      </c>
      <c r="F832" s="1">
        <v>-29.82</v>
      </c>
      <c r="G832" s="1">
        <v>-196.81899999999999</v>
      </c>
      <c r="H832" s="1">
        <v>1002.5069999999999</v>
      </c>
      <c r="I832" s="1">
        <v>-1002.5069999999999</v>
      </c>
    </row>
    <row r="833" spans="1:9" hidden="1" x14ac:dyDescent="0.25">
      <c r="A833" s="1" t="s">
        <v>125</v>
      </c>
      <c r="B833" s="1" t="s">
        <v>222</v>
      </c>
      <c r="C833" s="1" t="s">
        <v>3</v>
      </c>
      <c r="D833" s="1">
        <v>184.6</v>
      </c>
      <c r="E833" s="1">
        <v>0</v>
      </c>
      <c r="F833" s="1">
        <v>-29.82</v>
      </c>
      <c r="G833" s="1">
        <v>-196.81899999999999</v>
      </c>
      <c r="H833" s="1">
        <v>1197.317</v>
      </c>
      <c r="I833" s="1">
        <v>-1107.597</v>
      </c>
    </row>
    <row r="834" spans="1:9" hidden="1" x14ac:dyDescent="0.25">
      <c r="A834" s="1" t="s">
        <v>126</v>
      </c>
      <c r="B834" s="1" t="s">
        <v>222</v>
      </c>
      <c r="C834" s="1" t="s">
        <v>143</v>
      </c>
      <c r="D834" s="1">
        <v>351.68</v>
      </c>
      <c r="E834" s="1">
        <v>0</v>
      </c>
      <c r="F834" s="1">
        <v>-53.33</v>
      </c>
      <c r="G834" s="1">
        <v>-351.98</v>
      </c>
      <c r="H834" s="1">
        <v>2199.8240000000001</v>
      </c>
      <c r="I834" s="1">
        <v>-2110.1039999999998</v>
      </c>
    </row>
    <row r="835" spans="1:9" hidden="1" x14ac:dyDescent="0.25">
      <c r="A835" s="1" t="s">
        <v>126</v>
      </c>
      <c r="B835" s="1" t="s">
        <v>222</v>
      </c>
      <c r="C835" s="1" t="s">
        <v>3</v>
      </c>
      <c r="D835" s="1">
        <v>369.2</v>
      </c>
      <c r="E835" s="1">
        <v>0</v>
      </c>
      <c r="F835" s="1">
        <v>-53.33</v>
      </c>
      <c r="G835" s="1">
        <v>-351.98</v>
      </c>
      <c r="H835" s="1">
        <v>2465.7860000000001</v>
      </c>
      <c r="I835" s="1">
        <v>-2215.194</v>
      </c>
    </row>
    <row r="836" spans="1:9" hidden="1" x14ac:dyDescent="0.25">
      <c r="A836" s="1" t="s">
        <v>127</v>
      </c>
      <c r="B836" s="1" t="s">
        <v>222</v>
      </c>
      <c r="C836" s="1" t="s">
        <v>143</v>
      </c>
      <c r="D836" s="1">
        <v>536.28</v>
      </c>
      <c r="E836" s="1">
        <v>0</v>
      </c>
      <c r="F836" s="1">
        <v>-69</v>
      </c>
      <c r="G836" s="1">
        <v>-455.42</v>
      </c>
      <c r="H836" s="1">
        <v>3468.2930000000001</v>
      </c>
      <c r="I836" s="1">
        <v>-3217.701</v>
      </c>
    </row>
    <row r="837" spans="1:9" hidden="1" x14ac:dyDescent="0.25">
      <c r="A837" s="1" t="s">
        <v>127</v>
      </c>
      <c r="B837" s="1" t="s">
        <v>222</v>
      </c>
      <c r="C837" s="1" t="s">
        <v>3</v>
      </c>
      <c r="D837" s="1">
        <v>553.79999999999995</v>
      </c>
      <c r="E837" s="1">
        <v>0</v>
      </c>
      <c r="F837" s="1">
        <v>-69</v>
      </c>
      <c r="G837" s="1">
        <v>-455.42</v>
      </c>
      <c r="H837" s="1">
        <v>3782.328</v>
      </c>
      <c r="I837" s="1">
        <v>-3322.7910000000002</v>
      </c>
    </row>
    <row r="838" spans="1:9" hidden="1" x14ac:dyDescent="0.25">
      <c r="A838" s="1" t="s">
        <v>9</v>
      </c>
      <c r="B838" s="1" t="s">
        <v>222</v>
      </c>
      <c r="C838" s="1" t="s">
        <v>143</v>
      </c>
      <c r="D838" s="1">
        <v>720.88</v>
      </c>
      <c r="E838" s="1">
        <v>0</v>
      </c>
      <c r="F838" s="1">
        <v>-76.84</v>
      </c>
      <c r="G838" s="1">
        <v>-507.14100000000002</v>
      </c>
      <c r="H838" s="1">
        <v>4784.835</v>
      </c>
      <c r="I838" s="1">
        <v>-4325.2979999999998</v>
      </c>
    </row>
    <row r="839" spans="1:9" hidden="1" x14ac:dyDescent="0.25">
      <c r="A839" s="1" t="s">
        <v>9</v>
      </c>
      <c r="B839" s="1" t="s">
        <v>222</v>
      </c>
      <c r="C839" s="1" t="s">
        <v>3</v>
      </c>
      <c r="D839" s="1">
        <v>738.4</v>
      </c>
      <c r="E839" s="1">
        <v>0</v>
      </c>
      <c r="F839" s="1">
        <v>-76.84</v>
      </c>
      <c r="G839" s="1">
        <v>-507.14100000000002</v>
      </c>
      <c r="H839" s="1">
        <v>5125.3389999999999</v>
      </c>
      <c r="I839" s="1">
        <v>-4430.3879999999999</v>
      </c>
    </row>
    <row r="840" spans="1:9" hidden="1" x14ac:dyDescent="0.25">
      <c r="A840" s="1" t="s">
        <v>10</v>
      </c>
      <c r="B840" s="1" t="s">
        <v>222</v>
      </c>
      <c r="C840" s="1" t="s">
        <v>143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10</v>
      </c>
      <c r="B841" s="1" t="s">
        <v>222</v>
      </c>
      <c r="C841" s="1" t="s">
        <v>3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125</v>
      </c>
      <c r="B842" s="1" t="s">
        <v>223</v>
      </c>
      <c r="C842" s="1" t="s">
        <v>143</v>
      </c>
      <c r="D842" s="1">
        <v>167.08</v>
      </c>
      <c r="E842" s="1">
        <v>0</v>
      </c>
      <c r="F842" s="1">
        <v>-29.82</v>
      </c>
      <c r="G842" s="1">
        <v>-161.03399999999999</v>
      </c>
      <c r="H842" s="1">
        <v>1002.5069999999999</v>
      </c>
      <c r="I842" s="1">
        <v>-1002.5069999999999</v>
      </c>
    </row>
    <row r="843" spans="1:9" hidden="1" x14ac:dyDescent="0.25">
      <c r="A843" s="1" t="s">
        <v>125</v>
      </c>
      <c r="B843" s="1" t="s">
        <v>223</v>
      </c>
      <c r="C843" s="1" t="s">
        <v>3</v>
      </c>
      <c r="D843" s="1">
        <v>184.6</v>
      </c>
      <c r="E843" s="1">
        <v>0</v>
      </c>
      <c r="F843" s="1">
        <v>-29.82</v>
      </c>
      <c r="G843" s="1">
        <v>-161.03399999999999</v>
      </c>
      <c r="H843" s="1">
        <v>1197.317</v>
      </c>
      <c r="I843" s="1">
        <v>-1107.597</v>
      </c>
    </row>
    <row r="844" spans="1:9" hidden="1" x14ac:dyDescent="0.25">
      <c r="A844" s="1" t="s">
        <v>126</v>
      </c>
      <c r="B844" s="1" t="s">
        <v>223</v>
      </c>
      <c r="C844" s="1" t="s">
        <v>143</v>
      </c>
      <c r="D844" s="1">
        <v>351.68</v>
      </c>
      <c r="E844" s="1">
        <v>0</v>
      </c>
      <c r="F844" s="1">
        <v>-53.33</v>
      </c>
      <c r="G844" s="1">
        <v>-287.98399999999998</v>
      </c>
      <c r="H844" s="1">
        <v>2199.8240000000001</v>
      </c>
      <c r="I844" s="1">
        <v>-2110.1039999999998</v>
      </c>
    </row>
    <row r="845" spans="1:9" hidden="1" x14ac:dyDescent="0.25">
      <c r="A845" s="1" t="s">
        <v>126</v>
      </c>
      <c r="B845" s="1" t="s">
        <v>223</v>
      </c>
      <c r="C845" s="1" t="s">
        <v>3</v>
      </c>
      <c r="D845" s="1">
        <v>369.2</v>
      </c>
      <c r="E845" s="1">
        <v>0</v>
      </c>
      <c r="F845" s="1">
        <v>-53.33</v>
      </c>
      <c r="G845" s="1">
        <v>-287.98399999999998</v>
      </c>
      <c r="H845" s="1">
        <v>2465.7860000000001</v>
      </c>
      <c r="I845" s="1">
        <v>-2215.194</v>
      </c>
    </row>
    <row r="846" spans="1:9" hidden="1" x14ac:dyDescent="0.25">
      <c r="A846" s="1" t="s">
        <v>127</v>
      </c>
      <c r="B846" s="1" t="s">
        <v>223</v>
      </c>
      <c r="C846" s="1" t="s">
        <v>143</v>
      </c>
      <c r="D846" s="1">
        <v>536.28</v>
      </c>
      <c r="E846" s="1">
        <v>0</v>
      </c>
      <c r="F846" s="1">
        <v>-69</v>
      </c>
      <c r="G846" s="1">
        <v>-372.61700000000002</v>
      </c>
      <c r="H846" s="1">
        <v>3468.2930000000001</v>
      </c>
      <c r="I846" s="1">
        <v>-3217.701</v>
      </c>
    </row>
    <row r="847" spans="1:9" hidden="1" x14ac:dyDescent="0.25">
      <c r="A847" s="1" t="s">
        <v>127</v>
      </c>
      <c r="B847" s="1" t="s">
        <v>223</v>
      </c>
      <c r="C847" s="1" t="s">
        <v>3</v>
      </c>
      <c r="D847" s="1">
        <v>553.79999999999995</v>
      </c>
      <c r="E847" s="1">
        <v>0</v>
      </c>
      <c r="F847" s="1">
        <v>-69</v>
      </c>
      <c r="G847" s="1">
        <v>-372.61700000000002</v>
      </c>
      <c r="H847" s="1">
        <v>3782.328</v>
      </c>
      <c r="I847" s="1">
        <v>-3322.7910000000002</v>
      </c>
    </row>
    <row r="848" spans="1:9" hidden="1" x14ac:dyDescent="0.25">
      <c r="A848" s="1" t="s">
        <v>9</v>
      </c>
      <c r="B848" s="1" t="s">
        <v>223</v>
      </c>
      <c r="C848" s="1" t="s">
        <v>143</v>
      </c>
      <c r="D848" s="1">
        <v>720.88</v>
      </c>
      <c r="E848" s="1">
        <v>0</v>
      </c>
      <c r="F848" s="1">
        <v>-76.84</v>
      </c>
      <c r="G848" s="1">
        <v>-414.93299999999999</v>
      </c>
      <c r="H848" s="1">
        <v>4784.835</v>
      </c>
      <c r="I848" s="1">
        <v>-4325.2979999999998</v>
      </c>
    </row>
    <row r="849" spans="1:9" hidden="1" x14ac:dyDescent="0.25">
      <c r="A849" s="1" t="s">
        <v>9</v>
      </c>
      <c r="B849" s="1" t="s">
        <v>223</v>
      </c>
      <c r="C849" s="1" t="s">
        <v>3</v>
      </c>
      <c r="D849" s="1">
        <v>738.4</v>
      </c>
      <c r="E849" s="1">
        <v>0</v>
      </c>
      <c r="F849" s="1">
        <v>-76.84</v>
      </c>
      <c r="G849" s="1">
        <v>-414.93299999999999</v>
      </c>
      <c r="H849" s="1">
        <v>5125.3389999999999</v>
      </c>
      <c r="I849" s="1">
        <v>-4430.3879999999999</v>
      </c>
    </row>
    <row r="850" spans="1:9" hidden="1" x14ac:dyDescent="0.25">
      <c r="A850" s="1" t="s">
        <v>10</v>
      </c>
      <c r="B850" s="1" t="s">
        <v>223</v>
      </c>
      <c r="C850" s="1" t="s">
        <v>143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10</v>
      </c>
      <c r="B851" s="1" t="s">
        <v>223</v>
      </c>
      <c r="C851" s="1" t="s">
        <v>3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125</v>
      </c>
      <c r="B852" s="1" t="s">
        <v>224</v>
      </c>
      <c r="C852" s="1" t="s">
        <v>143</v>
      </c>
      <c r="D852" s="1">
        <v>167.08</v>
      </c>
      <c r="E852" s="1">
        <v>0</v>
      </c>
      <c r="F852" s="1">
        <v>29.82</v>
      </c>
      <c r="G852" s="1">
        <v>196.81899999999999</v>
      </c>
      <c r="H852" s="1">
        <v>1002.5069999999999</v>
      </c>
      <c r="I852" s="1">
        <v>-1002.5069999999999</v>
      </c>
    </row>
    <row r="853" spans="1:9" hidden="1" x14ac:dyDescent="0.25">
      <c r="A853" s="1" t="s">
        <v>125</v>
      </c>
      <c r="B853" s="1" t="s">
        <v>224</v>
      </c>
      <c r="C853" s="1" t="s">
        <v>3</v>
      </c>
      <c r="D853" s="1">
        <v>184.6</v>
      </c>
      <c r="E853" s="1">
        <v>0</v>
      </c>
      <c r="F853" s="1">
        <v>29.82</v>
      </c>
      <c r="G853" s="1">
        <v>196.81899999999999</v>
      </c>
      <c r="H853" s="1">
        <v>1017.877</v>
      </c>
      <c r="I853" s="1">
        <v>-1107.597</v>
      </c>
    </row>
    <row r="854" spans="1:9" hidden="1" x14ac:dyDescent="0.25">
      <c r="A854" s="1" t="s">
        <v>126</v>
      </c>
      <c r="B854" s="1" t="s">
        <v>224</v>
      </c>
      <c r="C854" s="1" t="s">
        <v>143</v>
      </c>
      <c r="D854" s="1">
        <v>351.68</v>
      </c>
      <c r="E854" s="1">
        <v>0</v>
      </c>
      <c r="F854" s="1">
        <v>53.33</v>
      </c>
      <c r="G854" s="1">
        <v>351.98</v>
      </c>
      <c r="H854" s="1">
        <v>2020.384</v>
      </c>
      <c r="I854" s="1">
        <v>-2110.1039999999998</v>
      </c>
    </row>
    <row r="855" spans="1:9" hidden="1" x14ac:dyDescent="0.25">
      <c r="A855" s="1" t="s">
        <v>126</v>
      </c>
      <c r="B855" s="1" t="s">
        <v>224</v>
      </c>
      <c r="C855" s="1" t="s">
        <v>3</v>
      </c>
      <c r="D855" s="1">
        <v>369.2</v>
      </c>
      <c r="E855" s="1">
        <v>0</v>
      </c>
      <c r="F855" s="1">
        <v>53.33</v>
      </c>
      <c r="G855" s="1">
        <v>351.98</v>
      </c>
      <c r="H855" s="1">
        <v>1964.6020000000001</v>
      </c>
      <c r="I855" s="1">
        <v>-2215.194</v>
      </c>
    </row>
    <row r="856" spans="1:9" hidden="1" x14ac:dyDescent="0.25">
      <c r="A856" s="1" t="s">
        <v>127</v>
      </c>
      <c r="B856" s="1" t="s">
        <v>224</v>
      </c>
      <c r="C856" s="1" t="s">
        <v>143</v>
      </c>
      <c r="D856" s="1">
        <v>536.28</v>
      </c>
      <c r="E856" s="1">
        <v>0</v>
      </c>
      <c r="F856" s="1">
        <v>69</v>
      </c>
      <c r="G856" s="1">
        <v>455.42</v>
      </c>
      <c r="H856" s="1">
        <v>2967.1089999999999</v>
      </c>
      <c r="I856" s="1">
        <v>-3217.701</v>
      </c>
    </row>
    <row r="857" spans="1:9" hidden="1" x14ac:dyDescent="0.25">
      <c r="A857" s="1" t="s">
        <v>127</v>
      </c>
      <c r="B857" s="1" t="s">
        <v>224</v>
      </c>
      <c r="C857" s="1" t="s">
        <v>3</v>
      </c>
      <c r="D857" s="1">
        <v>553.79999999999995</v>
      </c>
      <c r="E857" s="1">
        <v>0</v>
      </c>
      <c r="F857" s="1">
        <v>69</v>
      </c>
      <c r="G857" s="1">
        <v>455.42</v>
      </c>
      <c r="H857" s="1">
        <v>2863.2539999999999</v>
      </c>
      <c r="I857" s="1">
        <v>-3322.7910000000002</v>
      </c>
    </row>
    <row r="858" spans="1:9" hidden="1" x14ac:dyDescent="0.25">
      <c r="A858" s="1" t="s">
        <v>9</v>
      </c>
      <c r="B858" s="1" t="s">
        <v>224</v>
      </c>
      <c r="C858" s="1" t="s">
        <v>143</v>
      </c>
      <c r="D858" s="1">
        <v>720.88</v>
      </c>
      <c r="E858" s="1">
        <v>0</v>
      </c>
      <c r="F858" s="1">
        <v>76.84</v>
      </c>
      <c r="G858" s="1">
        <v>507.14100000000002</v>
      </c>
      <c r="H858" s="1">
        <v>3865.761</v>
      </c>
      <c r="I858" s="1">
        <v>-4325.2979999999998</v>
      </c>
    </row>
    <row r="859" spans="1:9" hidden="1" x14ac:dyDescent="0.25">
      <c r="A859" s="1" t="s">
        <v>9</v>
      </c>
      <c r="B859" s="1" t="s">
        <v>224</v>
      </c>
      <c r="C859" s="1" t="s">
        <v>3</v>
      </c>
      <c r="D859" s="1">
        <v>738.4</v>
      </c>
      <c r="E859" s="1">
        <v>0</v>
      </c>
      <c r="F859" s="1">
        <v>76.84</v>
      </c>
      <c r="G859" s="1">
        <v>507.14100000000002</v>
      </c>
      <c r="H859" s="1">
        <v>3735.4360000000001</v>
      </c>
      <c r="I859" s="1">
        <v>-4430.3879999999999</v>
      </c>
    </row>
    <row r="860" spans="1:9" hidden="1" x14ac:dyDescent="0.25">
      <c r="A860" s="1" t="s">
        <v>10</v>
      </c>
      <c r="B860" s="1" t="s">
        <v>224</v>
      </c>
      <c r="C860" s="1" t="s">
        <v>143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10</v>
      </c>
      <c r="B861" s="1" t="s">
        <v>224</v>
      </c>
      <c r="C861" s="1" t="s">
        <v>3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125</v>
      </c>
      <c r="B862" s="1" t="s">
        <v>225</v>
      </c>
      <c r="C862" s="1" t="s">
        <v>143</v>
      </c>
      <c r="D862" s="1">
        <v>167.08</v>
      </c>
      <c r="E862" s="1">
        <v>0</v>
      </c>
      <c r="F862" s="1">
        <v>29.82</v>
      </c>
      <c r="G862" s="1">
        <v>161.03399999999999</v>
      </c>
      <c r="H862" s="1">
        <v>1002.5069999999999</v>
      </c>
      <c r="I862" s="1">
        <v>-1002.5069999999999</v>
      </c>
    </row>
    <row r="863" spans="1:9" hidden="1" x14ac:dyDescent="0.25">
      <c r="A863" s="1" t="s">
        <v>125</v>
      </c>
      <c r="B863" s="1" t="s">
        <v>225</v>
      </c>
      <c r="C863" s="1" t="s">
        <v>3</v>
      </c>
      <c r="D863" s="1">
        <v>184.6</v>
      </c>
      <c r="E863" s="1">
        <v>0</v>
      </c>
      <c r="F863" s="1">
        <v>29.82</v>
      </c>
      <c r="G863" s="1">
        <v>161.03399999999999</v>
      </c>
      <c r="H863" s="1">
        <v>1017.877</v>
      </c>
      <c r="I863" s="1">
        <v>-1107.597</v>
      </c>
    </row>
    <row r="864" spans="1:9" hidden="1" x14ac:dyDescent="0.25">
      <c r="A864" s="1" t="s">
        <v>126</v>
      </c>
      <c r="B864" s="1" t="s">
        <v>225</v>
      </c>
      <c r="C864" s="1" t="s">
        <v>143</v>
      </c>
      <c r="D864" s="1">
        <v>351.68</v>
      </c>
      <c r="E864" s="1">
        <v>0</v>
      </c>
      <c r="F864" s="1">
        <v>53.33</v>
      </c>
      <c r="G864" s="1">
        <v>287.98399999999998</v>
      </c>
      <c r="H864" s="1">
        <v>2020.384</v>
      </c>
      <c r="I864" s="1">
        <v>-2110.1039999999998</v>
      </c>
    </row>
    <row r="865" spans="1:9" hidden="1" x14ac:dyDescent="0.25">
      <c r="A865" s="1" t="s">
        <v>126</v>
      </c>
      <c r="B865" s="1" t="s">
        <v>225</v>
      </c>
      <c r="C865" s="1" t="s">
        <v>3</v>
      </c>
      <c r="D865" s="1">
        <v>369.2</v>
      </c>
      <c r="E865" s="1">
        <v>0</v>
      </c>
      <c r="F865" s="1">
        <v>53.33</v>
      </c>
      <c r="G865" s="1">
        <v>287.98399999999998</v>
      </c>
      <c r="H865" s="1">
        <v>1964.6020000000001</v>
      </c>
      <c r="I865" s="1">
        <v>-2215.194</v>
      </c>
    </row>
    <row r="866" spans="1:9" hidden="1" x14ac:dyDescent="0.25">
      <c r="A866" s="1" t="s">
        <v>127</v>
      </c>
      <c r="B866" s="1" t="s">
        <v>225</v>
      </c>
      <c r="C866" s="1" t="s">
        <v>143</v>
      </c>
      <c r="D866" s="1">
        <v>536.28</v>
      </c>
      <c r="E866" s="1">
        <v>0</v>
      </c>
      <c r="F866" s="1">
        <v>69</v>
      </c>
      <c r="G866" s="1">
        <v>372.61700000000002</v>
      </c>
      <c r="H866" s="1">
        <v>2967.1089999999999</v>
      </c>
      <c r="I866" s="1">
        <v>-3217.701</v>
      </c>
    </row>
    <row r="867" spans="1:9" hidden="1" x14ac:dyDescent="0.25">
      <c r="A867" s="1" t="s">
        <v>127</v>
      </c>
      <c r="B867" s="1" t="s">
        <v>225</v>
      </c>
      <c r="C867" s="1" t="s">
        <v>3</v>
      </c>
      <c r="D867" s="1">
        <v>553.79999999999995</v>
      </c>
      <c r="E867" s="1">
        <v>0</v>
      </c>
      <c r="F867" s="1">
        <v>69</v>
      </c>
      <c r="G867" s="1">
        <v>372.61700000000002</v>
      </c>
      <c r="H867" s="1">
        <v>2863.2539999999999</v>
      </c>
      <c r="I867" s="1">
        <v>-3322.7910000000002</v>
      </c>
    </row>
    <row r="868" spans="1:9" hidden="1" x14ac:dyDescent="0.25">
      <c r="A868" s="1" t="s">
        <v>9</v>
      </c>
      <c r="B868" s="1" t="s">
        <v>225</v>
      </c>
      <c r="C868" s="1" t="s">
        <v>143</v>
      </c>
      <c r="D868" s="1">
        <v>720.88</v>
      </c>
      <c r="E868" s="1">
        <v>0</v>
      </c>
      <c r="F868" s="1">
        <v>76.84</v>
      </c>
      <c r="G868" s="1">
        <v>414.93299999999999</v>
      </c>
      <c r="H868" s="1">
        <v>3865.761</v>
      </c>
      <c r="I868" s="1">
        <v>-4325.2979999999998</v>
      </c>
    </row>
    <row r="869" spans="1:9" hidden="1" x14ac:dyDescent="0.25">
      <c r="A869" s="1" t="s">
        <v>9</v>
      </c>
      <c r="B869" s="1" t="s">
        <v>225</v>
      </c>
      <c r="C869" s="1" t="s">
        <v>3</v>
      </c>
      <c r="D869" s="1">
        <v>738.4</v>
      </c>
      <c r="E869" s="1">
        <v>0</v>
      </c>
      <c r="F869" s="1">
        <v>76.84</v>
      </c>
      <c r="G869" s="1">
        <v>414.93299999999999</v>
      </c>
      <c r="H869" s="1">
        <v>3735.4360000000001</v>
      </c>
      <c r="I869" s="1">
        <v>-4430.3879999999999</v>
      </c>
    </row>
    <row r="870" spans="1:9" hidden="1" x14ac:dyDescent="0.25">
      <c r="A870" s="1" t="s">
        <v>10</v>
      </c>
      <c r="B870" s="1" t="s">
        <v>225</v>
      </c>
      <c r="C870" s="1" t="s">
        <v>143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10</v>
      </c>
      <c r="B871" s="1" t="s">
        <v>225</v>
      </c>
      <c r="C871" s="1" t="s">
        <v>3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125</v>
      </c>
      <c r="B872" s="1" t="s">
        <v>226</v>
      </c>
      <c r="C872" s="1" t="s">
        <v>143</v>
      </c>
      <c r="D872" s="1">
        <v>298.95999999999998</v>
      </c>
      <c r="E872" s="1">
        <v>90.93</v>
      </c>
      <c r="F872" s="1">
        <v>0</v>
      </c>
      <c r="G872" s="1">
        <v>600.15700000000004</v>
      </c>
      <c r="H872" s="1">
        <v>1793.7619999999999</v>
      </c>
      <c r="I872" s="1">
        <v>-1793.7619999999999</v>
      </c>
    </row>
    <row r="873" spans="1:9" hidden="1" x14ac:dyDescent="0.25">
      <c r="A873" s="1" t="s">
        <v>125</v>
      </c>
      <c r="B873" s="1" t="s">
        <v>226</v>
      </c>
      <c r="C873" s="1" t="s">
        <v>3</v>
      </c>
      <c r="D873" s="1">
        <v>328.04</v>
      </c>
      <c r="E873" s="1">
        <v>90.93</v>
      </c>
      <c r="F873" s="1">
        <v>0</v>
      </c>
      <c r="G873" s="1">
        <v>600.15700000000004</v>
      </c>
      <c r="H873" s="1">
        <v>1968.211</v>
      </c>
      <c r="I873" s="1">
        <v>-1694.6010000000001</v>
      </c>
    </row>
    <row r="874" spans="1:9" hidden="1" x14ac:dyDescent="0.25">
      <c r="A874" s="1" t="s">
        <v>126</v>
      </c>
      <c r="B874" s="1" t="s">
        <v>226</v>
      </c>
      <c r="C874" s="1" t="s">
        <v>143</v>
      </c>
      <c r="D874" s="1">
        <v>627</v>
      </c>
      <c r="E874" s="1">
        <v>174.68</v>
      </c>
      <c r="F874" s="1">
        <v>0</v>
      </c>
      <c r="G874" s="1">
        <v>1153.7639999999999</v>
      </c>
      <c r="H874" s="1">
        <v>3761.973</v>
      </c>
      <c r="I874" s="1">
        <v>-3488.3629999999998</v>
      </c>
    </row>
    <row r="875" spans="1:9" hidden="1" x14ac:dyDescent="0.25">
      <c r="A875" s="1" t="s">
        <v>126</v>
      </c>
      <c r="B875" s="1" t="s">
        <v>226</v>
      </c>
      <c r="C875" s="1" t="s">
        <v>3</v>
      </c>
      <c r="D875" s="1">
        <v>656.07</v>
      </c>
      <c r="E875" s="1">
        <v>174.68</v>
      </c>
      <c r="F875" s="1">
        <v>0</v>
      </c>
      <c r="G875" s="1">
        <v>1153.7639999999999</v>
      </c>
      <c r="H875" s="1">
        <v>3936.422</v>
      </c>
      <c r="I875" s="1">
        <v>-3137.1680000000001</v>
      </c>
    </row>
    <row r="876" spans="1:9" hidden="1" x14ac:dyDescent="0.25">
      <c r="A876" s="1" t="s">
        <v>127</v>
      </c>
      <c r="B876" s="1" t="s">
        <v>226</v>
      </c>
      <c r="C876" s="1" t="s">
        <v>143</v>
      </c>
      <c r="D876" s="1">
        <v>955.03</v>
      </c>
      <c r="E876" s="1">
        <v>243.05</v>
      </c>
      <c r="F876" s="1">
        <v>0</v>
      </c>
      <c r="G876" s="1">
        <v>1607.0250000000001</v>
      </c>
      <c r="H876" s="1">
        <v>5730.1840000000002</v>
      </c>
      <c r="I876" s="1">
        <v>-4930.93</v>
      </c>
    </row>
    <row r="877" spans="1:9" hidden="1" x14ac:dyDescent="0.25">
      <c r="A877" s="1" t="s">
        <v>127</v>
      </c>
      <c r="B877" s="1" t="s">
        <v>226</v>
      </c>
      <c r="C877" s="1" t="s">
        <v>3</v>
      </c>
      <c r="D877" s="1">
        <v>984.11</v>
      </c>
      <c r="E877" s="1">
        <v>243.05</v>
      </c>
      <c r="F877" s="1">
        <v>0</v>
      </c>
      <c r="G877" s="1">
        <v>1607.0250000000001</v>
      </c>
      <c r="H877" s="1">
        <v>5904.6329999999998</v>
      </c>
      <c r="I877" s="1">
        <v>-4373.1409999999996</v>
      </c>
    </row>
    <row r="878" spans="1:9" hidden="1" x14ac:dyDescent="0.25">
      <c r="A878" s="1" t="s">
        <v>9</v>
      </c>
      <c r="B878" s="1" t="s">
        <v>226</v>
      </c>
      <c r="C878" s="1" t="s">
        <v>143</v>
      </c>
      <c r="D878" s="1">
        <v>1283.07</v>
      </c>
      <c r="E878" s="1">
        <v>289.55</v>
      </c>
      <c r="F878" s="1">
        <v>0</v>
      </c>
      <c r="G878" s="1">
        <v>1916.9390000000001</v>
      </c>
      <c r="H878" s="1">
        <v>7698.3950000000004</v>
      </c>
      <c r="I878" s="1">
        <v>-6166.9030000000002</v>
      </c>
    </row>
    <row r="879" spans="1:9" hidden="1" x14ac:dyDescent="0.25">
      <c r="A879" s="1" t="s">
        <v>9</v>
      </c>
      <c r="B879" s="1" t="s">
        <v>226</v>
      </c>
      <c r="C879" s="1" t="s">
        <v>3</v>
      </c>
      <c r="D879" s="1">
        <v>1312.14</v>
      </c>
      <c r="E879" s="1">
        <v>289.55</v>
      </c>
      <c r="F879" s="1">
        <v>0</v>
      </c>
      <c r="G879" s="1">
        <v>1916.9390000000001</v>
      </c>
      <c r="H879" s="1">
        <v>7872.8440000000001</v>
      </c>
      <c r="I879" s="1">
        <v>-5460.5010000000002</v>
      </c>
    </row>
    <row r="880" spans="1:9" hidden="1" x14ac:dyDescent="0.25">
      <c r="A880" s="1" t="s">
        <v>10</v>
      </c>
      <c r="B880" s="1" t="s">
        <v>226</v>
      </c>
      <c r="C880" s="1" t="s">
        <v>143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</row>
    <row r="881" spans="1:9" hidden="1" x14ac:dyDescent="0.25">
      <c r="A881" s="1" t="s">
        <v>10</v>
      </c>
      <c r="B881" s="1" t="s">
        <v>226</v>
      </c>
      <c r="C881" s="1" t="s">
        <v>3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</row>
    <row r="882" spans="1:9" hidden="1" x14ac:dyDescent="0.25">
      <c r="A882" s="1" t="s">
        <v>125</v>
      </c>
      <c r="B882" s="1" t="s">
        <v>227</v>
      </c>
      <c r="C882" s="1" t="s">
        <v>143</v>
      </c>
      <c r="D882" s="1">
        <v>298.95999999999998</v>
      </c>
      <c r="E882" s="1">
        <v>-90.93</v>
      </c>
      <c r="F882" s="1">
        <v>0</v>
      </c>
      <c r="G882" s="1">
        <v>-600.15700000000004</v>
      </c>
      <c r="H882" s="1">
        <v>1793.7619999999999</v>
      </c>
      <c r="I882" s="1">
        <v>-1793.7619999999999</v>
      </c>
    </row>
    <row r="883" spans="1:9" hidden="1" x14ac:dyDescent="0.25">
      <c r="A883" s="1" t="s">
        <v>125</v>
      </c>
      <c r="B883" s="1" t="s">
        <v>227</v>
      </c>
      <c r="C883" s="1" t="s">
        <v>3</v>
      </c>
      <c r="D883" s="1">
        <v>328.04</v>
      </c>
      <c r="E883" s="1">
        <v>-90.93</v>
      </c>
      <c r="F883" s="1">
        <v>0</v>
      </c>
      <c r="G883" s="1">
        <v>-600.15700000000004</v>
      </c>
      <c r="H883" s="1">
        <v>1968.211</v>
      </c>
      <c r="I883" s="1">
        <v>-2241.8209999999999</v>
      </c>
    </row>
    <row r="884" spans="1:9" hidden="1" x14ac:dyDescent="0.25">
      <c r="A884" s="1" t="s">
        <v>126</v>
      </c>
      <c r="B884" s="1" t="s">
        <v>227</v>
      </c>
      <c r="C884" s="1" t="s">
        <v>143</v>
      </c>
      <c r="D884" s="1">
        <v>627</v>
      </c>
      <c r="E884" s="1">
        <v>-174.68</v>
      </c>
      <c r="F884" s="1">
        <v>0</v>
      </c>
      <c r="G884" s="1">
        <v>-1153.7639999999999</v>
      </c>
      <c r="H884" s="1">
        <v>3761.973</v>
      </c>
      <c r="I884" s="1">
        <v>-4035.5819999999999</v>
      </c>
    </row>
    <row r="885" spans="1:9" hidden="1" x14ac:dyDescent="0.25">
      <c r="A885" s="1" t="s">
        <v>126</v>
      </c>
      <c r="B885" s="1" t="s">
        <v>227</v>
      </c>
      <c r="C885" s="1" t="s">
        <v>3</v>
      </c>
      <c r="D885" s="1">
        <v>656.07</v>
      </c>
      <c r="E885" s="1">
        <v>-174.68</v>
      </c>
      <c r="F885" s="1">
        <v>0</v>
      </c>
      <c r="G885" s="1">
        <v>-1153.7639999999999</v>
      </c>
      <c r="H885" s="1">
        <v>3936.422</v>
      </c>
      <c r="I885" s="1">
        <v>-4735.6760000000004</v>
      </c>
    </row>
    <row r="886" spans="1:9" hidden="1" x14ac:dyDescent="0.25">
      <c r="A886" s="1" t="s">
        <v>127</v>
      </c>
      <c r="B886" s="1" t="s">
        <v>227</v>
      </c>
      <c r="C886" s="1" t="s">
        <v>143</v>
      </c>
      <c r="D886" s="1">
        <v>955.03</v>
      </c>
      <c r="E886" s="1">
        <v>-243.05</v>
      </c>
      <c r="F886" s="1">
        <v>0</v>
      </c>
      <c r="G886" s="1">
        <v>-1607.0250000000001</v>
      </c>
      <c r="H886" s="1">
        <v>5730.1840000000002</v>
      </c>
      <c r="I886" s="1">
        <v>-6529.4380000000001</v>
      </c>
    </row>
    <row r="887" spans="1:9" hidden="1" x14ac:dyDescent="0.25">
      <c r="A887" s="1" t="s">
        <v>127</v>
      </c>
      <c r="B887" s="1" t="s">
        <v>227</v>
      </c>
      <c r="C887" s="1" t="s">
        <v>3</v>
      </c>
      <c r="D887" s="1">
        <v>984.11</v>
      </c>
      <c r="E887" s="1">
        <v>-243.05</v>
      </c>
      <c r="F887" s="1">
        <v>0</v>
      </c>
      <c r="G887" s="1">
        <v>-1607.0250000000001</v>
      </c>
      <c r="H887" s="1">
        <v>5904.6329999999998</v>
      </c>
      <c r="I887" s="1">
        <v>-7436.1239999999998</v>
      </c>
    </row>
    <row r="888" spans="1:9" hidden="1" x14ac:dyDescent="0.25">
      <c r="A888" s="1" t="s">
        <v>9</v>
      </c>
      <c r="B888" s="1" t="s">
        <v>227</v>
      </c>
      <c r="C888" s="1" t="s">
        <v>143</v>
      </c>
      <c r="D888" s="1">
        <v>1283.07</v>
      </c>
      <c r="E888" s="1">
        <v>-289.55</v>
      </c>
      <c r="F888" s="1">
        <v>0</v>
      </c>
      <c r="G888" s="1">
        <v>-1916.9390000000001</v>
      </c>
      <c r="H888" s="1">
        <v>7698.3950000000004</v>
      </c>
      <c r="I888" s="1">
        <v>-9229.8860000000004</v>
      </c>
    </row>
    <row r="889" spans="1:9" hidden="1" x14ac:dyDescent="0.25">
      <c r="A889" s="1" t="s">
        <v>9</v>
      </c>
      <c r="B889" s="1" t="s">
        <v>227</v>
      </c>
      <c r="C889" s="1" t="s">
        <v>3</v>
      </c>
      <c r="D889" s="1">
        <v>1312.14</v>
      </c>
      <c r="E889" s="1">
        <v>-289.55</v>
      </c>
      <c r="F889" s="1">
        <v>0</v>
      </c>
      <c r="G889" s="1">
        <v>-1916.9390000000001</v>
      </c>
      <c r="H889" s="1">
        <v>7872.8440000000001</v>
      </c>
      <c r="I889" s="1">
        <v>-10285.186</v>
      </c>
    </row>
    <row r="890" spans="1:9" hidden="1" x14ac:dyDescent="0.25">
      <c r="A890" s="1" t="s">
        <v>10</v>
      </c>
      <c r="B890" s="1" t="s">
        <v>227</v>
      </c>
      <c r="C890" s="1" t="s">
        <v>143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10</v>
      </c>
      <c r="B891" s="1" t="s">
        <v>227</v>
      </c>
      <c r="C891" s="1" t="s">
        <v>3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125</v>
      </c>
      <c r="B892" s="1" t="s">
        <v>228</v>
      </c>
      <c r="C892" s="1" t="s">
        <v>143</v>
      </c>
      <c r="D892" s="1">
        <v>278.91000000000003</v>
      </c>
      <c r="E892" s="1">
        <v>90.93</v>
      </c>
      <c r="F892" s="1">
        <v>0</v>
      </c>
      <c r="G892" s="1">
        <v>600.15700000000004</v>
      </c>
      <c r="H892" s="1">
        <v>1673.461</v>
      </c>
      <c r="I892" s="1">
        <v>-1673.461</v>
      </c>
    </row>
    <row r="893" spans="1:9" hidden="1" x14ac:dyDescent="0.25">
      <c r="A893" s="1" t="s">
        <v>125</v>
      </c>
      <c r="B893" s="1" t="s">
        <v>228</v>
      </c>
      <c r="C893" s="1" t="s">
        <v>3</v>
      </c>
      <c r="D893" s="1">
        <v>305.88</v>
      </c>
      <c r="E893" s="1">
        <v>90.93</v>
      </c>
      <c r="F893" s="1">
        <v>0</v>
      </c>
      <c r="G893" s="1">
        <v>600.15700000000004</v>
      </c>
      <c r="H893" s="1">
        <v>1835.299</v>
      </c>
      <c r="I893" s="1">
        <v>-1561.69</v>
      </c>
    </row>
    <row r="894" spans="1:9" hidden="1" x14ac:dyDescent="0.25">
      <c r="A894" s="1" t="s">
        <v>126</v>
      </c>
      <c r="B894" s="1" t="s">
        <v>228</v>
      </c>
      <c r="C894" s="1" t="s">
        <v>143</v>
      </c>
      <c r="D894" s="1">
        <v>584.79</v>
      </c>
      <c r="E894" s="1">
        <v>174.68</v>
      </c>
      <c r="F894" s="1">
        <v>0</v>
      </c>
      <c r="G894" s="1">
        <v>1153.7639999999999</v>
      </c>
      <c r="H894" s="1">
        <v>3508.76</v>
      </c>
      <c r="I894" s="1">
        <v>-3235.1509999999998</v>
      </c>
    </row>
    <row r="895" spans="1:9" hidden="1" x14ac:dyDescent="0.25">
      <c r="A895" s="1" t="s">
        <v>126</v>
      </c>
      <c r="B895" s="1" t="s">
        <v>228</v>
      </c>
      <c r="C895" s="1" t="s">
        <v>3</v>
      </c>
      <c r="D895" s="1">
        <v>611.77</v>
      </c>
      <c r="E895" s="1">
        <v>174.68</v>
      </c>
      <c r="F895" s="1">
        <v>0</v>
      </c>
      <c r="G895" s="1">
        <v>1153.7639999999999</v>
      </c>
      <c r="H895" s="1">
        <v>3670.5990000000002</v>
      </c>
      <c r="I895" s="1">
        <v>-2871.3440000000001</v>
      </c>
    </row>
    <row r="896" spans="1:9" hidden="1" x14ac:dyDescent="0.25">
      <c r="A896" s="1" t="s">
        <v>127</v>
      </c>
      <c r="B896" s="1" t="s">
        <v>228</v>
      </c>
      <c r="C896" s="1" t="s">
        <v>143</v>
      </c>
      <c r="D896" s="1">
        <v>890.68</v>
      </c>
      <c r="E896" s="1">
        <v>243.05</v>
      </c>
      <c r="F896" s="1">
        <v>0</v>
      </c>
      <c r="G896" s="1">
        <v>1607.0250000000001</v>
      </c>
      <c r="H896" s="1">
        <v>5344.06</v>
      </c>
      <c r="I896" s="1">
        <v>-4544.8059999999996</v>
      </c>
    </row>
    <row r="897" spans="1:9" hidden="1" x14ac:dyDescent="0.25">
      <c r="A897" s="1" t="s">
        <v>127</v>
      </c>
      <c r="B897" s="1" t="s">
        <v>228</v>
      </c>
      <c r="C897" s="1" t="s">
        <v>3</v>
      </c>
      <c r="D897" s="1">
        <v>917.65</v>
      </c>
      <c r="E897" s="1">
        <v>243.05</v>
      </c>
      <c r="F897" s="1">
        <v>0</v>
      </c>
      <c r="G897" s="1">
        <v>1607.0250000000001</v>
      </c>
      <c r="H897" s="1">
        <v>5505.8980000000001</v>
      </c>
      <c r="I897" s="1">
        <v>-3974.4059999999999</v>
      </c>
    </row>
    <row r="898" spans="1:9" hidden="1" x14ac:dyDescent="0.25">
      <c r="A898" s="1" t="s">
        <v>9</v>
      </c>
      <c r="B898" s="1" t="s">
        <v>228</v>
      </c>
      <c r="C898" s="1" t="s">
        <v>143</v>
      </c>
      <c r="D898" s="1">
        <v>1196.56</v>
      </c>
      <c r="E898" s="1">
        <v>289.55</v>
      </c>
      <c r="F898" s="1">
        <v>0</v>
      </c>
      <c r="G898" s="1">
        <v>1916.9390000000001</v>
      </c>
      <c r="H898" s="1">
        <v>7179.3590000000004</v>
      </c>
      <c r="I898" s="1">
        <v>-5647.8670000000002</v>
      </c>
    </row>
    <row r="899" spans="1:9" hidden="1" x14ac:dyDescent="0.25">
      <c r="A899" s="1" t="s">
        <v>9</v>
      </c>
      <c r="B899" s="1" t="s">
        <v>228</v>
      </c>
      <c r="C899" s="1" t="s">
        <v>3</v>
      </c>
      <c r="D899" s="1">
        <v>1223.53</v>
      </c>
      <c r="E899" s="1">
        <v>289.55</v>
      </c>
      <c r="F899" s="1">
        <v>0</v>
      </c>
      <c r="G899" s="1">
        <v>1916.9390000000001</v>
      </c>
      <c r="H899" s="1">
        <v>7341.1970000000001</v>
      </c>
      <c r="I899" s="1">
        <v>-4928.8549999999996</v>
      </c>
    </row>
    <row r="900" spans="1:9" hidden="1" x14ac:dyDescent="0.25">
      <c r="A900" s="1" t="s">
        <v>10</v>
      </c>
      <c r="B900" s="1" t="s">
        <v>228</v>
      </c>
      <c r="C900" s="1" t="s">
        <v>143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10</v>
      </c>
      <c r="B901" s="1" t="s">
        <v>228</v>
      </c>
      <c r="C901" s="1" t="s">
        <v>3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125</v>
      </c>
      <c r="B902" s="1" t="s">
        <v>229</v>
      </c>
      <c r="C902" s="1" t="s">
        <v>143</v>
      </c>
      <c r="D902" s="1">
        <v>278.91000000000003</v>
      </c>
      <c r="E902" s="1">
        <v>-90.93</v>
      </c>
      <c r="F902" s="1">
        <v>0</v>
      </c>
      <c r="G902" s="1">
        <v>-600.15700000000004</v>
      </c>
      <c r="H902" s="1">
        <v>1673.461</v>
      </c>
      <c r="I902" s="1">
        <v>-1673.461</v>
      </c>
    </row>
    <row r="903" spans="1:9" hidden="1" x14ac:dyDescent="0.25">
      <c r="A903" s="1" t="s">
        <v>125</v>
      </c>
      <c r="B903" s="1" t="s">
        <v>229</v>
      </c>
      <c r="C903" s="1" t="s">
        <v>3</v>
      </c>
      <c r="D903" s="1">
        <v>305.88</v>
      </c>
      <c r="E903" s="1">
        <v>-90.93</v>
      </c>
      <c r="F903" s="1">
        <v>0</v>
      </c>
      <c r="G903" s="1">
        <v>-600.15700000000004</v>
      </c>
      <c r="H903" s="1">
        <v>1835.299</v>
      </c>
      <c r="I903" s="1">
        <v>-2108.9090000000001</v>
      </c>
    </row>
    <row r="904" spans="1:9" hidden="1" x14ac:dyDescent="0.25">
      <c r="A904" s="1" t="s">
        <v>126</v>
      </c>
      <c r="B904" s="1" t="s">
        <v>229</v>
      </c>
      <c r="C904" s="1" t="s">
        <v>143</v>
      </c>
      <c r="D904" s="1">
        <v>584.79</v>
      </c>
      <c r="E904" s="1">
        <v>-174.68</v>
      </c>
      <c r="F904" s="1">
        <v>0</v>
      </c>
      <c r="G904" s="1">
        <v>-1153.7639999999999</v>
      </c>
      <c r="H904" s="1">
        <v>3508.76</v>
      </c>
      <c r="I904" s="1">
        <v>-3782.37</v>
      </c>
    </row>
    <row r="905" spans="1:9" hidden="1" x14ac:dyDescent="0.25">
      <c r="A905" s="1" t="s">
        <v>126</v>
      </c>
      <c r="B905" s="1" t="s">
        <v>229</v>
      </c>
      <c r="C905" s="1" t="s">
        <v>3</v>
      </c>
      <c r="D905" s="1">
        <v>611.77</v>
      </c>
      <c r="E905" s="1">
        <v>-174.68</v>
      </c>
      <c r="F905" s="1">
        <v>0</v>
      </c>
      <c r="G905" s="1">
        <v>-1153.7639999999999</v>
      </c>
      <c r="H905" s="1">
        <v>3670.598</v>
      </c>
      <c r="I905" s="1">
        <v>-4469.8530000000001</v>
      </c>
    </row>
    <row r="906" spans="1:9" hidden="1" x14ac:dyDescent="0.25">
      <c r="A906" s="1" t="s">
        <v>127</v>
      </c>
      <c r="B906" s="1" t="s">
        <v>229</v>
      </c>
      <c r="C906" s="1" t="s">
        <v>143</v>
      </c>
      <c r="D906" s="1">
        <v>890.68</v>
      </c>
      <c r="E906" s="1">
        <v>-243.05</v>
      </c>
      <c r="F906" s="1">
        <v>0</v>
      </c>
      <c r="G906" s="1">
        <v>-1607.0250000000001</v>
      </c>
      <c r="H906" s="1">
        <v>5344.06</v>
      </c>
      <c r="I906" s="1">
        <v>-6143.3140000000003</v>
      </c>
    </row>
    <row r="907" spans="1:9" hidden="1" x14ac:dyDescent="0.25">
      <c r="A907" s="1" t="s">
        <v>127</v>
      </c>
      <c r="B907" s="1" t="s">
        <v>229</v>
      </c>
      <c r="C907" s="1" t="s">
        <v>3</v>
      </c>
      <c r="D907" s="1">
        <v>917.65</v>
      </c>
      <c r="E907" s="1">
        <v>-243.05</v>
      </c>
      <c r="F907" s="1">
        <v>0</v>
      </c>
      <c r="G907" s="1">
        <v>-1607.0250000000001</v>
      </c>
      <c r="H907" s="1">
        <v>5505.8980000000001</v>
      </c>
      <c r="I907" s="1">
        <v>-7037.39</v>
      </c>
    </row>
    <row r="908" spans="1:9" hidden="1" x14ac:dyDescent="0.25">
      <c r="A908" s="1" t="s">
        <v>9</v>
      </c>
      <c r="B908" s="1" t="s">
        <v>229</v>
      </c>
      <c r="C908" s="1" t="s">
        <v>143</v>
      </c>
      <c r="D908" s="1">
        <v>1196.56</v>
      </c>
      <c r="E908" s="1">
        <v>-289.55</v>
      </c>
      <c r="F908" s="1">
        <v>0</v>
      </c>
      <c r="G908" s="1">
        <v>-1916.9390000000001</v>
      </c>
      <c r="H908" s="1">
        <v>7179.3590000000004</v>
      </c>
      <c r="I908" s="1">
        <v>-8710.8510000000006</v>
      </c>
    </row>
    <row r="909" spans="1:9" hidden="1" x14ac:dyDescent="0.25">
      <c r="A909" s="1" t="s">
        <v>9</v>
      </c>
      <c r="B909" s="1" t="s">
        <v>229</v>
      </c>
      <c r="C909" s="1" t="s">
        <v>3</v>
      </c>
      <c r="D909" s="1">
        <v>1223.53</v>
      </c>
      <c r="E909" s="1">
        <v>-289.55</v>
      </c>
      <c r="F909" s="1">
        <v>0</v>
      </c>
      <c r="G909" s="1">
        <v>-1916.9390000000001</v>
      </c>
      <c r="H909" s="1">
        <v>7341.1970000000001</v>
      </c>
      <c r="I909" s="1">
        <v>-9753.5400000000009</v>
      </c>
    </row>
    <row r="910" spans="1:9" hidden="1" x14ac:dyDescent="0.25">
      <c r="A910" s="1" t="s">
        <v>10</v>
      </c>
      <c r="B910" s="1" t="s">
        <v>229</v>
      </c>
      <c r="C910" s="1" t="s">
        <v>143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10</v>
      </c>
      <c r="B911" s="1" t="s">
        <v>229</v>
      </c>
      <c r="C911" s="1" t="s">
        <v>3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0</v>
      </c>
    </row>
    <row r="912" spans="1:9" hidden="1" x14ac:dyDescent="0.25">
      <c r="A912" s="1" t="s">
        <v>125</v>
      </c>
      <c r="B912" s="1" t="s">
        <v>230</v>
      </c>
      <c r="C912" s="1" t="s">
        <v>143</v>
      </c>
      <c r="D912" s="1">
        <v>298.95999999999998</v>
      </c>
      <c r="E912" s="1">
        <v>0</v>
      </c>
      <c r="F912" s="1">
        <v>83.36</v>
      </c>
      <c r="G912" s="1">
        <v>550.14400000000001</v>
      </c>
      <c r="H912" s="1">
        <v>1793.7619999999999</v>
      </c>
      <c r="I912" s="1">
        <v>-1793.7619999999999</v>
      </c>
    </row>
    <row r="913" spans="1:9" hidden="1" x14ac:dyDescent="0.25">
      <c r="A913" s="1" t="s">
        <v>125</v>
      </c>
      <c r="B913" s="1" t="s">
        <v>230</v>
      </c>
      <c r="C913" s="1" t="s">
        <v>3</v>
      </c>
      <c r="D913" s="1">
        <v>328.04</v>
      </c>
      <c r="E913" s="1">
        <v>0</v>
      </c>
      <c r="F913" s="1">
        <v>83.36</v>
      </c>
      <c r="G913" s="1">
        <v>550.14400000000001</v>
      </c>
      <c r="H913" s="1">
        <v>2219.02</v>
      </c>
      <c r="I913" s="1">
        <v>-1968.211</v>
      </c>
    </row>
    <row r="914" spans="1:9" hidden="1" x14ac:dyDescent="0.25">
      <c r="A914" s="1" t="s">
        <v>126</v>
      </c>
      <c r="B914" s="1" t="s">
        <v>230</v>
      </c>
      <c r="C914" s="1" t="s">
        <v>143</v>
      </c>
      <c r="D914" s="1">
        <v>627</v>
      </c>
      <c r="E914" s="1">
        <v>0</v>
      </c>
      <c r="F914" s="1">
        <v>160.13</v>
      </c>
      <c r="G914" s="1">
        <v>1057.617</v>
      </c>
      <c r="H914" s="1">
        <v>4012.7820000000002</v>
      </c>
      <c r="I914" s="1">
        <v>-3761.973</v>
      </c>
    </row>
    <row r="915" spans="1:9" hidden="1" x14ac:dyDescent="0.25">
      <c r="A915" s="1" t="s">
        <v>126</v>
      </c>
      <c r="B915" s="1" t="s">
        <v>230</v>
      </c>
      <c r="C915" s="1" t="s">
        <v>3</v>
      </c>
      <c r="D915" s="1">
        <v>656.07</v>
      </c>
      <c r="E915" s="1">
        <v>0</v>
      </c>
      <c r="F915" s="1">
        <v>160.13</v>
      </c>
      <c r="G915" s="1">
        <v>1057.617</v>
      </c>
      <c r="H915" s="1">
        <v>4669.0709999999999</v>
      </c>
      <c r="I915" s="1">
        <v>-3936.422</v>
      </c>
    </row>
    <row r="916" spans="1:9" hidden="1" x14ac:dyDescent="0.25">
      <c r="A916" s="1" t="s">
        <v>127</v>
      </c>
      <c r="B916" s="1" t="s">
        <v>230</v>
      </c>
      <c r="C916" s="1" t="s">
        <v>143</v>
      </c>
      <c r="D916" s="1">
        <v>955.03</v>
      </c>
      <c r="E916" s="1">
        <v>0</v>
      </c>
      <c r="F916" s="1">
        <v>222.8</v>
      </c>
      <c r="G916" s="1">
        <v>1473.106</v>
      </c>
      <c r="H916" s="1">
        <v>6462.8329999999996</v>
      </c>
      <c r="I916" s="1">
        <v>-5730.1840000000002</v>
      </c>
    </row>
    <row r="917" spans="1:9" hidden="1" x14ac:dyDescent="0.25">
      <c r="A917" s="1" t="s">
        <v>127</v>
      </c>
      <c r="B917" s="1" t="s">
        <v>230</v>
      </c>
      <c r="C917" s="1" t="s">
        <v>3</v>
      </c>
      <c r="D917" s="1">
        <v>984.11</v>
      </c>
      <c r="E917" s="1">
        <v>0</v>
      </c>
      <c r="F917" s="1">
        <v>222.8</v>
      </c>
      <c r="G917" s="1">
        <v>1473.106</v>
      </c>
      <c r="H917" s="1">
        <v>7308.5</v>
      </c>
      <c r="I917" s="1">
        <v>-5904.6329999999998</v>
      </c>
    </row>
    <row r="918" spans="1:9" hidden="1" x14ac:dyDescent="0.25">
      <c r="A918" s="1" t="s">
        <v>9</v>
      </c>
      <c r="B918" s="1" t="s">
        <v>230</v>
      </c>
      <c r="C918" s="1" t="s">
        <v>143</v>
      </c>
      <c r="D918" s="1">
        <v>1283.07</v>
      </c>
      <c r="E918" s="1">
        <v>0</v>
      </c>
      <c r="F918" s="1">
        <v>265.42</v>
      </c>
      <c r="G918" s="1">
        <v>1757.194</v>
      </c>
      <c r="H918" s="1">
        <v>9102.2620000000006</v>
      </c>
      <c r="I918" s="1">
        <v>-7698.3950000000004</v>
      </c>
    </row>
    <row r="919" spans="1:9" hidden="1" x14ac:dyDescent="0.25">
      <c r="A919" s="1" t="s">
        <v>9</v>
      </c>
      <c r="B919" s="1" t="s">
        <v>230</v>
      </c>
      <c r="C919" s="1" t="s">
        <v>3</v>
      </c>
      <c r="D919" s="1">
        <v>1312.14</v>
      </c>
      <c r="E919" s="1">
        <v>0</v>
      </c>
      <c r="F919" s="1">
        <v>265.42</v>
      </c>
      <c r="G919" s="1">
        <v>1757.194</v>
      </c>
      <c r="H919" s="1">
        <v>10084.156999999999</v>
      </c>
      <c r="I919" s="1">
        <v>-7872.8440000000001</v>
      </c>
    </row>
    <row r="920" spans="1:9" hidden="1" x14ac:dyDescent="0.25">
      <c r="A920" s="1" t="s">
        <v>10</v>
      </c>
      <c r="B920" s="1" t="s">
        <v>230</v>
      </c>
      <c r="C920" s="1" t="s">
        <v>143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</row>
    <row r="921" spans="1:9" hidden="1" x14ac:dyDescent="0.25">
      <c r="A921" s="1" t="s">
        <v>10</v>
      </c>
      <c r="B921" s="1" t="s">
        <v>230</v>
      </c>
      <c r="C921" s="1" t="s">
        <v>3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</row>
    <row r="922" spans="1:9" hidden="1" x14ac:dyDescent="0.25">
      <c r="A922" s="1" t="s">
        <v>125</v>
      </c>
      <c r="B922" s="1" t="s">
        <v>231</v>
      </c>
      <c r="C922" s="1" t="s">
        <v>143</v>
      </c>
      <c r="D922" s="1">
        <v>298.95999999999998</v>
      </c>
      <c r="E922" s="1">
        <v>0</v>
      </c>
      <c r="F922" s="1">
        <v>-83.36</v>
      </c>
      <c r="G922" s="1">
        <v>-550.14400000000001</v>
      </c>
      <c r="H922" s="1">
        <v>1793.7619999999999</v>
      </c>
      <c r="I922" s="1">
        <v>-1793.7619999999999</v>
      </c>
    </row>
    <row r="923" spans="1:9" hidden="1" x14ac:dyDescent="0.25">
      <c r="A923" s="1" t="s">
        <v>125</v>
      </c>
      <c r="B923" s="1" t="s">
        <v>231</v>
      </c>
      <c r="C923" s="1" t="s">
        <v>3</v>
      </c>
      <c r="D923" s="1">
        <v>328.04</v>
      </c>
      <c r="E923" s="1">
        <v>0</v>
      </c>
      <c r="F923" s="1">
        <v>-83.36</v>
      </c>
      <c r="G923" s="1">
        <v>-550.14400000000001</v>
      </c>
      <c r="H923" s="1">
        <v>1717.402</v>
      </c>
      <c r="I923" s="1">
        <v>-1968.211</v>
      </c>
    </row>
    <row r="924" spans="1:9" hidden="1" x14ac:dyDescent="0.25">
      <c r="A924" s="1" t="s">
        <v>126</v>
      </c>
      <c r="B924" s="1" t="s">
        <v>231</v>
      </c>
      <c r="C924" s="1" t="s">
        <v>143</v>
      </c>
      <c r="D924" s="1">
        <v>627</v>
      </c>
      <c r="E924" s="1">
        <v>0</v>
      </c>
      <c r="F924" s="1">
        <v>-160.13</v>
      </c>
      <c r="G924" s="1">
        <v>-1057.617</v>
      </c>
      <c r="H924" s="1">
        <v>3511.1640000000002</v>
      </c>
      <c r="I924" s="1">
        <v>-3761.973</v>
      </c>
    </row>
    <row r="925" spans="1:9" hidden="1" x14ac:dyDescent="0.25">
      <c r="A925" s="1" t="s">
        <v>126</v>
      </c>
      <c r="B925" s="1" t="s">
        <v>231</v>
      </c>
      <c r="C925" s="1" t="s">
        <v>3</v>
      </c>
      <c r="D925" s="1">
        <v>656.07</v>
      </c>
      <c r="E925" s="1">
        <v>0</v>
      </c>
      <c r="F925" s="1">
        <v>-160.13</v>
      </c>
      <c r="G925" s="1">
        <v>-1057.617</v>
      </c>
      <c r="H925" s="1">
        <v>3203.7719999999999</v>
      </c>
      <c r="I925" s="1">
        <v>-3936.422</v>
      </c>
    </row>
    <row r="926" spans="1:9" hidden="1" x14ac:dyDescent="0.25">
      <c r="A926" s="1" t="s">
        <v>127</v>
      </c>
      <c r="B926" s="1" t="s">
        <v>231</v>
      </c>
      <c r="C926" s="1" t="s">
        <v>143</v>
      </c>
      <c r="D926" s="1">
        <v>955.03</v>
      </c>
      <c r="E926" s="1">
        <v>0</v>
      </c>
      <c r="F926" s="1">
        <v>-222.8</v>
      </c>
      <c r="G926" s="1">
        <v>-1473.106</v>
      </c>
      <c r="H926" s="1">
        <v>4997.5339999999997</v>
      </c>
      <c r="I926" s="1">
        <v>-5730.1840000000002</v>
      </c>
    </row>
    <row r="927" spans="1:9" hidden="1" x14ac:dyDescent="0.25">
      <c r="A927" s="1" t="s">
        <v>127</v>
      </c>
      <c r="B927" s="1" t="s">
        <v>231</v>
      </c>
      <c r="C927" s="1" t="s">
        <v>3</v>
      </c>
      <c r="D927" s="1">
        <v>984.11</v>
      </c>
      <c r="E927" s="1">
        <v>0</v>
      </c>
      <c r="F927" s="1">
        <v>-222.8</v>
      </c>
      <c r="G927" s="1">
        <v>-1473.106</v>
      </c>
      <c r="H927" s="1">
        <v>4500.7650000000003</v>
      </c>
      <c r="I927" s="1">
        <v>-5904.6329999999998</v>
      </c>
    </row>
    <row r="928" spans="1:9" hidden="1" x14ac:dyDescent="0.25">
      <c r="A928" s="1" t="s">
        <v>9</v>
      </c>
      <c r="B928" s="1" t="s">
        <v>231</v>
      </c>
      <c r="C928" s="1" t="s">
        <v>143</v>
      </c>
      <c r="D928" s="1">
        <v>1283.07</v>
      </c>
      <c r="E928" s="1">
        <v>0</v>
      </c>
      <c r="F928" s="1">
        <v>-265.42</v>
      </c>
      <c r="G928" s="1">
        <v>-1757.194</v>
      </c>
      <c r="H928" s="1">
        <v>6294.527</v>
      </c>
      <c r="I928" s="1">
        <v>-7698.3950000000004</v>
      </c>
    </row>
    <row r="929" spans="1:9" hidden="1" x14ac:dyDescent="0.25">
      <c r="A929" s="1" t="s">
        <v>9</v>
      </c>
      <c r="B929" s="1" t="s">
        <v>231</v>
      </c>
      <c r="C929" s="1" t="s">
        <v>3</v>
      </c>
      <c r="D929" s="1">
        <v>1312.14</v>
      </c>
      <c r="E929" s="1">
        <v>0</v>
      </c>
      <c r="F929" s="1">
        <v>-265.42</v>
      </c>
      <c r="G929" s="1">
        <v>-1757.194</v>
      </c>
      <c r="H929" s="1">
        <v>5661.53</v>
      </c>
      <c r="I929" s="1">
        <v>-7872.8440000000001</v>
      </c>
    </row>
    <row r="930" spans="1:9" hidden="1" x14ac:dyDescent="0.25">
      <c r="A930" s="1" t="s">
        <v>10</v>
      </c>
      <c r="B930" s="1" t="s">
        <v>231</v>
      </c>
      <c r="C930" s="1" t="s">
        <v>143</v>
      </c>
      <c r="D930" s="1">
        <v>0</v>
      </c>
      <c r="E930" s="1">
        <v>0</v>
      </c>
      <c r="F930" s="1">
        <v>0</v>
      </c>
      <c r="G930" s="1">
        <v>0</v>
      </c>
      <c r="H930" s="1">
        <v>0</v>
      </c>
      <c r="I930" s="1">
        <v>0</v>
      </c>
    </row>
    <row r="931" spans="1:9" hidden="1" x14ac:dyDescent="0.25">
      <c r="A931" s="1" t="s">
        <v>10</v>
      </c>
      <c r="B931" s="1" t="s">
        <v>231</v>
      </c>
      <c r="C931" s="1" t="s">
        <v>3</v>
      </c>
      <c r="D931" s="1">
        <v>0</v>
      </c>
      <c r="E931" s="1">
        <v>0</v>
      </c>
      <c r="F931" s="1">
        <v>0</v>
      </c>
      <c r="G931" s="1">
        <v>0</v>
      </c>
      <c r="H931" s="1">
        <v>0</v>
      </c>
      <c r="I931" s="1">
        <v>0</v>
      </c>
    </row>
    <row r="932" spans="1:9" hidden="1" x14ac:dyDescent="0.25">
      <c r="A932" s="1" t="s">
        <v>125</v>
      </c>
      <c r="B932" s="1" t="s">
        <v>232</v>
      </c>
      <c r="C932" s="1" t="s">
        <v>143</v>
      </c>
      <c r="D932" s="1">
        <v>278.91000000000003</v>
      </c>
      <c r="E932" s="1">
        <v>0</v>
      </c>
      <c r="F932" s="1">
        <v>83.36</v>
      </c>
      <c r="G932" s="1">
        <v>550.14400000000001</v>
      </c>
      <c r="H932" s="1">
        <v>1673.461</v>
      </c>
      <c r="I932" s="1">
        <v>-1673.461</v>
      </c>
    </row>
    <row r="933" spans="1:9" hidden="1" x14ac:dyDescent="0.25">
      <c r="A933" s="1" t="s">
        <v>125</v>
      </c>
      <c r="B933" s="1" t="s">
        <v>232</v>
      </c>
      <c r="C933" s="1" t="s">
        <v>3</v>
      </c>
      <c r="D933" s="1">
        <v>305.88</v>
      </c>
      <c r="E933" s="1">
        <v>0</v>
      </c>
      <c r="F933" s="1">
        <v>83.36</v>
      </c>
      <c r="G933" s="1">
        <v>550.14400000000001</v>
      </c>
      <c r="H933" s="1">
        <v>2086.1080000000002</v>
      </c>
      <c r="I933" s="1">
        <v>-1835.299</v>
      </c>
    </row>
    <row r="934" spans="1:9" hidden="1" x14ac:dyDescent="0.25">
      <c r="A934" s="1" t="s">
        <v>126</v>
      </c>
      <c r="B934" s="1" t="s">
        <v>232</v>
      </c>
      <c r="C934" s="1" t="s">
        <v>143</v>
      </c>
      <c r="D934" s="1">
        <v>584.79</v>
      </c>
      <c r="E934" s="1">
        <v>0</v>
      </c>
      <c r="F934" s="1">
        <v>160.13</v>
      </c>
      <c r="G934" s="1">
        <v>1057.617</v>
      </c>
      <c r="H934" s="1">
        <v>3759.569</v>
      </c>
      <c r="I934" s="1">
        <v>-3508.76</v>
      </c>
    </row>
    <row r="935" spans="1:9" hidden="1" x14ac:dyDescent="0.25">
      <c r="A935" s="1" t="s">
        <v>126</v>
      </c>
      <c r="B935" s="1" t="s">
        <v>232</v>
      </c>
      <c r="C935" s="1" t="s">
        <v>3</v>
      </c>
      <c r="D935" s="1">
        <v>611.77</v>
      </c>
      <c r="E935" s="1">
        <v>0</v>
      </c>
      <c r="F935" s="1">
        <v>160.13</v>
      </c>
      <c r="G935" s="1">
        <v>1057.617</v>
      </c>
      <c r="H935" s="1">
        <v>4403.2479999999996</v>
      </c>
      <c r="I935" s="1">
        <v>-3670.598</v>
      </c>
    </row>
    <row r="936" spans="1:9" hidden="1" x14ac:dyDescent="0.25">
      <c r="A936" s="1" t="s">
        <v>127</v>
      </c>
      <c r="B936" s="1" t="s">
        <v>232</v>
      </c>
      <c r="C936" s="1" t="s">
        <v>143</v>
      </c>
      <c r="D936" s="1">
        <v>890.68</v>
      </c>
      <c r="E936" s="1">
        <v>0</v>
      </c>
      <c r="F936" s="1">
        <v>222.8</v>
      </c>
      <c r="G936" s="1">
        <v>1473.106</v>
      </c>
      <c r="H936" s="1">
        <v>6076.7089999999998</v>
      </c>
      <c r="I936" s="1">
        <v>-5344.06</v>
      </c>
    </row>
    <row r="937" spans="1:9" hidden="1" x14ac:dyDescent="0.25">
      <c r="A937" s="1" t="s">
        <v>127</v>
      </c>
      <c r="B937" s="1" t="s">
        <v>232</v>
      </c>
      <c r="C937" s="1" t="s">
        <v>3</v>
      </c>
      <c r="D937" s="1">
        <v>917.65</v>
      </c>
      <c r="E937" s="1">
        <v>0</v>
      </c>
      <c r="F937" s="1">
        <v>222.8</v>
      </c>
      <c r="G937" s="1">
        <v>1473.106</v>
      </c>
      <c r="H937" s="1">
        <v>6909.7650000000003</v>
      </c>
      <c r="I937" s="1">
        <v>-5505.8980000000001</v>
      </c>
    </row>
    <row r="938" spans="1:9" hidden="1" x14ac:dyDescent="0.25">
      <c r="A938" s="1" t="s">
        <v>9</v>
      </c>
      <c r="B938" s="1" t="s">
        <v>232</v>
      </c>
      <c r="C938" s="1" t="s">
        <v>143</v>
      </c>
      <c r="D938" s="1">
        <v>1196.56</v>
      </c>
      <c r="E938" s="1">
        <v>0</v>
      </c>
      <c r="F938" s="1">
        <v>265.42</v>
      </c>
      <c r="G938" s="1">
        <v>1757.194</v>
      </c>
      <c r="H938" s="1">
        <v>8583.2260000000006</v>
      </c>
      <c r="I938" s="1">
        <v>-7179.3590000000004</v>
      </c>
    </row>
    <row r="939" spans="1:9" hidden="1" x14ac:dyDescent="0.25">
      <c r="A939" s="1" t="s">
        <v>9</v>
      </c>
      <c r="B939" s="1" t="s">
        <v>232</v>
      </c>
      <c r="C939" s="1" t="s">
        <v>3</v>
      </c>
      <c r="D939" s="1">
        <v>1223.53</v>
      </c>
      <c r="E939" s="1">
        <v>0</v>
      </c>
      <c r="F939" s="1">
        <v>265.42</v>
      </c>
      <c r="G939" s="1">
        <v>1757.194</v>
      </c>
      <c r="H939" s="1">
        <v>9552.5110000000004</v>
      </c>
      <c r="I939" s="1">
        <v>-7341.1970000000001</v>
      </c>
    </row>
    <row r="940" spans="1:9" hidden="1" x14ac:dyDescent="0.25">
      <c r="A940" s="1" t="s">
        <v>10</v>
      </c>
      <c r="B940" s="1" t="s">
        <v>232</v>
      </c>
      <c r="C940" s="1" t="s">
        <v>143</v>
      </c>
      <c r="D940" s="1">
        <v>0</v>
      </c>
      <c r="E940" s="1">
        <v>0</v>
      </c>
      <c r="F940" s="1">
        <v>0</v>
      </c>
      <c r="G940" s="1">
        <v>0</v>
      </c>
      <c r="H940" s="1">
        <v>0</v>
      </c>
      <c r="I940" s="1">
        <v>0</v>
      </c>
    </row>
    <row r="941" spans="1:9" hidden="1" x14ac:dyDescent="0.25">
      <c r="A941" s="1" t="s">
        <v>10</v>
      </c>
      <c r="B941" s="1" t="s">
        <v>232</v>
      </c>
      <c r="C941" s="1" t="s">
        <v>3</v>
      </c>
      <c r="D941" s="1">
        <v>0</v>
      </c>
      <c r="E941" s="1">
        <v>0</v>
      </c>
      <c r="F941" s="1">
        <v>0</v>
      </c>
      <c r="G941" s="1">
        <v>0</v>
      </c>
      <c r="H941" s="1">
        <v>0</v>
      </c>
      <c r="I941" s="1">
        <v>0</v>
      </c>
    </row>
    <row r="942" spans="1:9" hidden="1" x14ac:dyDescent="0.25">
      <c r="A942" s="1" t="s">
        <v>125</v>
      </c>
      <c r="B942" s="1" t="s">
        <v>233</v>
      </c>
      <c r="C942" s="1" t="s">
        <v>143</v>
      </c>
      <c r="D942" s="1">
        <v>278.91000000000003</v>
      </c>
      <c r="E942" s="1">
        <v>0</v>
      </c>
      <c r="F942" s="1">
        <v>-83.36</v>
      </c>
      <c r="G942" s="1">
        <v>-550.14400000000001</v>
      </c>
      <c r="H942" s="1">
        <v>1673.461</v>
      </c>
      <c r="I942" s="1">
        <v>-1673.461</v>
      </c>
    </row>
    <row r="943" spans="1:9" hidden="1" x14ac:dyDescent="0.25">
      <c r="A943" s="1" t="s">
        <v>125</v>
      </c>
      <c r="B943" s="1" t="s">
        <v>233</v>
      </c>
      <c r="C943" s="1" t="s">
        <v>3</v>
      </c>
      <c r="D943" s="1">
        <v>305.88</v>
      </c>
      <c r="E943" s="1">
        <v>0</v>
      </c>
      <c r="F943" s="1">
        <v>-83.36</v>
      </c>
      <c r="G943" s="1">
        <v>-550.14400000000001</v>
      </c>
      <c r="H943" s="1">
        <v>1584.49</v>
      </c>
      <c r="I943" s="1">
        <v>-1835.299</v>
      </c>
    </row>
    <row r="944" spans="1:9" hidden="1" x14ac:dyDescent="0.25">
      <c r="A944" s="1" t="s">
        <v>126</v>
      </c>
      <c r="B944" s="1" t="s">
        <v>233</v>
      </c>
      <c r="C944" s="1" t="s">
        <v>143</v>
      </c>
      <c r="D944" s="1">
        <v>584.79</v>
      </c>
      <c r="E944" s="1">
        <v>0</v>
      </c>
      <c r="F944" s="1">
        <v>-160.13</v>
      </c>
      <c r="G944" s="1">
        <v>-1057.617</v>
      </c>
      <c r="H944" s="1">
        <v>3257.951</v>
      </c>
      <c r="I944" s="1">
        <v>-3508.76</v>
      </c>
    </row>
    <row r="945" spans="1:9" hidden="1" x14ac:dyDescent="0.25">
      <c r="A945" s="1" t="s">
        <v>126</v>
      </c>
      <c r="B945" s="1" t="s">
        <v>233</v>
      </c>
      <c r="C945" s="1" t="s">
        <v>3</v>
      </c>
      <c r="D945" s="1">
        <v>611.77</v>
      </c>
      <c r="E945" s="1">
        <v>0</v>
      </c>
      <c r="F945" s="1">
        <v>-160.13</v>
      </c>
      <c r="G945" s="1">
        <v>-1057.617</v>
      </c>
      <c r="H945" s="1">
        <v>2937.9490000000001</v>
      </c>
      <c r="I945" s="1">
        <v>-3670.5990000000002</v>
      </c>
    </row>
    <row r="946" spans="1:9" hidden="1" x14ac:dyDescent="0.25">
      <c r="A946" s="1" t="s">
        <v>127</v>
      </c>
      <c r="B946" s="1" t="s">
        <v>233</v>
      </c>
      <c r="C946" s="1" t="s">
        <v>143</v>
      </c>
      <c r="D946" s="1">
        <v>890.68</v>
      </c>
      <c r="E946" s="1">
        <v>0</v>
      </c>
      <c r="F946" s="1">
        <v>-222.8</v>
      </c>
      <c r="G946" s="1">
        <v>-1473.106</v>
      </c>
      <c r="H946" s="1">
        <v>4611.41</v>
      </c>
      <c r="I946" s="1">
        <v>-5344.06</v>
      </c>
    </row>
    <row r="947" spans="1:9" hidden="1" x14ac:dyDescent="0.25">
      <c r="A947" s="1" t="s">
        <v>127</v>
      </c>
      <c r="B947" s="1" t="s">
        <v>233</v>
      </c>
      <c r="C947" s="1" t="s">
        <v>3</v>
      </c>
      <c r="D947" s="1">
        <v>917.65</v>
      </c>
      <c r="E947" s="1">
        <v>0</v>
      </c>
      <c r="F947" s="1">
        <v>-222.8</v>
      </c>
      <c r="G947" s="1">
        <v>-1473.106</v>
      </c>
      <c r="H947" s="1">
        <v>4102.03</v>
      </c>
      <c r="I947" s="1">
        <v>-5505.8980000000001</v>
      </c>
    </row>
    <row r="948" spans="1:9" hidden="1" x14ac:dyDescent="0.25">
      <c r="A948" s="1" t="s">
        <v>9</v>
      </c>
      <c r="B948" s="1" t="s">
        <v>233</v>
      </c>
      <c r="C948" s="1" t="s">
        <v>143</v>
      </c>
      <c r="D948" s="1">
        <v>1196.56</v>
      </c>
      <c r="E948" s="1">
        <v>0</v>
      </c>
      <c r="F948" s="1">
        <v>-265.42</v>
      </c>
      <c r="G948" s="1">
        <v>-1757.194</v>
      </c>
      <c r="H948" s="1">
        <v>5775.491</v>
      </c>
      <c r="I948" s="1">
        <v>-7179.3590000000004</v>
      </c>
    </row>
    <row r="949" spans="1:9" hidden="1" x14ac:dyDescent="0.25">
      <c r="A949" s="1" t="s">
        <v>9</v>
      </c>
      <c r="B949" s="1" t="s">
        <v>233</v>
      </c>
      <c r="C949" s="1" t="s">
        <v>3</v>
      </c>
      <c r="D949" s="1">
        <v>1223.53</v>
      </c>
      <c r="E949" s="1">
        <v>0</v>
      </c>
      <c r="F949" s="1">
        <v>-265.42</v>
      </c>
      <c r="G949" s="1">
        <v>-1757.194</v>
      </c>
      <c r="H949" s="1">
        <v>5129.8829999999998</v>
      </c>
      <c r="I949" s="1">
        <v>-7341.1970000000001</v>
      </c>
    </row>
    <row r="950" spans="1:9" hidden="1" x14ac:dyDescent="0.25">
      <c r="A950" s="1" t="s">
        <v>10</v>
      </c>
      <c r="B950" s="1" t="s">
        <v>233</v>
      </c>
      <c r="C950" s="1" t="s">
        <v>143</v>
      </c>
      <c r="D950" s="1">
        <v>0</v>
      </c>
      <c r="E950" s="1">
        <v>0</v>
      </c>
      <c r="F950" s="1">
        <v>0</v>
      </c>
      <c r="G950" s="1">
        <v>0</v>
      </c>
      <c r="H950" s="1">
        <v>0</v>
      </c>
      <c r="I950" s="1">
        <v>0</v>
      </c>
    </row>
    <row r="951" spans="1:9" hidden="1" x14ac:dyDescent="0.25">
      <c r="A951" s="1" t="s">
        <v>10</v>
      </c>
      <c r="B951" s="1" t="s">
        <v>233</v>
      </c>
      <c r="C951" s="1" t="s">
        <v>3</v>
      </c>
      <c r="D951" s="1">
        <v>0</v>
      </c>
      <c r="E951" s="1">
        <v>0</v>
      </c>
      <c r="F951" s="1">
        <v>0</v>
      </c>
      <c r="G951" s="1">
        <v>0</v>
      </c>
      <c r="H951" s="1">
        <v>0</v>
      </c>
      <c r="I951" s="1">
        <v>0</v>
      </c>
    </row>
    <row r="952" spans="1:9" hidden="1" x14ac:dyDescent="0.25">
      <c r="A952" s="1" t="s">
        <v>125</v>
      </c>
      <c r="B952" s="1" t="s">
        <v>234</v>
      </c>
      <c r="C952" s="1" t="s">
        <v>143</v>
      </c>
      <c r="D952" s="1">
        <v>322.35000000000002</v>
      </c>
      <c r="E952" s="1">
        <v>27.28</v>
      </c>
      <c r="F952" s="1">
        <v>0</v>
      </c>
      <c r="G952" s="1">
        <v>180.047</v>
      </c>
      <c r="H952" s="1">
        <v>1934.1130000000001</v>
      </c>
      <c r="I952" s="1">
        <v>-1934.1130000000001</v>
      </c>
    </row>
    <row r="953" spans="1:9" hidden="1" x14ac:dyDescent="0.25">
      <c r="A953" s="1" t="s">
        <v>125</v>
      </c>
      <c r="B953" s="1" t="s">
        <v>234</v>
      </c>
      <c r="C953" s="1" t="s">
        <v>3</v>
      </c>
      <c r="D953" s="1">
        <v>353.88</v>
      </c>
      <c r="E953" s="1">
        <v>27.28</v>
      </c>
      <c r="F953" s="1">
        <v>0</v>
      </c>
      <c r="G953" s="1">
        <v>180.047</v>
      </c>
      <c r="H953" s="1">
        <v>2123.2739999999999</v>
      </c>
      <c r="I953" s="1">
        <v>-2041.192</v>
      </c>
    </row>
    <row r="954" spans="1:9" hidden="1" x14ac:dyDescent="0.25">
      <c r="A954" s="1" t="s">
        <v>126</v>
      </c>
      <c r="B954" s="1" t="s">
        <v>234</v>
      </c>
      <c r="C954" s="1" t="s">
        <v>143</v>
      </c>
      <c r="D954" s="1">
        <v>676.23</v>
      </c>
      <c r="E954" s="1">
        <v>52.41</v>
      </c>
      <c r="F954" s="1">
        <v>0</v>
      </c>
      <c r="G954" s="1">
        <v>346.12900000000002</v>
      </c>
      <c r="H954" s="1">
        <v>4057.3870000000002</v>
      </c>
      <c r="I954" s="1">
        <v>-3975.3040000000001</v>
      </c>
    </row>
    <row r="955" spans="1:9" hidden="1" x14ac:dyDescent="0.25">
      <c r="A955" s="1" t="s">
        <v>126</v>
      </c>
      <c r="B955" s="1" t="s">
        <v>234</v>
      </c>
      <c r="C955" s="1" t="s">
        <v>3</v>
      </c>
      <c r="D955" s="1">
        <v>707.76</v>
      </c>
      <c r="E955" s="1">
        <v>52.41</v>
      </c>
      <c r="F955" s="1">
        <v>0</v>
      </c>
      <c r="G955" s="1">
        <v>346.12900000000002</v>
      </c>
      <c r="H955" s="1">
        <v>4246.549</v>
      </c>
      <c r="I955" s="1">
        <v>-4006.7730000000001</v>
      </c>
    </row>
    <row r="956" spans="1:9" hidden="1" x14ac:dyDescent="0.25">
      <c r="A956" s="1" t="s">
        <v>127</v>
      </c>
      <c r="B956" s="1" t="s">
        <v>234</v>
      </c>
      <c r="C956" s="1" t="s">
        <v>143</v>
      </c>
      <c r="D956" s="1">
        <v>1030.1099999999999</v>
      </c>
      <c r="E956" s="1">
        <v>72.91</v>
      </c>
      <c r="F956" s="1">
        <v>0</v>
      </c>
      <c r="G956" s="1">
        <v>482.108</v>
      </c>
      <c r="H956" s="1">
        <v>6180.6620000000003</v>
      </c>
      <c r="I956" s="1">
        <v>-5940.8860000000004</v>
      </c>
    </row>
    <row r="957" spans="1:9" hidden="1" x14ac:dyDescent="0.25">
      <c r="A957" s="1" t="s">
        <v>127</v>
      </c>
      <c r="B957" s="1" t="s">
        <v>234</v>
      </c>
      <c r="C957" s="1" t="s">
        <v>3</v>
      </c>
      <c r="D957" s="1">
        <v>1061.6400000000001</v>
      </c>
      <c r="E957" s="1">
        <v>72.91</v>
      </c>
      <c r="F957" s="1">
        <v>0</v>
      </c>
      <c r="G957" s="1">
        <v>482.108</v>
      </c>
      <c r="H957" s="1">
        <v>6369.8230000000003</v>
      </c>
      <c r="I957" s="1">
        <v>-5910.3760000000002</v>
      </c>
    </row>
    <row r="958" spans="1:9" hidden="1" x14ac:dyDescent="0.25">
      <c r="A958" s="1" t="s">
        <v>9</v>
      </c>
      <c r="B958" s="1" t="s">
        <v>234</v>
      </c>
      <c r="C958" s="1" t="s">
        <v>143</v>
      </c>
      <c r="D958" s="1">
        <v>1383.99</v>
      </c>
      <c r="E958" s="1">
        <v>86.86</v>
      </c>
      <c r="F958" s="1">
        <v>0</v>
      </c>
      <c r="G958" s="1">
        <v>575.08199999999999</v>
      </c>
      <c r="H958" s="1">
        <v>8303.9359999999997</v>
      </c>
      <c r="I958" s="1">
        <v>-7844.4889999999996</v>
      </c>
    </row>
    <row r="959" spans="1:9" hidden="1" x14ac:dyDescent="0.25">
      <c r="A959" s="1" t="s">
        <v>9</v>
      </c>
      <c r="B959" s="1" t="s">
        <v>234</v>
      </c>
      <c r="C959" s="1" t="s">
        <v>3</v>
      </c>
      <c r="D959" s="1">
        <v>1415.52</v>
      </c>
      <c r="E959" s="1">
        <v>86.86</v>
      </c>
      <c r="F959" s="1">
        <v>0</v>
      </c>
      <c r="G959" s="1">
        <v>575.08199999999999</v>
      </c>
      <c r="H959" s="1">
        <v>8493.098</v>
      </c>
      <c r="I959" s="1">
        <v>-7769.3950000000004</v>
      </c>
    </row>
    <row r="960" spans="1:9" hidden="1" x14ac:dyDescent="0.25">
      <c r="A960" s="1" t="s">
        <v>10</v>
      </c>
      <c r="B960" s="1" t="s">
        <v>234</v>
      </c>
      <c r="C960" s="1" t="s">
        <v>143</v>
      </c>
      <c r="D960" s="1">
        <v>0</v>
      </c>
      <c r="E960" s="1">
        <v>0</v>
      </c>
      <c r="F960" s="1">
        <v>0</v>
      </c>
      <c r="G960" s="1">
        <v>0</v>
      </c>
      <c r="H960" s="1">
        <v>0</v>
      </c>
      <c r="I960" s="1">
        <v>0</v>
      </c>
    </row>
    <row r="961" spans="1:9" hidden="1" x14ac:dyDescent="0.25">
      <c r="A961" s="1" t="s">
        <v>10</v>
      </c>
      <c r="B961" s="1" t="s">
        <v>234</v>
      </c>
      <c r="C961" s="1" t="s">
        <v>3</v>
      </c>
      <c r="D961" s="1">
        <v>0</v>
      </c>
      <c r="E961" s="1">
        <v>0</v>
      </c>
      <c r="F961" s="1">
        <v>0</v>
      </c>
      <c r="G961" s="1">
        <v>0</v>
      </c>
      <c r="H961" s="1">
        <v>0</v>
      </c>
      <c r="I961" s="1">
        <v>0</v>
      </c>
    </row>
    <row r="962" spans="1:9" hidden="1" x14ac:dyDescent="0.25">
      <c r="A962" s="1" t="s">
        <v>125</v>
      </c>
      <c r="B962" s="1" t="s">
        <v>235</v>
      </c>
      <c r="C962" s="1" t="s">
        <v>143</v>
      </c>
      <c r="D962" s="1">
        <v>322.35000000000002</v>
      </c>
      <c r="E962" s="1">
        <v>-27.28</v>
      </c>
      <c r="F962" s="1">
        <v>0</v>
      </c>
      <c r="G962" s="1">
        <v>-180.047</v>
      </c>
      <c r="H962" s="1">
        <v>1934.1130000000001</v>
      </c>
      <c r="I962" s="1">
        <v>-1934.1130000000001</v>
      </c>
    </row>
    <row r="963" spans="1:9" hidden="1" x14ac:dyDescent="0.25">
      <c r="A963" s="1" t="s">
        <v>125</v>
      </c>
      <c r="B963" s="1" t="s">
        <v>235</v>
      </c>
      <c r="C963" s="1" t="s">
        <v>3</v>
      </c>
      <c r="D963" s="1">
        <v>353.88</v>
      </c>
      <c r="E963" s="1">
        <v>-27.28</v>
      </c>
      <c r="F963" s="1">
        <v>0</v>
      </c>
      <c r="G963" s="1">
        <v>-180.047</v>
      </c>
      <c r="H963" s="1">
        <v>2123.2739999999999</v>
      </c>
      <c r="I963" s="1">
        <v>-2205.357</v>
      </c>
    </row>
    <row r="964" spans="1:9" hidden="1" x14ac:dyDescent="0.25">
      <c r="A964" s="1" t="s">
        <v>126</v>
      </c>
      <c r="B964" s="1" t="s">
        <v>235</v>
      </c>
      <c r="C964" s="1" t="s">
        <v>143</v>
      </c>
      <c r="D964" s="1">
        <v>676.23</v>
      </c>
      <c r="E964" s="1">
        <v>-52.41</v>
      </c>
      <c r="F964" s="1">
        <v>0</v>
      </c>
      <c r="G964" s="1">
        <v>-346.12900000000002</v>
      </c>
      <c r="H964" s="1">
        <v>4057.3870000000002</v>
      </c>
      <c r="I964" s="1">
        <v>-4139.47</v>
      </c>
    </row>
    <row r="965" spans="1:9" hidden="1" x14ac:dyDescent="0.25">
      <c r="A965" s="1" t="s">
        <v>126</v>
      </c>
      <c r="B965" s="1" t="s">
        <v>235</v>
      </c>
      <c r="C965" s="1" t="s">
        <v>3</v>
      </c>
      <c r="D965" s="1">
        <v>707.76</v>
      </c>
      <c r="E965" s="1">
        <v>-52.41</v>
      </c>
      <c r="F965" s="1">
        <v>0</v>
      </c>
      <c r="G965" s="1">
        <v>-346.12900000000002</v>
      </c>
      <c r="H965" s="1">
        <v>4246.549</v>
      </c>
      <c r="I965" s="1">
        <v>-4486.3249999999998</v>
      </c>
    </row>
    <row r="966" spans="1:9" hidden="1" x14ac:dyDescent="0.25">
      <c r="A966" s="1" t="s">
        <v>127</v>
      </c>
      <c r="B966" s="1" t="s">
        <v>235</v>
      </c>
      <c r="C966" s="1" t="s">
        <v>143</v>
      </c>
      <c r="D966" s="1">
        <v>1030.1099999999999</v>
      </c>
      <c r="E966" s="1">
        <v>-72.91</v>
      </c>
      <c r="F966" s="1">
        <v>0</v>
      </c>
      <c r="G966" s="1">
        <v>-482.108</v>
      </c>
      <c r="H966" s="1">
        <v>6180.6620000000003</v>
      </c>
      <c r="I966" s="1">
        <v>-6420.4380000000001</v>
      </c>
    </row>
    <row r="967" spans="1:9" hidden="1" x14ac:dyDescent="0.25">
      <c r="A967" s="1" t="s">
        <v>127</v>
      </c>
      <c r="B967" s="1" t="s">
        <v>235</v>
      </c>
      <c r="C967" s="1" t="s">
        <v>3</v>
      </c>
      <c r="D967" s="1">
        <v>1061.6400000000001</v>
      </c>
      <c r="E967" s="1">
        <v>-72.91</v>
      </c>
      <c r="F967" s="1">
        <v>0</v>
      </c>
      <c r="G967" s="1">
        <v>-482.108</v>
      </c>
      <c r="H967" s="1">
        <v>6369.8230000000003</v>
      </c>
      <c r="I967" s="1">
        <v>-6829.2709999999997</v>
      </c>
    </row>
    <row r="968" spans="1:9" hidden="1" x14ac:dyDescent="0.25">
      <c r="A968" s="1" t="s">
        <v>9</v>
      </c>
      <c r="B968" s="1" t="s">
        <v>235</v>
      </c>
      <c r="C968" s="1" t="s">
        <v>143</v>
      </c>
      <c r="D968" s="1">
        <v>1383.99</v>
      </c>
      <c r="E968" s="1">
        <v>-86.86</v>
      </c>
      <c r="F968" s="1">
        <v>0</v>
      </c>
      <c r="G968" s="1">
        <v>-575.08199999999999</v>
      </c>
      <c r="H968" s="1">
        <v>8303.9359999999997</v>
      </c>
      <c r="I968" s="1">
        <v>-8763.384</v>
      </c>
    </row>
    <row r="969" spans="1:9" hidden="1" x14ac:dyDescent="0.25">
      <c r="A969" s="1" t="s">
        <v>9</v>
      </c>
      <c r="B969" s="1" t="s">
        <v>235</v>
      </c>
      <c r="C969" s="1" t="s">
        <v>3</v>
      </c>
      <c r="D969" s="1">
        <v>1415.52</v>
      </c>
      <c r="E969" s="1">
        <v>-86.86</v>
      </c>
      <c r="F969" s="1">
        <v>0</v>
      </c>
      <c r="G969" s="1">
        <v>-575.08199999999999</v>
      </c>
      <c r="H969" s="1">
        <v>8493.098</v>
      </c>
      <c r="I969" s="1">
        <v>-9216.8009999999995</v>
      </c>
    </row>
    <row r="970" spans="1:9" hidden="1" x14ac:dyDescent="0.25">
      <c r="A970" s="1" t="s">
        <v>10</v>
      </c>
      <c r="B970" s="1" t="s">
        <v>235</v>
      </c>
      <c r="C970" s="1" t="s">
        <v>143</v>
      </c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0</v>
      </c>
    </row>
    <row r="971" spans="1:9" hidden="1" x14ac:dyDescent="0.25">
      <c r="A971" s="1" t="s">
        <v>10</v>
      </c>
      <c r="B971" s="1" t="s">
        <v>235</v>
      </c>
      <c r="C971" s="1" t="s">
        <v>3</v>
      </c>
      <c r="D971" s="1">
        <v>0</v>
      </c>
      <c r="E971" s="1">
        <v>0</v>
      </c>
      <c r="F971" s="1">
        <v>0</v>
      </c>
      <c r="G971" s="1">
        <v>0</v>
      </c>
      <c r="H971" s="1">
        <v>0</v>
      </c>
      <c r="I971" s="1">
        <v>0</v>
      </c>
    </row>
    <row r="972" spans="1:9" hidden="1" x14ac:dyDescent="0.25">
      <c r="A972" s="1" t="s">
        <v>125</v>
      </c>
      <c r="B972" s="1" t="s">
        <v>236</v>
      </c>
      <c r="C972" s="1" t="s">
        <v>143</v>
      </c>
      <c r="D972" s="1">
        <v>255.52</v>
      </c>
      <c r="E972" s="1">
        <v>27.28</v>
      </c>
      <c r="F972" s="1">
        <v>0</v>
      </c>
      <c r="G972" s="1">
        <v>180.047</v>
      </c>
      <c r="H972" s="1">
        <v>1533.11</v>
      </c>
      <c r="I972" s="1">
        <v>-1533.11</v>
      </c>
    </row>
    <row r="973" spans="1:9" hidden="1" x14ac:dyDescent="0.25">
      <c r="A973" s="1" t="s">
        <v>125</v>
      </c>
      <c r="B973" s="1" t="s">
        <v>236</v>
      </c>
      <c r="C973" s="1" t="s">
        <v>3</v>
      </c>
      <c r="D973" s="1">
        <v>280.04000000000002</v>
      </c>
      <c r="E973" s="1">
        <v>27.28</v>
      </c>
      <c r="F973" s="1">
        <v>0</v>
      </c>
      <c r="G973" s="1">
        <v>180.047</v>
      </c>
      <c r="H973" s="1">
        <v>1680.2360000000001</v>
      </c>
      <c r="I973" s="1">
        <v>-1598.153</v>
      </c>
    </row>
    <row r="974" spans="1:9" hidden="1" x14ac:dyDescent="0.25">
      <c r="A974" s="1" t="s">
        <v>126</v>
      </c>
      <c r="B974" s="1" t="s">
        <v>236</v>
      </c>
      <c r="C974" s="1" t="s">
        <v>143</v>
      </c>
      <c r="D974" s="1">
        <v>535.55999999999995</v>
      </c>
      <c r="E974" s="1">
        <v>52.41</v>
      </c>
      <c r="F974" s="1">
        <v>0</v>
      </c>
      <c r="G974" s="1">
        <v>346.12900000000002</v>
      </c>
      <c r="H974" s="1">
        <v>3213.346</v>
      </c>
      <c r="I974" s="1">
        <v>-3131.2629999999999</v>
      </c>
    </row>
    <row r="975" spans="1:9" hidden="1" x14ac:dyDescent="0.25">
      <c r="A975" s="1" t="s">
        <v>126</v>
      </c>
      <c r="B975" s="1" t="s">
        <v>236</v>
      </c>
      <c r="C975" s="1" t="s">
        <v>3</v>
      </c>
      <c r="D975" s="1">
        <v>560.08000000000004</v>
      </c>
      <c r="E975" s="1">
        <v>52.41</v>
      </c>
      <c r="F975" s="1">
        <v>0</v>
      </c>
      <c r="G975" s="1">
        <v>346.12900000000002</v>
      </c>
      <c r="H975" s="1">
        <v>3360.471</v>
      </c>
      <c r="I975" s="1">
        <v>-3120.6950000000002</v>
      </c>
    </row>
    <row r="976" spans="1:9" hidden="1" x14ac:dyDescent="0.25">
      <c r="A976" s="1" t="s">
        <v>127</v>
      </c>
      <c r="B976" s="1" t="s">
        <v>236</v>
      </c>
      <c r="C976" s="1" t="s">
        <v>143</v>
      </c>
      <c r="D976" s="1">
        <v>815.6</v>
      </c>
      <c r="E976" s="1">
        <v>72.91</v>
      </c>
      <c r="F976" s="1">
        <v>0</v>
      </c>
      <c r="G976" s="1">
        <v>482.108</v>
      </c>
      <c r="H976" s="1">
        <v>4893.5810000000001</v>
      </c>
      <c r="I976" s="1">
        <v>-4653.8050000000003</v>
      </c>
    </row>
    <row r="977" spans="1:9" hidden="1" x14ac:dyDescent="0.25">
      <c r="A977" s="1" t="s">
        <v>127</v>
      </c>
      <c r="B977" s="1" t="s">
        <v>236</v>
      </c>
      <c r="C977" s="1" t="s">
        <v>3</v>
      </c>
      <c r="D977" s="1">
        <v>840.12</v>
      </c>
      <c r="E977" s="1">
        <v>72.91</v>
      </c>
      <c r="F977" s="1">
        <v>0</v>
      </c>
      <c r="G977" s="1">
        <v>482.108</v>
      </c>
      <c r="H977" s="1">
        <v>5040.7070000000003</v>
      </c>
      <c r="I977" s="1">
        <v>-4581.26</v>
      </c>
    </row>
    <row r="978" spans="1:9" hidden="1" x14ac:dyDescent="0.25">
      <c r="A978" s="1" t="s">
        <v>9</v>
      </c>
      <c r="B978" s="1" t="s">
        <v>236</v>
      </c>
      <c r="C978" s="1" t="s">
        <v>143</v>
      </c>
      <c r="D978" s="1">
        <v>1095.6400000000001</v>
      </c>
      <c r="E978" s="1">
        <v>86.86</v>
      </c>
      <c r="F978" s="1">
        <v>0</v>
      </c>
      <c r="G978" s="1">
        <v>575.08199999999999</v>
      </c>
      <c r="H978" s="1">
        <v>6573.817</v>
      </c>
      <c r="I978" s="1">
        <v>-6114.37</v>
      </c>
    </row>
    <row r="979" spans="1:9" hidden="1" x14ac:dyDescent="0.25">
      <c r="A979" s="1" t="s">
        <v>9</v>
      </c>
      <c r="B979" s="1" t="s">
        <v>236</v>
      </c>
      <c r="C979" s="1" t="s">
        <v>3</v>
      </c>
      <c r="D979" s="1">
        <v>1120.1600000000001</v>
      </c>
      <c r="E979" s="1">
        <v>86.86</v>
      </c>
      <c r="F979" s="1">
        <v>0</v>
      </c>
      <c r="G979" s="1">
        <v>575.08199999999999</v>
      </c>
      <c r="H979" s="1">
        <v>6720.9430000000002</v>
      </c>
      <c r="I979" s="1">
        <v>-5997.24</v>
      </c>
    </row>
    <row r="980" spans="1:9" hidden="1" x14ac:dyDescent="0.25">
      <c r="A980" s="1" t="s">
        <v>10</v>
      </c>
      <c r="B980" s="1" t="s">
        <v>236</v>
      </c>
      <c r="C980" s="1" t="s">
        <v>143</v>
      </c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</v>
      </c>
    </row>
    <row r="981" spans="1:9" hidden="1" x14ac:dyDescent="0.25">
      <c r="A981" s="1" t="s">
        <v>10</v>
      </c>
      <c r="B981" s="1" t="s">
        <v>236</v>
      </c>
      <c r="C981" s="1" t="s">
        <v>3</v>
      </c>
      <c r="D981" s="1">
        <v>0</v>
      </c>
      <c r="E981" s="1">
        <v>0</v>
      </c>
      <c r="F981" s="1">
        <v>0</v>
      </c>
      <c r="G981" s="1">
        <v>0</v>
      </c>
      <c r="H981" s="1">
        <v>0</v>
      </c>
      <c r="I981" s="1">
        <v>0</v>
      </c>
    </row>
    <row r="982" spans="1:9" hidden="1" x14ac:dyDescent="0.25">
      <c r="A982" s="1" t="s">
        <v>125</v>
      </c>
      <c r="B982" s="1" t="s">
        <v>237</v>
      </c>
      <c r="C982" s="1" t="s">
        <v>143</v>
      </c>
      <c r="D982" s="1">
        <v>255.52</v>
      </c>
      <c r="E982" s="1">
        <v>-27.28</v>
      </c>
      <c r="F982" s="1">
        <v>0</v>
      </c>
      <c r="G982" s="1">
        <v>-180.047</v>
      </c>
      <c r="H982" s="1">
        <v>1533.11</v>
      </c>
      <c r="I982" s="1">
        <v>-1533.11</v>
      </c>
    </row>
    <row r="983" spans="1:9" hidden="1" x14ac:dyDescent="0.25">
      <c r="A983" s="1" t="s">
        <v>125</v>
      </c>
      <c r="B983" s="1" t="s">
        <v>237</v>
      </c>
      <c r="C983" s="1" t="s">
        <v>3</v>
      </c>
      <c r="D983" s="1">
        <v>280.04000000000002</v>
      </c>
      <c r="E983" s="1">
        <v>-27.28</v>
      </c>
      <c r="F983" s="1">
        <v>0</v>
      </c>
      <c r="G983" s="1">
        <v>-180.047</v>
      </c>
      <c r="H983" s="1">
        <v>1680.2360000000001</v>
      </c>
      <c r="I983" s="1">
        <v>-1762.319</v>
      </c>
    </row>
    <row r="984" spans="1:9" hidden="1" x14ac:dyDescent="0.25">
      <c r="A984" s="1" t="s">
        <v>126</v>
      </c>
      <c r="B984" s="1" t="s">
        <v>237</v>
      </c>
      <c r="C984" s="1" t="s">
        <v>143</v>
      </c>
      <c r="D984" s="1">
        <v>535.55999999999995</v>
      </c>
      <c r="E984" s="1">
        <v>-52.41</v>
      </c>
      <c r="F984" s="1">
        <v>0</v>
      </c>
      <c r="G984" s="1">
        <v>-346.12900000000002</v>
      </c>
      <c r="H984" s="1">
        <v>3213.346</v>
      </c>
      <c r="I984" s="1">
        <v>-3295.4290000000001</v>
      </c>
    </row>
    <row r="985" spans="1:9" hidden="1" x14ac:dyDescent="0.25">
      <c r="A985" s="1" t="s">
        <v>126</v>
      </c>
      <c r="B985" s="1" t="s">
        <v>237</v>
      </c>
      <c r="C985" s="1" t="s">
        <v>3</v>
      </c>
      <c r="D985" s="1">
        <v>560.08000000000004</v>
      </c>
      <c r="E985" s="1">
        <v>-52.41</v>
      </c>
      <c r="F985" s="1">
        <v>0</v>
      </c>
      <c r="G985" s="1">
        <v>-346.12900000000002</v>
      </c>
      <c r="H985" s="1">
        <v>3360.471</v>
      </c>
      <c r="I985" s="1">
        <v>-3600.248</v>
      </c>
    </row>
    <row r="986" spans="1:9" hidden="1" x14ac:dyDescent="0.25">
      <c r="A986" s="1" t="s">
        <v>127</v>
      </c>
      <c r="B986" s="1" t="s">
        <v>237</v>
      </c>
      <c r="C986" s="1" t="s">
        <v>143</v>
      </c>
      <c r="D986" s="1">
        <v>815.6</v>
      </c>
      <c r="E986" s="1">
        <v>-72.91</v>
      </c>
      <c r="F986" s="1">
        <v>0</v>
      </c>
      <c r="G986" s="1">
        <v>-482.108</v>
      </c>
      <c r="H986" s="1">
        <v>4893.5810000000001</v>
      </c>
      <c r="I986" s="1">
        <v>-5133.3580000000002</v>
      </c>
    </row>
    <row r="987" spans="1:9" hidden="1" x14ac:dyDescent="0.25">
      <c r="A987" s="1" t="s">
        <v>127</v>
      </c>
      <c r="B987" s="1" t="s">
        <v>237</v>
      </c>
      <c r="C987" s="1" t="s">
        <v>3</v>
      </c>
      <c r="D987" s="1">
        <v>840.12</v>
      </c>
      <c r="E987" s="1">
        <v>-72.91</v>
      </c>
      <c r="F987" s="1">
        <v>0</v>
      </c>
      <c r="G987" s="1">
        <v>-482.108</v>
      </c>
      <c r="H987" s="1">
        <v>5040.7070000000003</v>
      </c>
      <c r="I987" s="1">
        <v>-5500.1549999999997</v>
      </c>
    </row>
    <row r="988" spans="1:9" hidden="1" x14ac:dyDescent="0.25">
      <c r="A988" s="1" t="s">
        <v>9</v>
      </c>
      <c r="B988" s="1" t="s">
        <v>237</v>
      </c>
      <c r="C988" s="1" t="s">
        <v>143</v>
      </c>
      <c r="D988" s="1">
        <v>1095.6400000000001</v>
      </c>
      <c r="E988" s="1">
        <v>-86.86</v>
      </c>
      <c r="F988" s="1">
        <v>0</v>
      </c>
      <c r="G988" s="1">
        <v>-575.08199999999999</v>
      </c>
      <c r="H988" s="1">
        <v>6573.817</v>
      </c>
      <c r="I988" s="1">
        <v>-7033.2650000000003</v>
      </c>
    </row>
    <row r="989" spans="1:9" hidden="1" x14ac:dyDescent="0.25">
      <c r="A989" s="1" t="s">
        <v>9</v>
      </c>
      <c r="B989" s="1" t="s">
        <v>237</v>
      </c>
      <c r="C989" s="1" t="s">
        <v>3</v>
      </c>
      <c r="D989" s="1">
        <v>1120.1600000000001</v>
      </c>
      <c r="E989" s="1">
        <v>-86.86</v>
      </c>
      <c r="F989" s="1">
        <v>0</v>
      </c>
      <c r="G989" s="1">
        <v>-575.08199999999999</v>
      </c>
      <c r="H989" s="1">
        <v>6720.9430000000002</v>
      </c>
      <c r="I989" s="1">
        <v>-7444.6450000000004</v>
      </c>
    </row>
    <row r="990" spans="1:9" hidden="1" x14ac:dyDescent="0.25">
      <c r="A990" s="1" t="s">
        <v>10</v>
      </c>
      <c r="B990" s="1" t="s">
        <v>237</v>
      </c>
      <c r="C990" s="1" t="s">
        <v>143</v>
      </c>
      <c r="D990" s="1">
        <v>0</v>
      </c>
      <c r="E990" s="1">
        <v>0</v>
      </c>
      <c r="F990" s="1">
        <v>0</v>
      </c>
      <c r="G990" s="1">
        <v>0</v>
      </c>
      <c r="H990" s="1">
        <v>0</v>
      </c>
      <c r="I990" s="1">
        <v>0</v>
      </c>
    </row>
    <row r="991" spans="1:9" hidden="1" x14ac:dyDescent="0.25">
      <c r="A991" s="1" t="s">
        <v>10</v>
      </c>
      <c r="B991" s="1" t="s">
        <v>237</v>
      </c>
      <c r="C991" s="1" t="s">
        <v>3</v>
      </c>
      <c r="D991" s="1">
        <v>0</v>
      </c>
      <c r="E991" s="1">
        <v>0</v>
      </c>
      <c r="F991" s="1">
        <v>0</v>
      </c>
      <c r="G991" s="1">
        <v>0</v>
      </c>
      <c r="H991" s="1">
        <v>0</v>
      </c>
      <c r="I991" s="1">
        <v>0</v>
      </c>
    </row>
    <row r="992" spans="1:9" hidden="1" x14ac:dyDescent="0.25">
      <c r="A992" s="1" t="s">
        <v>125</v>
      </c>
      <c r="B992" s="1" t="s">
        <v>238</v>
      </c>
      <c r="C992" s="1" t="s">
        <v>143</v>
      </c>
      <c r="D992" s="1">
        <v>322.35000000000002</v>
      </c>
      <c r="E992" s="1">
        <v>0</v>
      </c>
      <c r="F992" s="1">
        <v>25.01</v>
      </c>
      <c r="G992" s="1">
        <v>165.04300000000001</v>
      </c>
      <c r="H992" s="1">
        <v>1934.1130000000001</v>
      </c>
      <c r="I992" s="1">
        <v>-1934.1130000000001</v>
      </c>
    </row>
    <row r="993" spans="1:9" hidden="1" x14ac:dyDescent="0.25">
      <c r="A993" s="1" t="s">
        <v>125</v>
      </c>
      <c r="B993" s="1" t="s">
        <v>238</v>
      </c>
      <c r="C993" s="1" t="s">
        <v>3</v>
      </c>
      <c r="D993" s="1">
        <v>353.88</v>
      </c>
      <c r="E993" s="1">
        <v>0</v>
      </c>
      <c r="F993" s="1">
        <v>25.01</v>
      </c>
      <c r="G993" s="1">
        <v>165.04300000000001</v>
      </c>
      <c r="H993" s="1">
        <v>2198.5169999999998</v>
      </c>
      <c r="I993" s="1">
        <v>-2123.2739999999999</v>
      </c>
    </row>
    <row r="994" spans="1:9" hidden="1" x14ac:dyDescent="0.25">
      <c r="A994" s="1" t="s">
        <v>126</v>
      </c>
      <c r="B994" s="1" t="s">
        <v>238</v>
      </c>
      <c r="C994" s="1" t="s">
        <v>143</v>
      </c>
      <c r="D994" s="1">
        <v>676.23</v>
      </c>
      <c r="E994" s="1">
        <v>0</v>
      </c>
      <c r="F994" s="1">
        <v>48.04</v>
      </c>
      <c r="G994" s="1">
        <v>317.28500000000003</v>
      </c>
      <c r="H994" s="1">
        <v>4132.63</v>
      </c>
      <c r="I994" s="1">
        <v>-4057.3870000000002</v>
      </c>
    </row>
    <row r="995" spans="1:9" hidden="1" x14ac:dyDescent="0.25">
      <c r="A995" s="1" t="s">
        <v>126</v>
      </c>
      <c r="B995" s="1" t="s">
        <v>238</v>
      </c>
      <c r="C995" s="1" t="s">
        <v>3</v>
      </c>
      <c r="D995" s="1">
        <v>707.76</v>
      </c>
      <c r="E995" s="1">
        <v>0</v>
      </c>
      <c r="F995" s="1">
        <v>48.04</v>
      </c>
      <c r="G995" s="1">
        <v>317.28500000000003</v>
      </c>
      <c r="H995" s="1">
        <v>4466.3440000000001</v>
      </c>
      <c r="I995" s="1">
        <v>-4246.549</v>
      </c>
    </row>
    <row r="996" spans="1:9" hidden="1" x14ac:dyDescent="0.25">
      <c r="A996" s="1" t="s">
        <v>127</v>
      </c>
      <c r="B996" s="1" t="s">
        <v>238</v>
      </c>
      <c r="C996" s="1" t="s">
        <v>143</v>
      </c>
      <c r="D996" s="1">
        <v>1030.1099999999999</v>
      </c>
      <c r="E996" s="1">
        <v>0</v>
      </c>
      <c r="F996" s="1">
        <v>66.84</v>
      </c>
      <c r="G996" s="1">
        <v>441.93200000000002</v>
      </c>
      <c r="H996" s="1">
        <v>6400.4570000000003</v>
      </c>
      <c r="I996" s="1">
        <v>-6180.6620000000003</v>
      </c>
    </row>
    <row r="997" spans="1:9" hidden="1" x14ac:dyDescent="0.25">
      <c r="A997" s="1" t="s">
        <v>127</v>
      </c>
      <c r="B997" s="1" t="s">
        <v>238</v>
      </c>
      <c r="C997" s="1" t="s">
        <v>3</v>
      </c>
      <c r="D997" s="1">
        <v>1061.6400000000001</v>
      </c>
      <c r="E997" s="1">
        <v>0</v>
      </c>
      <c r="F997" s="1">
        <v>66.84</v>
      </c>
      <c r="G997" s="1">
        <v>441.93200000000002</v>
      </c>
      <c r="H997" s="1">
        <v>6790.9840000000004</v>
      </c>
      <c r="I997" s="1">
        <v>-6369.8230000000003</v>
      </c>
    </row>
    <row r="998" spans="1:9" hidden="1" x14ac:dyDescent="0.25">
      <c r="A998" s="1" t="s">
        <v>9</v>
      </c>
      <c r="B998" s="1" t="s">
        <v>238</v>
      </c>
      <c r="C998" s="1" t="s">
        <v>143</v>
      </c>
      <c r="D998" s="1">
        <v>1383.99</v>
      </c>
      <c r="E998" s="1">
        <v>0</v>
      </c>
      <c r="F998" s="1">
        <v>79.62</v>
      </c>
      <c r="G998" s="1">
        <v>527.15800000000002</v>
      </c>
      <c r="H998" s="1">
        <v>8725.0969999999998</v>
      </c>
      <c r="I998" s="1">
        <v>-8303.9359999999997</v>
      </c>
    </row>
    <row r="999" spans="1:9" hidden="1" x14ac:dyDescent="0.25">
      <c r="A999" s="1" t="s">
        <v>9</v>
      </c>
      <c r="B999" s="1" t="s">
        <v>238</v>
      </c>
      <c r="C999" s="1" t="s">
        <v>3</v>
      </c>
      <c r="D999" s="1">
        <v>1415.52</v>
      </c>
      <c r="E999" s="1">
        <v>0</v>
      </c>
      <c r="F999" s="1">
        <v>79.62</v>
      </c>
      <c r="G999" s="1">
        <v>527.15800000000002</v>
      </c>
      <c r="H999" s="1">
        <v>9156.4920000000002</v>
      </c>
      <c r="I999" s="1">
        <v>-8493.098</v>
      </c>
    </row>
    <row r="1000" spans="1:9" hidden="1" x14ac:dyDescent="0.25">
      <c r="A1000" s="1" t="s">
        <v>10</v>
      </c>
      <c r="B1000" s="1" t="s">
        <v>238</v>
      </c>
      <c r="C1000" s="1" t="s">
        <v>143</v>
      </c>
      <c r="D1000" s="1">
        <v>0</v>
      </c>
      <c r="E1000" s="1">
        <v>0</v>
      </c>
      <c r="F1000" s="1">
        <v>0</v>
      </c>
      <c r="G1000" s="1">
        <v>0</v>
      </c>
      <c r="H1000" s="1">
        <v>0</v>
      </c>
      <c r="I1000" s="1">
        <v>0</v>
      </c>
    </row>
    <row r="1001" spans="1:9" hidden="1" x14ac:dyDescent="0.25">
      <c r="A1001" s="1" t="s">
        <v>10</v>
      </c>
      <c r="B1001" s="1" t="s">
        <v>238</v>
      </c>
      <c r="C1001" s="1" t="s">
        <v>3</v>
      </c>
      <c r="D1001" s="1">
        <v>0</v>
      </c>
      <c r="E1001" s="1">
        <v>0</v>
      </c>
      <c r="F1001" s="1">
        <v>0</v>
      </c>
      <c r="G1001" s="1">
        <v>0</v>
      </c>
      <c r="H1001" s="1">
        <v>0</v>
      </c>
      <c r="I1001" s="1">
        <v>0</v>
      </c>
    </row>
    <row r="1002" spans="1:9" hidden="1" x14ac:dyDescent="0.25">
      <c r="A1002" s="1" t="s">
        <v>125</v>
      </c>
      <c r="B1002" s="1" t="s">
        <v>239</v>
      </c>
      <c r="C1002" s="1" t="s">
        <v>143</v>
      </c>
      <c r="D1002" s="1">
        <v>322.35000000000002</v>
      </c>
      <c r="E1002" s="1">
        <v>0</v>
      </c>
      <c r="F1002" s="1">
        <v>-25.01</v>
      </c>
      <c r="G1002" s="1">
        <v>-165.04300000000001</v>
      </c>
      <c r="H1002" s="1">
        <v>1934.1130000000001</v>
      </c>
      <c r="I1002" s="1">
        <v>-1934.1130000000001</v>
      </c>
    </row>
    <row r="1003" spans="1:9" hidden="1" x14ac:dyDescent="0.25">
      <c r="A1003" s="1" t="s">
        <v>125</v>
      </c>
      <c r="B1003" s="1" t="s">
        <v>239</v>
      </c>
      <c r="C1003" s="1" t="s">
        <v>3</v>
      </c>
      <c r="D1003" s="1">
        <v>353.88</v>
      </c>
      <c r="E1003" s="1">
        <v>0</v>
      </c>
      <c r="F1003" s="1">
        <v>-25.01</v>
      </c>
      <c r="G1003" s="1">
        <v>-165.04300000000001</v>
      </c>
      <c r="H1003" s="1">
        <v>2048.0320000000002</v>
      </c>
      <c r="I1003" s="1">
        <v>-2123.2739999999999</v>
      </c>
    </row>
    <row r="1004" spans="1:9" hidden="1" x14ac:dyDescent="0.25">
      <c r="A1004" s="1" t="s">
        <v>126</v>
      </c>
      <c r="B1004" s="1" t="s">
        <v>239</v>
      </c>
      <c r="C1004" s="1" t="s">
        <v>143</v>
      </c>
      <c r="D1004" s="1">
        <v>676.23</v>
      </c>
      <c r="E1004" s="1">
        <v>0</v>
      </c>
      <c r="F1004" s="1">
        <v>-48.04</v>
      </c>
      <c r="G1004" s="1">
        <v>-317.28500000000003</v>
      </c>
      <c r="H1004" s="1">
        <v>3982.145</v>
      </c>
      <c r="I1004" s="1">
        <v>-4057.3870000000002</v>
      </c>
    </row>
    <row r="1005" spans="1:9" hidden="1" x14ac:dyDescent="0.25">
      <c r="A1005" s="1" t="s">
        <v>126</v>
      </c>
      <c r="B1005" s="1" t="s">
        <v>239</v>
      </c>
      <c r="C1005" s="1" t="s">
        <v>3</v>
      </c>
      <c r="D1005" s="1">
        <v>707.76</v>
      </c>
      <c r="E1005" s="1">
        <v>0</v>
      </c>
      <c r="F1005" s="1">
        <v>-48.04</v>
      </c>
      <c r="G1005" s="1">
        <v>-317.28500000000003</v>
      </c>
      <c r="H1005" s="1">
        <v>4026.7539999999999</v>
      </c>
      <c r="I1005" s="1">
        <v>-4246.549</v>
      </c>
    </row>
    <row r="1006" spans="1:9" hidden="1" x14ac:dyDescent="0.25">
      <c r="A1006" s="1" t="s">
        <v>127</v>
      </c>
      <c r="B1006" s="1" t="s">
        <v>239</v>
      </c>
      <c r="C1006" s="1" t="s">
        <v>143</v>
      </c>
      <c r="D1006" s="1">
        <v>1030.1099999999999</v>
      </c>
      <c r="E1006" s="1">
        <v>0</v>
      </c>
      <c r="F1006" s="1">
        <v>-66.84</v>
      </c>
      <c r="G1006" s="1">
        <v>-441.93200000000002</v>
      </c>
      <c r="H1006" s="1">
        <v>5960.8670000000002</v>
      </c>
      <c r="I1006" s="1">
        <v>-6180.6620000000003</v>
      </c>
    </row>
    <row r="1007" spans="1:9" hidden="1" x14ac:dyDescent="0.25">
      <c r="A1007" s="1" t="s">
        <v>127</v>
      </c>
      <c r="B1007" s="1" t="s">
        <v>239</v>
      </c>
      <c r="C1007" s="1" t="s">
        <v>3</v>
      </c>
      <c r="D1007" s="1">
        <v>1061.6400000000001</v>
      </c>
      <c r="E1007" s="1">
        <v>0</v>
      </c>
      <c r="F1007" s="1">
        <v>-66.84</v>
      </c>
      <c r="G1007" s="1">
        <v>-441.93200000000002</v>
      </c>
      <c r="H1007" s="1">
        <v>5948.6629999999996</v>
      </c>
      <c r="I1007" s="1">
        <v>-6369.8230000000003</v>
      </c>
    </row>
    <row r="1008" spans="1:9" hidden="1" x14ac:dyDescent="0.25">
      <c r="A1008" s="1" t="s">
        <v>9</v>
      </c>
      <c r="B1008" s="1" t="s">
        <v>239</v>
      </c>
      <c r="C1008" s="1" t="s">
        <v>143</v>
      </c>
      <c r="D1008" s="1">
        <v>1383.99</v>
      </c>
      <c r="E1008" s="1">
        <v>0</v>
      </c>
      <c r="F1008" s="1">
        <v>-79.62</v>
      </c>
      <c r="G1008" s="1">
        <v>-527.15800000000002</v>
      </c>
      <c r="H1008" s="1">
        <v>7882.7759999999998</v>
      </c>
      <c r="I1008" s="1">
        <v>-8303.9359999999997</v>
      </c>
    </row>
    <row r="1009" spans="1:9" hidden="1" x14ac:dyDescent="0.25">
      <c r="A1009" s="1" t="s">
        <v>9</v>
      </c>
      <c r="B1009" s="1" t="s">
        <v>239</v>
      </c>
      <c r="C1009" s="1" t="s">
        <v>3</v>
      </c>
      <c r="D1009" s="1">
        <v>1415.52</v>
      </c>
      <c r="E1009" s="1">
        <v>0</v>
      </c>
      <c r="F1009" s="1">
        <v>-79.62</v>
      </c>
      <c r="G1009" s="1">
        <v>-527.15800000000002</v>
      </c>
      <c r="H1009" s="1">
        <v>7829.7039999999997</v>
      </c>
      <c r="I1009" s="1">
        <v>-8493.098</v>
      </c>
    </row>
    <row r="1010" spans="1:9" hidden="1" x14ac:dyDescent="0.25">
      <c r="A1010" s="1" t="s">
        <v>10</v>
      </c>
      <c r="B1010" s="1" t="s">
        <v>239</v>
      </c>
      <c r="C1010" s="1" t="s">
        <v>143</v>
      </c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</row>
    <row r="1011" spans="1:9" hidden="1" x14ac:dyDescent="0.25">
      <c r="A1011" s="1" t="s">
        <v>10</v>
      </c>
      <c r="B1011" s="1" t="s">
        <v>239</v>
      </c>
      <c r="C1011" s="1" t="s">
        <v>3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</row>
    <row r="1012" spans="1:9" hidden="1" x14ac:dyDescent="0.25">
      <c r="A1012" s="1" t="s">
        <v>125</v>
      </c>
      <c r="B1012" s="1" t="s">
        <v>240</v>
      </c>
      <c r="C1012" s="1" t="s">
        <v>143</v>
      </c>
      <c r="D1012" s="1">
        <v>255.52</v>
      </c>
      <c r="E1012" s="1">
        <v>0</v>
      </c>
      <c r="F1012" s="1">
        <v>25.01</v>
      </c>
      <c r="G1012" s="1">
        <v>165.04300000000001</v>
      </c>
      <c r="H1012" s="1">
        <v>1533.11</v>
      </c>
      <c r="I1012" s="1">
        <v>-1533.11</v>
      </c>
    </row>
    <row r="1013" spans="1:9" hidden="1" x14ac:dyDescent="0.25">
      <c r="A1013" s="1" t="s">
        <v>125</v>
      </c>
      <c r="B1013" s="1" t="s">
        <v>240</v>
      </c>
      <c r="C1013" s="1" t="s">
        <v>3</v>
      </c>
      <c r="D1013" s="1">
        <v>280.04000000000002</v>
      </c>
      <c r="E1013" s="1">
        <v>0</v>
      </c>
      <c r="F1013" s="1">
        <v>25.01</v>
      </c>
      <c r="G1013" s="1">
        <v>165.04300000000001</v>
      </c>
      <c r="H1013" s="1">
        <v>1755.4780000000001</v>
      </c>
      <c r="I1013" s="1">
        <v>-1680.2360000000001</v>
      </c>
    </row>
    <row r="1014" spans="1:9" hidden="1" x14ac:dyDescent="0.25">
      <c r="A1014" s="1" t="s">
        <v>126</v>
      </c>
      <c r="B1014" s="1" t="s">
        <v>240</v>
      </c>
      <c r="C1014" s="1" t="s">
        <v>143</v>
      </c>
      <c r="D1014" s="1">
        <v>535.55999999999995</v>
      </c>
      <c r="E1014" s="1">
        <v>0</v>
      </c>
      <c r="F1014" s="1">
        <v>48.04</v>
      </c>
      <c r="G1014" s="1">
        <v>317.28500000000003</v>
      </c>
      <c r="H1014" s="1">
        <v>3288.5880000000002</v>
      </c>
      <c r="I1014" s="1">
        <v>-3213.346</v>
      </c>
    </row>
    <row r="1015" spans="1:9" hidden="1" x14ac:dyDescent="0.25">
      <c r="A1015" s="1" t="s">
        <v>126</v>
      </c>
      <c r="B1015" s="1" t="s">
        <v>240</v>
      </c>
      <c r="C1015" s="1" t="s">
        <v>3</v>
      </c>
      <c r="D1015" s="1">
        <v>560.08000000000004</v>
      </c>
      <c r="E1015" s="1">
        <v>0</v>
      </c>
      <c r="F1015" s="1">
        <v>48.04</v>
      </c>
      <c r="G1015" s="1">
        <v>317.28500000000003</v>
      </c>
      <c r="H1015" s="1">
        <v>3580.2660000000001</v>
      </c>
      <c r="I1015" s="1">
        <v>-3360.471</v>
      </c>
    </row>
    <row r="1016" spans="1:9" hidden="1" x14ac:dyDescent="0.25">
      <c r="A1016" s="1" t="s">
        <v>127</v>
      </c>
      <c r="B1016" s="1" t="s">
        <v>240</v>
      </c>
      <c r="C1016" s="1" t="s">
        <v>143</v>
      </c>
      <c r="D1016" s="1">
        <v>815.6</v>
      </c>
      <c r="E1016" s="1">
        <v>0</v>
      </c>
      <c r="F1016" s="1">
        <v>66.84</v>
      </c>
      <c r="G1016" s="1">
        <v>441.93200000000002</v>
      </c>
      <c r="H1016" s="1">
        <v>5113.3760000000002</v>
      </c>
      <c r="I1016" s="1">
        <v>-4893.5810000000001</v>
      </c>
    </row>
    <row r="1017" spans="1:9" hidden="1" x14ac:dyDescent="0.25">
      <c r="A1017" s="1" t="s">
        <v>127</v>
      </c>
      <c r="B1017" s="1" t="s">
        <v>240</v>
      </c>
      <c r="C1017" s="1" t="s">
        <v>3</v>
      </c>
      <c r="D1017" s="1">
        <v>840.12</v>
      </c>
      <c r="E1017" s="1">
        <v>0</v>
      </c>
      <c r="F1017" s="1">
        <v>66.84</v>
      </c>
      <c r="G1017" s="1">
        <v>441.93200000000002</v>
      </c>
      <c r="H1017" s="1">
        <v>5461.8670000000002</v>
      </c>
      <c r="I1017" s="1">
        <v>-5040.7070000000003</v>
      </c>
    </row>
    <row r="1018" spans="1:9" hidden="1" x14ac:dyDescent="0.25">
      <c r="A1018" s="1" t="s">
        <v>9</v>
      </c>
      <c r="B1018" s="1" t="s">
        <v>240</v>
      </c>
      <c r="C1018" s="1" t="s">
        <v>143</v>
      </c>
      <c r="D1018" s="1">
        <v>1095.6400000000001</v>
      </c>
      <c r="E1018" s="1">
        <v>0</v>
      </c>
      <c r="F1018" s="1">
        <v>79.62</v>
      </c>
      <c r="G1018" s="1">
        <v>527.15800000000002</v>
      </c>
      <c r="H1018" s="1">
        <v>6994.9769999999999</v>
      </c>
      <c r="I1018" s="1">
        <v>-6573.817</v>
      </c>
    </row>
    <row r="1019" spans="1:9" hidden="1" x14ac:dyDescent="0.25">
      <c r="A1019" s="1" t="s">
        <v>9</v>
      </c>
      <c r="B1019" s="1" t="s">
        <v>240</v>
      </c>
      <c r="C1019" s="1" t="s">
        <v>3</v>
      </c>
      <c r="D1019" s="1">
        <v>1120.1600000000001</v>
      </c>
      <c r="E1019" s="1">
        <v>0</v>
      </c>
      <c r="F1019" s="1">
        <v>79.62</v>
      </c>
      <c r="G1019" s="1">
        <v>527.15800000000002</v>
      </c>
      <c r="H1019" s="1">
        <v>7384.3370000000004</v>
      </c>
      <c r="I1019" s="1">
        <v>-6720.9430000000002</v>
      </c>
    </row>
    <row r="1020" spans="1:9" hidden="1" x14ac:dyDescent="0.25">
      <c r="A1020" s="1" t="s">
        <v>10</v>
      </c>
      <c r="B1020" s="1" t="s">
        <v>240</v>
      </c>
      <c r="C1020" s="1" t="s">
        <v>143</v>
      </c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</row>
    <row r="1021" spans="1:9" hidden="1" x14ac:dyDescent="0.25">
      <c r="A1021" s="1" t="s">
        <v>10</v>
      </c>
      <c r="B1021" s="1" t="s">
        <v>240</v>
      </c>
      <c r="C1021" s="1" t="s">
        <v>3</v>
      </c>
      <c r="D1021" s="1">
        <v>0</v>
      </c>
      <c r="E1021" s="1">
        <v>0</v>
      </c>
      <c r="F1021" s="1">
        <v>0</v>
      </c>
      <c r="G1021" s="1">
        <v>0</v>
      </c>
      <c r="H1021" s="1">
        <v>0</v>
      </c>
      <c r="I1021" s="1">
        <v>0</v>
      </c>
    </row>
    <row r="1022" spans="1:9" hidden="1" x14ac:dyDescent="0.25">
      <c r="A1022" s="1" t="s">
        <v>125</v>
      </c>
      <c r="B1022" s="1" t="s">
        <v>241</v>
      </c>
      <c r="C1022" s="1" t="s">
        <v>143</v>
      </c>
      <c r="D1022" s="1">
        <v>255.52</v>
      </c>
      <c r="E1022" s="1">
        <v>0</v>
      </c>
      <c r="F1022" s="1">
        <v>-25.01</v>
      </c>
      <c r="G1022" s="1">
        <v>-165.04300000000001</v>
      </c>
      <c r="H1022" s="1">
        <v>1533.11</v>
      </c>
      <c r="I1022" s="1">
        <v>-1533.11</v>
      </c>
    </row>
    <row r="1023" spans="1:9" hidden="1" x14ac:dyDescent="0.25">
      <c r="A1023" s="1" t="s">
        <v>125</v>
      </c>
      <c r="B1023" s="1" t="s">
        <v>241</v>
      </c>
      <c r="C1023" s="1" t="s">
        <v>3</v>
      </c>
      <c r="D1023" s="1">
        <v>280.04000000000002</v>
      </c>
      <c r="E1023" s="1">
        <v>0</v>
      </c>
      <c r="F1023" s="1">
        <v>-25.01</v>
      </c>
      <c r="G1023" s="1">
        <v>-165.04300000000001</v>
      </c>
      <c r="H1023" s="1">
        <v>1604.9929999999999</v>
      </c>
      <c r="I1023" s="1">
        <v>-1680.2360000000001</v>
      </c>
    </row>
    <row r="1024" spans="1:9" hidden="1" x14ac:dyDescent="0.25">
      <c r="A1024" s="1" t="s">
        <v>126</v>
      </c>
      <c r="B1024" s="1" t="s">
        <v>241</v>
      </c>
      <c r="C1024" s="1" t="s">
        <v>143</v>
      </c>
      <c r="D1024" s="1">
        <v>535.55999999999995</v>
      </c>
      <c r="E1024" s="1">
        <v>0</v>
      </c>
      <c r="F1024" s="1">
        <v>-48.04</v>
      </c>
      <c r="G1024" s="1">
        <v>-317.28500000000003</v>
      </c>
      <c r="H1024" s="1">
        <v>3138.1030000000001</v>
      </c>
      <c r="I1024" s="1">
        <v>-3213.346</v>
      </c>
    </row>
    <row r="1025" spans="1:9" hidden="1" x14ac:dyDescent="0.25">
      <c r="A1025" s="1" t="s">
        <v>126</v>
      </c>
      <c r="B1025" s="1" t="s">
        <v>241</v>
      </c>
      <c r="C1025" s="1" t="s">
        <v>3</v>
      </c>
      <c r="D1025" s="1">
        <v>560.08000000000004</v>
      </c>
      <c r="E1025" s="1">
        <v>0</v>
      </c>
      <c r="F1025" s="1">
        <v>-48.04</v>
      </c>
      <c r="G1025" s="1">
        <v>-317.28500000000003</v>
      </c>
      <c r="H1025" s="1">
        <v>3140.6770000000001</v>
      </c>
      <c r="I1025" s="1">
        <v>-3360.471</v>
      </c>
    </row>
    <row r="1026" spans="1:9" hidden="1" x14ac:dyDescent="0.25">
      <c r="A1026" s="1" t="s">
        <v>127</v>
      </c>
      <c r="B1026" s="1" t="s">
        <v>241</v>
      </c>
      <c r="C1026" s="1" t="s">
        <v>143</v>
      </c>
      <c r="D1026" s="1">
        <v>815.6</v>
      </c>
      <c r="E1026" s="1">
        <v>0</v>
      </c>
      <c r="F1026" s="1">
        <v>-66.84</v>
      </c>
      <c r="G1026" s="1">
        <v>-441.93200000000002</v>
      </c>
      <c r="H1026" s="1">
        <v>4673.7870000000003</v>
      </c>
      <c r="I1026" s="1">
        <v>-4893.5810000000001</v>
      </c>
    </row>
    <row r="1027" spans="1:9" hidden="1" x14ac:dyDescent="0.25">
      <c r="A1027" s="1" t="s">
        <v>127</v>
      </c>
      <c r="B1027" s="1" t="s">
        <v>241</v>
      </c>
      <c r="C1027" s="1" t="s">
        <v>3</v>
      </c>
      <c r="D1027" s="1">
        <v>840.12</v>
      </c>
      <c r="E1027" s="1">
        <v>0</v>
      </c>
      <c r="F1027" s="1">
        <v>-66.84</v>
      </c>
      <c r="G1027" s="1">
        <v>-441.93200000000002</v>
      </c>
      <c r="H1027" s="1">
        <v>4619.5469999999996</v>
      </c>
      <c r="I1027" s="1">
        <v>-5040.7070000000003</v>
      </c>
    </row>
    <row r="1028" spans="1:9" hidden="1" x14ac:dyDescent="0.25">
      <c r="A1028" s="1" t="s">
        <v>9</v>
      </c>
      <c r="B1028" s="1" t="s">
        <v>241</v>
      </c>
      <c r="C1028" s="1" t="s">
        <v>143</v>
      </c>
      <c r="D1028" s="1">
        <v>1095.6400000000001</v>
      </c>
      <c r="E1028" s="1">
        <v>0</v>
      </c>
      <c r="F1028" s="1">
        <v>-79.62</v>
      </c>
      <c r="G1028" s="1">
        <v>-527.15800000000002</v>
      </c>
      <c r="H1028" s="1">
        <v>6152.6570000000002</v>
      </c>
      <c r="I1028" s="1">
        <v>-6573.817</v>
      </c>
    </row>
    <row r="1029" spans="1:9" hidden="1" x14ac:dyDescent="0.25">
      <c r="A1029" s="1" t="s">
        <v>9</v>
      </c>
      <c r="B1029" s="1" t="s">
        <v>241</v>
      </c>
      <c r="C1029" s="1" t="s">
        <v>3</v>
      </c>
      <c r="D1029" s="1">
        <v>1120.1600000000001</v>
      </c>
      <c r="E1029" s="1">
        <v>0</v>
      </c>
      <c r="F1029" s="1">
        <v>-79.62</v>
      </c>
      <c r="G1029" s="1">
        <v>-527.15800000000002</v>
      </c>
      <c r="H1029" s="1">
        <v>6057.549</v>
      </c>
      <c r="I1029" s="1">
        <v>-6720.9430000000002</v>
      </c>
    </row>
    <row r="1030" spans="1:9" hidden="1" x14ac:dyDescent="0.25">
      <c r="A1030" s="1" t="s">
        <v>10</v>
      </c>
      <c r="B1030" s="1" t="s">
        <v>241</v>
      </c>
      <c r="C1030" s="1" t="s">
        <v>143</v>
      </c>
      <c r="D1030" s="1">
        <v>0</v>
      </c>
      <c r="E1030" s="1">
        <v>0</v>
      </c>
      <c r="F1030" s="1">
        <v>0</v>
      </c>
      <c r="G1030" s="1">
        <v>0</v>
      </c>
      <c r="H1030" s="1">
        <v>0</v>
      </c>
      <c r="I1030" s="1">
        <v>0</v>
      </c>
    </row>
    <row r="1031" spans="1:9" hidden="1" x14ac:dyDescent="0.25">
      <c r="A1031" s="1" t="s">
        <v>10</v>
      </c>
      <c r="B1031" s="1" t="s">
        <v>241</v>
      </c>
      <c r="C1031" s="1" t="s">
        <v>3</v>
      </c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</row>
    <row r="1032" spans="1:9" hidden="1" x14ac:dyDescent="0.25">
      <c r="A1032" s="1" t="s">
        <v>125</v>
      </c>
      <c r="B1032" s="1" t="s">
        <v>242</v>
      </c>
      <c r="C1032" s="1" t="s">
        <v>143</v>
      </c>
      <c r="D1032" s="1">
        <v>210.53</v>
      </c>
      <c r="E1032" s="1">
        <v>90.93</v>
      </c>
      <c r="F1032" s="1">
        <v>0</v>
      </c>
      <c r="G1032" s="1">
        <v>600.15700000000004</v>
      </c>
      <c r="H1032" s="1">
        <v>1263.1590000000001</v>
      </c>
      <c r="I1032" s="1">
        <v>-1263.1590000000001</v>
      </c>
    </row>
    <row r="1033" spans="1:9" hidden="1" x14ac:dyDescent="0.25">
      <c r="A1033" s="1" t="s">
        <v>125</v>
      </c>
      <c r="B1033" s="1" t="s">
        <v>242</v>
      </c>
      <c r="C1033" s="1" t="s">
        <v>3</v>
      </c>
      <c r="D1033" s="1">
        <v>232.6</v>
      </c>
      <c r="E1033" s="1">
        <v>90.93</v>
      </c>
      <c r="F1033" s="1">
        <v>0</v>
      </c>
      <c r="G1033" s="1">
        <v>600.15700000000004</v>
      </c>
      <c r="H1033" s="1">
        <v>1395.5719999999999</v>
      </c>
      <c r="I1033" s="1">
        <v>-1121.962</v>
      </c>
    </row>
    <row r="1034" spans="1:9" hidden="1" x14ac:dyDescent="0.25">
      <c r="A1034" s="1" t="s">
        <v>126</v>
      </c>
      <c r="B1034" s="1" t="s">
        <v>242</v>
      </c>
      <c r="C1034" s="1" t="s">
        <v>143</v>
      </c>
      <c r="D1034" s="1">
        <v>443.12</v>
      </c>
      <c r="E1034" s="1">
        <v>174.68</v>
      </c>
      <c r="F1034" s="1">
        <v>0</v>
      </c>
      <c r="G1034" s="1">
        <v>1153.7639999999999</v>
      </c>
      <c r="H1034" s="1">
        <v>2658.7310000000002</v>
      </c>
      <c r="I1034" s="1">
        <v>-2385.1219999999998</v>
      </c>
    </row>
    <row r="1035" spans="1:9" hidden="1" x14ac:dyDescent="0.25">
      <c r="A1035" s="1" t="s">
        <v>126</v>
      </c>
      <c r="B1035" s="1" t="s">
        <v>242</v>
      </c>
      <c r="C1035" s="1" t="s">
        <v>3</v>
      </c>
      <c r="D1035" s="1">
        <v>465.19</v>
      </c>
      <c r="E1035" s="1">
        <v>174.68</v>
      </c>
      <c r="F1035" s="1">
        <v>0</v>
      </c>
      <c r="G1035" s="1">
        <v>1153.7639999999999</v>
      </c>
      <c r="H1035" s="1">
        <v>2791.1439999999998</v>
      </c>
      <c r="I1035" s="1">
        <v>-1991.89</v>
      </c>
    </row>
    <row r="1036" spans="1:9" hidden="1" x14ac:dyDescent="0.25">
      <c r="A1036" s="1" t="s">
        <v>127</v>
      </c>
      <c r="B1036" s="1" t="s">
        <v>242</v>
      </c>
      <c r="C1036" s="1" t="s">
        <v>143</v>
      </c>
      <c r="D1036" s="1">
        <v>675.72</v>
      </c>
      <c r="E1036" s="1">
        <v>243.05</v>
      </c>
      <c r="F1036" s="1">
        <v>0</v>
      </c>
      <c r="G1036" s="1">
        <v>1607.0250000000001</v>
      </c>
      <c r="H1036" s="1">
        <v>4054.3029999999999</v>
      </c>
      <c r="I1036" s="1">
        <v>-3255.049</v>
      </c>
    </row>
    <row r="1037" spans="1:9" hidden="1" x14ac:dyDescent="0.25">
      <c r="A1037" s="1" t="s">
        <v>127</v>
      </c>
      <c r="B1037" s="1" t="s">
        <v>242</v>
      </c>
      <c r="C1037" s="1" t="s">
        <v>3</v>
      </c>
      <c r="D1037" s="1">
        <v>697.79</v>
      </c>
      <c r="E1037" s="1">
        <v>243.05</v>
      </c>
      <c r="F1037" s="1">
        <v>0</v>
      </c>
      <c r="G1037" s="1">
        <v>1607.0250000000001</v>
      </c>
      <c r="H1037" s="1">
        <v>4186.7160000000003</v>
      </c>
      <c r="I1037" s="1">
        <v>-2655.2249999999999</v>
      </c>
    </row>
    <row r="1038" spans="1:9" hidden="1" x14ac:dyDescent="0.25">
      <c r="A1038" s="1" t="s">
        <v>9</v>
      </c>
      <c r="B1038" s="1" t="s">
        <v>242</v>
      </c>
      <c r="C1038" s="1" t="s">
        <v>143</v>
      </c>
      <c r="D1038" s="1">
        <v>908.31</v>
      </c>
      <c r="E1038" s="1">
        <v>289.55</v>
      </c>
      <c r="F1038" s="1">
        <v>0</v>
      </c>
      <c r="G1038" s="1">
        <v>1916.9390000000001</v>
      </c>
      <c r="H1038" s="1">
        <v>5449.875</v>
      </c>
      <c r="I1038" s="1">
        <v>-3918.384</v>
      </c>
    </row>
    <row r="1039" spans="1:9" hidden="1" x14ac:dyDescent="0.25">
      <c r="A1039" s="1" t="s">
        <v>9</v>
      </c>
      <c r="B1039" s="1" t="s">
        <v>242</v>
      </c>
      <c r="C1039" s="1" t="s">
        <v>3</v>
      </c>
      <c r="D1039" s="1">
        <v>930.38</v>
      </c>
      <c r="E1039" s="1">
        <v>289.55</v>
      </c>
      <c r="F1039" s="1">
        <v>0</v>
      </c>
      <c r="G1039" s="1">
        <v>1916.9390000000001</v>
      </c>
      <c r="H1039" s="1">
        <v>5582.2879999999996</v>
      </c>
      <c r="I1039" s="1">
        <v>-3169.9459999999999</v>
      </c>
    </row>
    <row r="1040" spans="1:9" hidden="1" x14ac:dyDescent="0.25">
      <c r="A1040" s="1" t="s">
        <v>10</v>
      </c>
      <c r="B1040" s="1" t="s">
        <v>242</v>
      </c>
      <c r="C1040" s="1" t="s">
        <v>143</v>
      </c>
      <c r="D1040" s="1">
        <v>0</v>
      </c>
      <c r="E1040" s="1">
        <v>0</v>
      </c>
      <c r="F1040" s="1">
        <v>0</v>
      </c>
      <c r="G1040" s="1">
        <v>0</v>
      </c>
      <c r="H1040" s="1">
        <v>0</v>
      </c>
      <c r="I1040" s="1">
        <v>0</v>
      </c>
    </row>
    <row r="1041" spans="1:9" hidden="1" x14ac:dyDescent="0.25">
      <c r="A1041" s="1" t="s">
        <v>10</v>
      </c>
      <c r="B1041" s="1" t="s">
        <v>242</v>
      </c>
      <c r="C1041" s="1" t="s">
        <v>3</v>
      </c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</row>
    <row r="1042" spans="1:9" hidden="1" x14ac:dyDescent="0.25">
      <c r="A1042" s="1" t="s">
        <v>125</v>
      </c>
      <c r="B1042" s="1" t="s">
        <v>243</v>
      </c>
      <c r="C1042" s="1" t="s">
        <v>143</v>
      </c>
      <c r="D1042" s="1">
        <v>210.53</v>
      </c>
      <c r="E1042" s="1">
        <v>-90.93</v>
      </c>
      <c r="F1042" s="1">
        <v>0</v>
      </c>
      <c r="G1042" s="1">
        <v>-600.15700000000004</v>
      </c>
      <c r="H1042" s="1">
        <v>1263.1590000000001</v>
      </c>
      <c r="I1042" s="1">
        <v>-1263.1590000000001</v>
      </c>
    </row>
    <row r="1043" spans="1:9" hidden="1" x14ac:dyDescent="0.25">
      <c r="A1043" s="1" t="s">
        <v>125</v>
      </c>
      <c r="B1043" s="1" t="s">
        <v>243</v>
      </c>
      <c r="C1043" s="1" t="s">
        <v>3</v>
      </c>
      <c r="D1043" s="1">
        <v>232.6</v>
      </c>
      <c r="E1043" s="1">
        <v>-90.93</v>
      </c>
      <c r="F1043" s="1">
        <v>0</v>
      </c>
      <c r="G1043" s="1">
        <v>-600.15700000000004</v>
      </c>
      <c r="H1043" s="1">
        <v>1395.5719999999999</v>
      </c>
      <c r="I1043" s="1">
        <v>-1669.182</v>
      </c>
    </row>
    <row r="1044" spans="1:9" hidden="1" x14ac:dyDescent="0.25">
      <c r="A1044" s="1" t="s">
        <v>126</v>
      </c>
      <c r="B1044" s="1" t="s">
        <v>243</v>
      </c>
      <c r="C1044" s="1" t="s">
        <v>143</v>
      </c>
      <c r="D1044" s="1">
        <v>443.12</v>
      </c>
      <c r="E1044" s="1">
        <v>-174.68</v>
      </c>
      <c r="F1044" s="1">
        <v>0</v>
      </c>
      <c r="G1044" s="1">
        <v>-1153.7639999999999</v>
      </c>
      <c r="H1044" s="1">
        <v>2658.7310000000002</v>
      </c>
      <c r="I1044" s="1">
        <v>-2932.3409999999999</v>
      </c>
    </row>
    <row r="1045" spans="1:9" hidden="1" x14ac:dyDescent="0.25">
      <c r="A1045" s="1" t="s">
        <v>126</v>
      </c>
      <c r="B1045" s="1" t="s">
        <v>243</v>
      </c>
      <c r="C1045" s="1" t="s">
        <v>3</v>
      </c>
      <c r="D1045" s="1">
        <v>465.19</v>
      </c>
      <c r="E1045" s="1">
        <v>-174.68</v>
      </c>
      <c r="F1045" s="1">
        <v>0</v>
      </c>
      <c r="G1045" s="1">
        <v>-1153.7639999999999</v>
      </c>
      <c r="H1045" s="1">
        <v>2791.1439999999998</v>
      </c>
      <c r="I1045" s="1">
        <v>-3590.3980000000001</v>
      </c>
    </row>
    <row r="1046" spans="1:9" hidden="1" x14ac:dyDescent="0.25">
      <c r="A1046" s="1" t="s">
        <v>127</v>
      </c>
      <c r="B1046" s="1" t="s">
        <v>243</v>
      </c>
      <c r="C1046" s="1" t="s">
        <v>143</v>
      </c>
      <c r="D1046" s="1">
        <v>675.72</v>
      </c>
      <c r="E1046" s="1">
        <v>-243.05</v>
      </c>
      <c r="F1046" s="1">
        <v>0</v>
      </c>
      <c r="G1046" s="1">
        <v>-1607.0250000000001</v>
      </c>
      <c r="H1046" s="1">
        <v>4054.3029999999999</v>
      </c>
      <c r="I1046" s="1">
        <v>-4853.5569999999998</v>
      </c>
    </row>
    <row r="1047" spans="1:9" hidden="1" x14ac:dyDescent="0.25">
      <c r="A1047" s="1" t="s">
        <v>127</v>
      </c>
      <c r="B1047" s="1" t="s">
        <v>243</v>
      </c>
      <c r="C1047" s="1" t="s">
        <v>3</v>
      </c>
      <c r="D1047" s="1">
        <v>697.79</v>
      </c>
      <c r="E1047" s="1">
        <v>-243.05</v>
      </c>
      <c r="F1047" s="1">
        <v>0</v>
      </c>
      <c r="G1047" s="1">
        <v>-1607.0250000000001</v>
      </c>
      <c r="H1047" s="1">
        <v>4186.7160000000003</v>
      </c>
      <c r="I1047" s="1">
        <v>-5718.2079999999996</v>
      </c>
    </row>
    <row r="1048" spans="1:9" hidden="1" x14ac:dyDescent="0.25">
      <c r="A1048" s="1" t="s">
        <v>9</v>
      </c>
      <c r="B1048" s="1" t="s">
        <v>243</v>
      </c>
      <c r="C1048" s="1" t="s">
        <v>143</v>
      </c>
      <c r="D1048" s="1">
        <v>908.31</v>
      </c>
      <c r="E1048" s="1">
        <v>-289.55</v>
      </c>
      <c r="F1048" s="1">
        <v>0</v>
      </c>
      <c r="G1048" s="1">
        <v>-1916.9390000000001</v>
      </c>
      <c r="H1048" s="1">
        <v>5449.875</v>
      </c>
      <c r="I1048" s="1">
        <v>-6981.3670000000002</v>
      </c>
    </row>
    <row r="1049" spans="1:9" hidden="1" x14ac:dyDescent="0.25">
      <c r="A1049" s="1" t="s">
        <v>9</v>
      </c>
      <c r="B1049" s="1" t="s">
        <v>243</v>
      </c>
      <c r="C1049" s="1" t="s">
        <v>3</v>
      </c>
      <c r="D1049" s="1">
        <v>930.38</v>
      </c>
      <c r="E1049" s="1">
        <v>-289.55</v>
      </c>
      <c r="F1049" s="1">
        <v>0</v>
      </c>
      <c r="G1049" s="1">
        <v>-1916.9390000000001</v>
      </c>
      <c r="H1049" s="1">
        <v>5582.2879999999996</v>
      </c>
      <c r="I1049" s="1">
        <v>-7994.6310000000003</v>
      </c>
    </row>
    <row r="1050" spans="1:9" hidden="1" x14ac:dyDescent="0.25">
      <c r="A1050" s="1" t="s">
        <v>10</v>
      </c>
      <c r="B1050" s="1" t="s">
        <v>243</v>
      </c>
      <c r="C1050" s="1" t="s">
        <v>143</v>
      </c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</row>
    <row r="1051" spans="1:9" hidden="1" x14ac:dyDescent="0.25">
      <c r="A1051" s="1" t="s">
        <v>10</v>
      </c>
      <c r="B1051" s="1" t="s">
        <v>243</v>
      </c>
      <c r="C1051" s="1" t="s">
        <v>3</v>
      </c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</row>
    <row r="1052" spans="1:9" hidden="1" x14ac:dyDescent="0.25">
      <c r="A1052" s="1" t="s">
        <v>125</v>
      </c>
      <c r="B1052" s="1" t="s">
        <v>244</v>
      </c>
      <c r="C1052" s="1" t="s">
        <v>143</v>
      </c>
      <c r="D1052" s="1">
        <v>190.48</v>
      </c>
      <c r="E1052" s="1">
        <v>90.93</v>
      </c>
      <c r="F1052" s="1">
        <v>0</v>
      </c>
      <c r="G1052" s="1">
        <v>600.15700000000004</v>
      </c>
      <c r="H1052" s="1">
        <v>1142.8579999999999</v>
      </c>
      <c r="I1052" s="1">
        <v>-1142.8579999999999</v>
      </c>
    </row>
    <row r="1053" spans="1:9" hidden="1" x14ac:dyDescent="0.25">
      <c r="A1053" s="1" t="s">
        <v>125</v>
      </c>
      <c r="B1053" s="1" t="s">
        <v>244</v>
      </c>
      <c r="C1053" s="1" t="s">
        <v>3</v>
      </c>
      <c r="D1053" s="1">
        <v>210.44</v>
      </c>
      <c r="E1053" s="1">
        <v>90.93</v>
      </c>
      <c r="F1053" s="1">
        <v>0</v>
      </c>
      <c r="G1053" s="1">
        <v>600.15700000000004</v>
      </c>
      <c r="H1053" s="1">
        <v>1262.6600000000001</v>
      </c>
      <c r="I1053" s="1">
        <v>-989.05100000000004</v>
      </c>
    </row>
    <row r="1054" spans="1:9" hidden="1" x14ac:dyDescent="0.25">
      <c r="A1054" s="1" t="s">
        <v>126</v>
      </c>
      <c r="B1054" s="1" t="s">
        <v>244</v>
      </c>
      <c r="C1054" s="1" t="s">
        <v>143</v>
      </c>
      <c r="D1054" s="1">
        <v>400.92</v>
      </c>
      <c r="E1054" s="1">
        <v>174.68</v>
      </c>
      <c r="F1054" s="1">
        <v>0</v>
      </c>
      <c r="G1054" s="1">
        <v>1153.7639999999999</v>
      </c>
      <c r="H1054" s="1">
        <v>2405.5189999999998</v>
      </c>
      <c r="I1054" s="1">
        <v>-2131.9090000000001</v>
      </c>
    </row>
    <row r="1055" spans="1:9" hidden="1" x14ac:dyDescent="0.25">
      <c r="A1055" s="1" t="s">
        <v>126</v>
      </c>
      <c r="B1055" s="1" t="s">
        <v>244</v>
      </c>
      <c r="C1055" s="1" t="s">
        <v>3</v>
      </c>
      <c r="D1055" s="1">
        <v>420.89</v>
      </c>
      <c r="E1055" s="1">
        <v>174.68</v>
      </c>
      <c r="F1055" s="1">
        <v>0</v>
      </c>
      <c r="G1055" s="1">
        <v>1153.7639999999999</v>
      </c>
      <c r="H1055" s="1">
        <v>2525.3209999999999</v>
      </c>
      <c r="I1055" s="1">
        <v>-1726.067</v>
      </c>
    </row>
    <row r="1056" spans="1:9" hidden="1" x14ac:dyDescent="0.25">
      <c r="A1056" s="1" t="s">
        <v>127</v>
      </c>
      <c r="B1056" s="1" t="s">
        <v>244</v>
      </c>
      <c r="C1056" s="1" t="s">
        <v>143</v>
      </c>
      <c r="D1056" s="1">
        <v>611.36</v>
      </c>
      <c r="E1056" s="1">
        <v>243.05</v>
      </c>
      <c r="F1056" s="1">
        <v>0</v>
      </c>
      <c r="G1056" s="1">
        <v>1607.0250000000001</v>
      </c>
      <c r="H1056" s="1">
        <v>3668.1790000000001</v>
      </c>
      <c r="I1056" s="1">
        <v>-2868.9250000000002</v>
      </c>
    </row>
    <row r="1057" spans="1:9" hidden="1" x14ac:dyDescent="0.25">
      <c r="A1057" s="1" t="s">
        <v>127</v>
      </c>
      <c r="B1057" s="1" t="s">
        <v>244</v>
      </c>
      <c r="C1057" s="1" t="s">
        <v>3</v>
      </c>
      <c r="D1057" s="1">
        <v>631.33000000000004</v>
      </c>
      <c r="E1057" s="1">
        <v>243.05</v>
      </c>
      <c r="F1057" s="1">
        <v>0</v>
      </c>
      <c r="G1057" s="1">
        <v>1607.0250000000001</v>
      </c>
      <c r="H1057" s="1">
        <v>3787.9810000000002</v>
      </c>
      <c r="I1057" s="1">
        <v>-2256.4899999999998</v>
      </c>
    </row>
    <row r="1058" spans="1:9" hidden="1" x14ac:dyDescent="0.25">
      <c r="A1058" s="1" t="s">
        <v>9</v>
      </c>
      <c r="B1058" s="1" t="s">
        <v>244</v>
      </c>
      <c r="C1058" s="1" t="s">
        <v>143</v>
      </c>
      <c r="D1058" s="1">
        <v>821.81</v>
      </c>
      <c r="E1058" s="1">
        <v>289.55</v>
      </c>
      <c r="F1058" s="1">
        <v>0</v>
      </c>
      <c r="G1058" s="1">
        <v>1916.9390000000001</v>
      </c>
      <c r="H1058" s="1">
        <v>4930.84</v>
      </c>
      <c r="I1058" s="1">
        <v>-3399.348</v>
      </c>
    </row>
    <row r="1059" spans="1:9" hidden="1" x14ac:dyDescent="0.25">
      <c r="A1059" s="1" t="s">
        <v>9</v>
      </c>
      <c r="B1059" s="1" t="s">
        <v>244</v>
      </c>
      <c r="C1059" s="1" t="s">
        <v>3</v>
      </c>
      <c r="D1059" s="1">
        <v>841.77</v>
      </c>
      <c r="E1059" s="1">
        <v>289.55</v>
      </c>
      <c r="F1059" s="1">
        <v>0</v>
      </c>
      <c r="G1059" s="1">
        <v>1916.9390000000001</v>
      </c>
      <c r="H1059" s="1">
        <v>5050.6419999999998</v>
      </c>
      <c r="I1059" s="1">
        <v>-2638.299</v>
      </c>
    </row>
    <row r="1060" spans="1:9" hidden="1" x14ac:dyDescent="0.25">
      <c r="A1060" s="1" t="s">
        <v>10</v>
      </c>
      <c r="B1060" s="1" t="s">
        <v>244</v>
      </c>
      <c r="C1060" s="1" t="s">
        <v>143</v>
      </c>
      <c r="D1060" s="1">
        <v>0</v>
      </c>
      <c r="E1060" s="1">
        <v>0</v>
      </c>
      <c r="F1060" s="1">
        <v>0</v>
      </c>
      <c r="G1060" s="1">
        <v>0</v>
      </c>
      <c r="H1060" s="1">
        <v>0</v>
      </c>
      <c r="I1060" s="1">
        <v>0</v>
      </c>
    </row>
    <row r="1061" spans="1:9" hidden="1" x14ac:dyDescent="0.25">
      <c r="A1061" s="1" t="s">
        <v>10</v>
      </c>
      <c r="B1061" s="1" t="s">
        <v>244</v>
      </c>
      <c r="C1061" s="1" t="s">
        <v>3</v>
      </c>
      <c r="D1061" s="1">
        <v>0</v>
      </c>
      <c r="E1061" s="1">
        <v>0</v>
      </c>
      <c r="F1061" s="1">
        <v>0</v>
      </c>
      <c r="G1061" s="1">
        <v>0</v>
      </c>
      <c r="H1061" s="1">
        <v>0</v>
      </c>
      <c r="I1061" s="1">
        <v>0</v>
      </c>
    </row>
    <row r="1062" spans="1:9" hidden="1" x14ac:dyDescent="0.25">
      <c r="A1062" s="1" t="s">
        <v>125</v>
      </c>
      <c r="B1062" s="1" t="s">
        <v>245</v>
      </c>
      <c r="C1062" s="1" t="s">
        <v>143</v>
      </c>
      <c r="D1062" s="1">
        <v>190.48</v>
      </c>
      <c r="E1062" s="1">
        <v>-90.93</v>
      </c>
      <c r="F1062" s="1">
        <v>0</v>
      </c>
      <c r="G1062" s="1">
        <v>-600.15700000000004</v>
      </c>
      <c r="H1062" s="1">
        <v>1142.8579999999999</v>
      </c>
      <c r="I1062" s="1">
        <v>-1142.8579999999999</v>
      </c>
    </row>
    <row r="1063" spans="1:9" hidden="1" x14ac:dyDescent="0.25">
      <c r="A1063" s="1" t="s">
        <v>125</v>
      </c>
      <c r="B1063" s="1" t="s">
        <v>245</v>
      </c>
      <c r="C1063" s="1" t="s">
        <v>3</v>
      </c>
      <c r="D1063" s="1">
        <v>210.44</v>
      </c>
      <c r="E1063" s="1">
        <v>-90.93</v>
      </c>
      <c r="F1063" s="1">
        <v>0</v>
      </c>
      <c r="G1063" s="1">
        <v>-600.15700000000004</v>
      </c>
      <c r="H1063" s="1">
        <v>1262.6600000000001</v>
      </c>
      <c r="I1063" s="1">
        <v>-1536.27</v>
      </c>
    </row>
    <row r="1064" spans="1:9" hidden="1" x14ac:dyDescent="0.25">
      <c r="A1064" s="1" t="s">
        <v>126</v>
      </c>
      <c r="B1064" s="1" t="s">
        <v>245</v>
      </c>
      <c r="C1064" s="1" t="s">
        <v>143</v>
      </c>
      <c r="D1064" s="1">
        <v>400.92</v>
      </c>
      <c r="E1064" s="1">
        <v>-174.68</v>
      </c>
      <c r="F1064" s="1">
        <v>0</v>
      </c>
      <c r="G1064" s="1">
        <v>-1153.7639999999999</v>
      </c>
      <c r="H1064" s="1">
        <v>2405.5189999999998</v>
      </c>
      <c r="I1064" s="1">
        <v>-2679.1280000000002</v>
      </c>
    </row>
    <row r="1065" spans="1:9" hidden="1" x14ac:dyDescent="0.25">
      <c r="A1065" s="1" t="s">
        <v>126</v>
      </c>
      <c r="B1065" s="1" t="s">
        <v>245</v>
      </c>
      <c r="C1065" s="1" t="s">
        <v>3</v>
      </c>
      <c r="D1065" s="1">
        <v>420.89</v>
      </c>
      <c r="E1065" s="1">
        <v>-174.68</v>
      </c>
      <c r="F1065" s="1">
        <v>0</v>
      </c>
      <c r="G1065" s="1">
        <v>-1153.7639999999999</v>
      </c>
      <c r="H1065" s="1">
        <v>2525.3209999999999</v>
      </c>
      <c r="I1065" s="1">
        <v>-3324.5749999999998</v>
      </c>
    </row>
    <row r="1066" spans="1:9" hidden="1" x14ac:dyDescent="0.25">
      <c r="A1066" s="1" t="s">
        <v>127</v>
      </c>
      <c r="B1066" s="1" t="s">
        <v>245</v>
      </c>
      <c r="C1066" s="1" t="s">
        <v>143</v>
      </c>
      <c r="D1066" s="1">
        <v>611.36</v>
      </c>
      <c r="E1066" s="1">
        <v>-243.05</v>
      </c>
      <c r="F1066" s="1">
        <v>0</v>
      </c>
      <c r="G1066" s="1">
        <v>-1607.0250000000001</v>
      </c>
      <c r="H1066" s="1">
        <v>3668.1790000000001</v>
      </c>
      <c r="I1066" s="1">
        <v>-4467.433</v>
      </c>
    </row>
    <row r="1067" spans="1:9" hidden="1" x14ac:dyDescent="0.25">
      <c r="A1067" s="1" t="s">
        <v>127</v>
      </c>
      <c r="B1067" s="1" t="s">
        <v>245</v>
      </c>
      <c r="C1067" s="1" t="s">
        <v>3</v>
      </c>
      <c r="D1067" s="1">
        <v>631.33000000000004</v>
      </c>
      <c r="E1067" s="1">
        <v>-243.05</v>
      </c>
      <c r="F1067" s="1">
        <v>0</v>
      </c>
      <c r="G1067" s="1">
        <v>-1607.0250000000001</v>
      </c>
      <c r="H1067" s="1">
        <v>3787.9810000000002</v>
      </c>
      <c r="I1067" s="1">
        <v>-5319.473</v>
      </c>
    </row>
    <row r="1068" spans="1:9" hidden="1" x14ac:dyDescent="0.25">
      <c r="A1068" s="1" t="s">
        <v>9</v>
      </c>
      <c r="B1068" s="1" t="s">
        <v>245</v>
      </c>
      <c r="C1068" s="1" t="s">
        <v>143</v>
      </c>
      <c r="D1068" s="1">
        <v>821.81</v>
      </c>
      <c r="E1068" s="1">
        <v>-289.55</v>
      </c>
      <c r="F1068" s="1">
        <v>0</v>
      </c>
      <c r="G1068" s="1">
        <v>-1916.9390000000001</v>
      </c>
      <c r="H1068" s="1">
        <v>4930.84</v>
      </c>
      <c r="I1068" s="1">
        <v>-6462.3310000000001</v>
      </c>
    </row>
    <row r="1069" spans="1:9" hidden="1" x14ac:dyDescent="0.25">
      <c r="A1069" s="1" t="s">
        <v>9</v>
      </c>
      <c r="B1069" s="1" t="s">
        <v>245</v>
      </c>
      <c r="C1069" s="1" t="s">
        <v>3</v>
      </c>
      <c r="D1069" s="1">
        <v>841.77</v>
      </c>
      <c r="E1069" s="1">
        <v>-289.55</v>
      </c>
      <c r="F1069" s="1">
        <v>0</v>
      </c>
      <c r="G1069" s="1">
        <v>-1916.9390000000001</v>
      </c>
      <c r="H1069" s="1">
        <v>5050.6419999999998</v>
      </c>
      <c r="I1069" s="1">
        <v>-7462.9840000000004</v>
      </c>
    </row>
    <row r="1070" spans="1:9" hidden="1" x14ac:dyDescent="0.25">
      <c r="A1070" s="1" t="s">
        <v>10</v>
      </c>
      <c r="B1070" s="1" t="s">
        <v>245</v>
      </c>
      <c r="C1070" s="1" t="s">
        <v>143</v>
      </c>
      <c r="D1070" s="1">
        <v>0</v>
      </c>
      <c r="E1070" s="1">
        <v>0</v>
      </c>
      <c r="F1070" s="1">
        <v>0</v>
      </c>
      <c r="G1070" s="1">
        <v>0</v>
      </c>
      <c r="H1070" s="1">
        <v>0</v>
      </c>
      <c r="I1070" s="1">
        <v>0</v>
      </c>
    </row>
    <row r="1071" spans="1:9" hidden="1" x14ac:dyDescent="0.25">
      <c r="A1071" s="1" t="s">
        <v>10</v>
      </c>
      <c r="B1071" s="1" t="s">
        <v>245</v>
      </c>
      <c r="C1071" s="1" t="s">
        <v>3</v>
      </c>
      <c r="D1071" s="1">
        <v>0</v>
      </c>
      <c r="E1071" s="1">
        <v>0</v>
      </c>
      <c r="F1071" s="1">
        <v>0</v>
      </c>
      <c r="G1071" s="1">
        <v>0</v>
      </c>
      <c r="H1071" s="1">
        <v>0</v>
      </c>
      <c r="I1071" s="1">
        <v>0</v>
      </c>
    </row>
    <row r="1072" spans="1:9" hidden="1" x14ac:dyDescent="0.25">
      <c r="A1072" s="1" t="s">
        <v>125</v>
      </c>
      <c r="B1072" s="1" t="s">
        <v>246</v>
      </c>
      <c r="C1072" s="1" t="s">
        <v>143</v>
      </c>
      <c r="D1072" s="1">
        <v>210.53</v>
      </c>
      <c r="E1072" s="1">
        <v>0</v>
      </c>
      <c r="F1072" s="1">
        <v>83.36</v>
      </c>
      <c r="G1072" s="1">
        <v>550.14400000000001</v>
      </c>
      <c r="H1072" s="1">
        <v>1263.1590000000001</v>
      </c>
      <c r="I1072" s="1">
        <v>-1263.1590000000001</v>
      </c>
    </row>
    <row r="1073" spans="1:9" hidden="1" x14ac:dyDescent="0.25">
      <c r="A1073" s="1" t="s">
        <v>125</v>
      </c>
      <c r="B1073" s="1" t="s">
        <v>246</v>
      </c>
      <c r="C1073" s="1" t="s">
        <v>3</v>
      </c>
      <c r="D1073" s="1">
        <v>232.6</v>
      </c>
      <c r="E1073" s="1">
        <v>0</v>
      </c>
      <c r="F1073" s="1">
        <v>83.36</v>
      </c>
      <c r="G1073" s="1">
        <v>550.14400000000001</v>
      </c>
      <c r="H1073" s="1">
        <v>1646.3810000000001</v>
      </c>
      <c r="I1073" s="1">
        <v>-1395.5719999999999</v>
      </c>
    </row>
    <row r="1074" spans="1:9" hidden="1" x14ac:dyDescent="0.25">
      <c r="A1074" s="1" t="s">
        <v>126</v>
      </c>
      <c r="B1074" s="1" t="s">
        <v>246</v>
      </c>
      <c r="C1074" s="1" t="s">
        <v>143</v>
      </c>
      <c r="D1074" s="1">
        <v>443.12</v>
      </c>
      <c r="E1074" s="1">
        <v>0</v>
      </c>
      <c r="F1074" s="1">
        <v>160.13</v>
      </c>
      <c r="G1074" s="1">
        <v>1057.617</v>
      </c>
      <c r="H1074" s="1">
        <v>2909.54</v>
      </c>
      <c r="I1074" s="1">
        <v>-2658.7310000000002</v>
      </c>
    </row>
    <row r="1075" spans="1:9" hidden="1" x14ac:dyDescent="0.25">
      <c r="A1075" s="1" t="s">
        <v>126</v>
      </c>
      <c r="B1075" s="1" t="s">
        <v>246</v>
      </c>
      <c r="C1075" s="1" t="s">
        <v>3</v>
      </c>
      <c r="D1075" s="1">
        <v>465.19</v>
      </c>
      <c r="E1075" s="1">
        <v>0</v>
      </c>
      <c r="F1075" s="1">
        <v>160.13</v>
      </c>
      <c r="G1075" s="1">
        <v>1057.617</v>
      </c>
      <c r="H1075" s="1">
        <v>3523.7939999999999</v>
      </c>
      <c r="I1075" s="1">
        <v>-2791.1439999999998</v>
      </c>
    </row>
    <row r="1076" spans="1:9" hidden="1" x14ac:dyDescent="0.25">
      <c r="A1076" s="1" t="s">
        <v>127</v>
      </c>
      <c r="B1076" s="1" t="s">
        <v>246</v>
      </c>
      <c r="C1076" s="1" t="s">
        <v>143</v>
      </c>
      <c r="D1076" s="1">
        <v>675.72</v>
      </c>
      <c r="E1076" s="1">
        <v>0</v>
      </c>
      <c r="F1076" s="1">
        <v>222.8</v>
      </c>
      <c r="G1076" s="1">
        <v>1473.106</v>
      </c>
      <c r="H1076" s="1">
        <v>4786.9530000000004</v>
      </c>
      <c r="I1076" s="1">
        <v>-4054.3029999999999</v>
      </c>
    </row>
    <row r="1077" spans="1:9" hidden="1" x14ac:dyDescent="0.25">
      <c r="A1077" s="1" t="s">
        <v>127</v>
      </c>
      <c r="B1077" s="1" t="s">
        <v>246</v>
      </c>
      <c r="C1077" s="1" t="s">
        <v>3</v>
      </c>
      <c r="D1077" s="1">
        <v>697.79</v>
      </c>
      <c r="E1077" s="1">
        <v>0</v>
      </c>
      <c r="F1077" s="1">
        <v>222.8</v>
      </c>
      <c r="G1077" s="1">
        <v>1473.106</v>
      </c>
      <c r="H1077" s="1">
        <v>5590.5839999999998</v>
      </c>
      <c r="I1077" s="1">
        <v>-4186.7160000000003</v>
      </c>
    </row>
    <row r="1078" spans="1:9" hidden="1" x14ac:dyDescent="0.25">
      <c r="A1078" s="1" t="s">
        <v>9</v>
      </c>
      <c r="B1078" s="1" t="s">
        <v>246</v>
      </c>
      <c r="C1078" s="1" t="s">
        <v>143</v>
      </c>
      <c r="D1078" s="1">
        <v>908.31</v>
      </c>
      <c r="E1078" s="1">
        <v>0</v>
      </c>
      <c r="F1078" s="1">
        <v>265.42</v>
      </c>
      <c r="G1078" s="1">
        <v>1757.194</v>
      </c>
      <c r="H1078" s="1">
        <v>6853.7430000000004</v>
      </c>
      <c r="I1078" s="1">
        <v>-5449.875</v>
      </c>
    </row>
    <row r="1079" spans="1:9" hidden="1" x14ac:dyDescent="0.25">
      <c r="A1079" s="1" t="s">
        <v>9</v>
      </c>
      <c r="B1079" s="1" t="s">
        <v>246</v>
      </c>
      <c r="C1079" s="1" t="s">
        <v>3</v>
      </c>
      <c r="D1079" s="1">
        <v>930.38</v>
      </c>
      <c r="E1079" s="1">
        <v>0</v>
      </c>
      <c r="F1079" s="1">
        <v>265.42</v>
      </c>
      <c r="G1079" s="1">
        <v>1757.194</v>
      </c>
      <c r="H1079" s="1">
        <v>7793.6019999999999</v>
      </c>
      <c r="I1079" s="1">
        <v>-5582.2879999999996</v>
      </c>
    </row>
    <row r="1080" spans="1:9" hidden="1" x14ac:dyDescent="0.25">
      <c r="A1080" s="1" t="s">
        <v>10</v>
      </c>
      <c r="B1080" s="1" t="s">
        <v>246</v>
      </c>
      <c r="C1080" s="1" t="s">
        <v>143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10</v>
      </c>
      <c r="B1081" s="1" t="s">
        <v>246</v>
      </c>
      <c r="C1081" s="1" t="s">
        <v>3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125</v>
      </c>
      <c r="B1082" s="1" t="s">
        <v>247</v>
      </c>
      <c r="C1082" s="1" t="s">
        <v>143</v>
      </c>
      <c r="D1082" s="1">
        <v>210.53</v>
      </c>
      <c r="E1082" s="1">
        <v>0</v>
      </c>
      <c r="F1082" s="1">
        <v>-83.36</v>
      </c>
      <c r="G1082" s="1">
        <v>-550.14400000000001</v>
      </c>
      <c r="H1082" s="1">
        <v>1263.1590000000001</v>
      </c>
      <c r="I1082" s="1">
        <v>-1263.1590000000001</v>
      </c>
    </row>
    <row r="1083" spans="1:9" hidden="1" x14ac:dyDescent="0.25">
      <c r="A1083" s="1" t="s">
        <v>125</v>
      </c>
      <c r="B1083" s="1" t="s">
        <v>247</v>
      </c>
      <c r="C1083" s="1" t="s">
        <v>3</v>
      </c>
      <c r="D1083" s="1">
        <v>232.6</v>
      </c>
      <c r="E1083" s="1">
        <v>0</v>
      </c>
      <c r="F1083" s="1">
        <v>-83.36</v>
      </c>
      <c r="G1083" s="1">
        <v>-550.14400000000001</v>
      </c>
      <c r="H1083" s="1">
        <v>1144.7629999999999</v>
      </c>
      <c r="I1083" s="1">
        <v>-1395.5719999999999</v>
      </c>
    </row>
    <row r="1084" spans="1:9" hidden="1" x14ac:dyDescent="0.25">
      <c r="A1084" s="1" t="s">
        <v>126</v>
      </c>
      <c r="B1084" s="1" t="s">
        <v>247</v>
      </c>
      <c r="C1084" s="1" t="s">
        <v>143</v>
      </c>
      <c r="D1084" s="1">
        <v>443.12</v>
      </c>
      <c r="E1084" s="1">
        <v>0</v>
      </c>
      <c r="F1084" s="1">
        <v>-160.13</v>
      </c>
      <c r="G1084" s="1">
        <v>-1057.617</v>
      </c>
      <c r="H1084" s="1">
        <v>2407.922</v>
      </c>
      <c r="I1084" s="1">
        <v>-2658.7310000000002</v>
      </c>
    </row>
    <row r="1085" spans="1:9" hidden="1" x14ac:dyDescent="0.25">
      <c r="A1085" s="1" t="s">
        <v>126</v>
      </c>
      <c r="B1085" s="1" t="s">
        <v>247</v>
      </c>
      <c r="C1085" s="1" t="s">
        <v>3</v>
      </c>
      <c r="D1085" s="1">
        <v>465.19</v>
      </c>
      <c r="E1085" s="1">
        <v>0</v>
      </c>
      <c r="F1085" s="1">
        <v>-160.13</v>
      </c>
      <c r="G1085" s="1">
        <v>-1057.617</v>
      </c>
      <c r="H1085" s="1">
        <v>2058.4949999999999</v>
      </c>
      <c r="I1085" s="1">
        <v>-2791.1439999999998</v>
      </c>
    </row>
    <row r="1086" spans="1:9" hidden="1" x14ac:dyDescent="0.25">
      <c r="A1086" s="1" t="s">
        <v>127</v>
      </c>
      <c r="B1086" s="1" t="s">
        <v>247</v>
      </c>
      <c r="C1086" s="1" t="s">
        <v>143</v>
      </c>
      <c r="D1086" s="1">
        <v>675.72</v>
      </c>
      <c r="E1086" s="1">
        <v>0</v>
      </c>
      <c r="F1086" s="1">
        <v>-222.8</v>
      </c>
      <c r="G1086" s="1">
        <v>-1473.106</v>
      </c>
      <c r="H1086" s="1">
        <v>3321.654</v>
      </c>
      <c r="I1086" s="1">
        <v>-4054.3029999999999</v>
      </c>
    </row>
    <row r="1087" spans="1:9" hidden="1" x14ac:dyDescent="0.25">
      <c r="A1087" s="1" t="s">
        <v>127</v>
      </c>
      <c r="B1087" s="1" t="s">
        <v>247</v>
      </c>
      <c r="C1087" s="1" t="s">
        <v>3</v>
      </c>
      <c r="D1087" s="1">
        <v>697.79</v>
      </c>
      <c r="E1087" s="1">
        <v>0</v>
      </c>
      <c r="F1087" s="1">
        <v>-222.8</v>
      </c>
      <c r="G1087" s="1">
        <v>-1473.106</v>
      </c>
      <c r="H1087" s="1">
        <v>2782.8490000000002</v>
      </c>
      <c r="I1087" s="1">
        <v>-4186.7160000000003</v>
      </c>
    </row>
    <row r="1088" spans="1:9" hidden="1" x14ac:dyDescent="0.25">
      <c r="A1088" s="1" t="s">
        <v>9</v>
      </c>
      <c r="B1088" s="1" t="s">
        <v>247</v>
      </c>
      <c r="C1088" s="1" t="s">
        <v>143</v>
      </c>
      <c r="D1088" s="1">
        <v>908.31</v>
      </c>
      <c r="E1088" s="1">
        <v>0</v>
      </c>
      <c r="F1088" s="1">
        <v>-265.42</v>
      </c>
      <c r="G1088" s="1">
        <v>-1757.194</v>
      </c>
      <c r="H1088" s="1">
        <v>4046.0079999999998</v>
      </c>
      <c r="I1088" s="1">
        <v>-5449.875</v>
      </c>
    </row>
    <row r="1089" spans="1:9" hidden="1" x14ac:dyDescent="0.25">
      <c r="A1089" s="1" t="s">
        <v>9</v>
      </c>
      <c r="B1089" s="1" t="s">
        <v>247</v>
      </c>
      <c r="C1089" s="1" t="s">
        <v>3</v>
      </c>
      <c r="D1089" s="1">
        <v>930.38</v>
      </c>
      <c r="E1089" s="1">
        <v>0</v>
      </c>
      <c r="F1089" s="1">
        <v>-265.42</v>
      </c>
      <c r="G1089" s="1">
        <v>-1757.194</v>
      </c>
      <c r="H1089" s="1">
        <v>3370.9740000000002</v>
      </c>
      <c r="I1089" s="1">
        <v>-5582.2879999999996</v>
      </c>
    </row>
    <row r="1090" spans="1:9" hidden="1" x14ac:dyDescent="0.25">
      <c r="A1090" s="1" t="s">
        <v>10</v>
      </c>
      <c r="B1090" s="1" t="s">
        <v>247</v>
      </c>
      <c r="C1090" s="1" t="s">
        <v>143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10</v>
      </c>
      <c r="B1091" s="1" t="s">
        <v>247</v>
      </c>
      <c r="C1091" s="1" t="s">
        <v>3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125</v>
      </c>
      <c r="B1092" s="1" t="s">
        <v>248</v>
      </c>
      <c r="C1092" s="1" t="s">
        <v>143</v>
      </c>
      <c r="D1092" s="1">
        <v>190.48</v>
      </c>
      <c r="E1092" s="1">
        <v>0</v>
      </c>
      <c r="F1092" s="1">
        <v>83.36</v>
      </c>
      <c r="G1092" s="1">
        <v>550.14400000000001</v>
      </c>
      <c r="H1092" s="1">
        <v>1142.8579999999999</v>
      </c>
      <c r="I1092" s="1">
        <v>-1142.8579999999999</v>
      </c>
    </row>
    <row r="1093" spans="1:9" hidden="1" x14ac:dyDescent="0.25">
      <c r="A1093" s="1" t="s">
        <v>125</v>
      </c>
      <c r="B1093" s="1" t="s">
        <v>248</v>
      </c>
      <c r="C1093" s="1" t="s">
        <v>3</v>
      </c>
      <c r="D1093" s="1">
        <v>210.44</v>
      </c>
      <c r="E1093" s="1">
        <v>0</v>
      </c>
      <c r="F1093" s="1">
        <v>83.36</v>
      </c>
      <c r="G1093" s="1">
        <v>550.14400000000001</v>
      </c>
      <c r="H1093" s="1">
        <v>1513.4690000000001</v>
      </c>
      <c r="I1093" s="1">
        <v>-1262.6600000000001</v>
      </c>
    </row>
    <row r="1094" spans="1:9" hidden="1" x14ac:dyDescent="0.25">
      <c r="A1094" s="1" t="s">
        <v>126</v>
      </c>
      <c r="B1094" s="1" t="s">
        <v>248</v>
      </c>
      <c r="C1094" s="1" t="s">
        <v>143</v>
      </c>
      <c r="D1094" s="1">
        <v>400.92</v>
      </c>
      <c r="E1094" s="1">
        <v>0</v>
      </c>
      <c r="F1094" s="1">
        <v>160.13</v>
      </c>
      <c r="G1094" s="1">
        <v>1057.617</v>
      </c>
      <c r="H1094" s="1">
        <v>2656.328</v>
      </c>
      <c r="I1094" s="1">
        <v>-2405.5189999999998</v>
      </c>
    </row>
    <row r="1095" spans="1:9" hidden="1" x14ac:dyDescent="0.25">
      <c r="A1095" s="1" t="s">
        <v>126</v>
      </c>
      <c r="B1095" s="1" t="s">
        <v>248</v>
      </c>
      <c r="C1095" s="1" t="s">
        <v>3</v>
      </c>
      <c r="D1095" s="1">
        <v>420.89</v>
      </c>
      <c r="E1095" s="1">
        <v>0</v>
      </c>
      <c r="F1095" s="1">
        <v>160.13</v>
      </c>
      <c r="G1095" s="1">
        <v>1057.617</v>
      </c>
      <c r="H1095" s="1">
        <v>3257.97</v>
      </c>
      <c r="I1095" s="1">
        <v>-2525.3209999999999</v>
      </c>
    </row>
    <row r="1096" spans="1:9" hidden="1" x14ac:dyDescent="0.25">
      <c r="A1096" s="1" t="s">
        <v>127</v>
      </c>
      <c r="B1096" s="1" t="s">
        <v>248</v>
      </c>
      <c r="C1096" s="1" t="s">
        <v>143</v>
      </c>
      <c r="D1096" s="1">
        <v>611.36</v>
      </c>
      <c r="E1096" s="1">
        <v>0</v>
      </c>
      <c r="F1096" s="1">
        <v>222.8</v>
      </c>
      <c r="G1096" s="1">
        <v>1473.106</v>
      </c>
      <c r="H1096" s="1">
        <v>4400.8289999999997</v>
      </c>
      <c r="I1096" s="1">
        <v>-3668.1790000000001</v>
      </c>
    </row>
    <row r="1097" spans="1:9" hidden="1" x14ac:dyDescent="0.25">
      <c r="A1097" s="1" t="s">
        <v>127</v>
      </c>
      <c r="B1097" s="1" t="s">
        <v>248</v>
      </c>
      <c r="C1097" s="1" t="s">
        <v>3</v>
      </c>
      <c r="D1097" s="1">
        <v>631.33000000000004</v>
      </c>
      <c r="E1097" s="1">
        <v>0</v>
      </c>
      <c r="F1097" s="1">
        <v>222.8</v>
      </c>
      <c r="G1097" s="1">
        <v>1473.106</v>
      </c>
      <c r="H1097" s="1">
        <v>5191.8490000000002</v>
      </c>
      <c r="I1097" s="1">
        <v>-3787.9810000000002</v>
      </c>
    </row>
    <row r="1098" spans="1:9" hidden="1" x14ac:dyDescent="0.25">
      <c r="A1098" s="1" t="s">
        <v>9</v>
      </c>
      <c r="B1098" s="1" t="s">
        <v>248</v>
      </c>
      <c r="C1098" s="1" t="s">
        <v>143</v>
      </c>
      <c r="D1098" s="1">
        <v>821.81</v>
      </c>
      <c r="E1098" s="1">
        <v>0</v>
      </c>
      <c r="F1098" s="1">
        <v>265.42</v>
      </c>
      <c r="G1098" s="1">
        <v>1757.194</v>
      </c>
      <c r="H1098" s="1">
        <v>6334.7070000000003</v>
      </c>
      <c r="I1098" s="1">
        <v>-4930.84</v>
      </c>
    </row>
    <row r="1099" spans="1:9" hidden="1" x14ac:dyDescent="0.25">
      <c r="A1099" s="1" t="s">
        <v>9</v>
      </c>
      <c r="B1099" s="1" t="s">
        <v>248</v>
      </c>
      <c r="C1099" s="1" t="s">
        <v>3</v>
      </c>
      <c r="D1099" s="1">
        <v>841.77</v>
      </c>
      <c r="E1099" s="1">
        <v>0</v>
      </c>
      <c r="F1099" s="1">
        <v>265.42</v>
      </c>
      <c r="G1099" s="1">
        <v>1757.194</v>
      </c>
      <c r="H1099" s="1">
        <v>7261.9560000000001</v>
      </c>
      <c r="I1099" s="1">
        <v>-5050.6419999999998</v>
      </c>
    </row>
    <row r="1100" spans="1:9" hidden="1" x14ac:dyDescent="0.25">
      <c r="A1100" s="1" t="s">
        <v>10</v>
      </c>
      <c r="B1100" s="1" t="s">
        <v>248</v>
      </c>
      <c r="C1100" s="1" t="s">
        <v>143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10</v>
      </c>
      <c r="B1101" s="1" t="s">
        <v>248</v>
      </c>
      <c r="C1101" s="1" t="s">
        <v>3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125</v>
      </c>
      <c r="B1102" s="1" t="s">
        <v>249</v>
      </c>
      <c r="C1102" s="1" t="s">
        <v>143</v>
      </c>
      <c r="D1102" s="1">
        <v>190.48</v>
      </c>
      <c r="E1102" s="1">
        <v>0</v>
      </c>
      <c r="F1102" s="1">
        <v>-83.36</v>
      </c>
      <c r="G1102" s="1">
        <v>-550.14400000000001</v>
      </c>
      <c r="H1102" s="1">
        <v>1142.8579999999999</v>
      </c>
      <c r="I1102" s="1">
        <v>-1142.8579999999999</v>
      </c>
    </row>
    <row r="1103" spans="1:9" hidden="1" x14ac:dyDescent="0.25">
      <c r="A1103" s="1" t="s">
        <v>125</v>
      </c>
      <c r="B1103" s="1" t="s">
        <v>249</v>
      </c>
      <c r="C1103" s="1" t="s">
        <v>3</v>
      </c>
      <c r="D1103" s="1">
        <v>210.44</v>
      </c>
      <c r="E1103" s="1">
        <v>0</v>
      </c>
      <c r="F1103" s="1">
        <v>-83.36</v>
      </c>
      <c r="G1103" s="1">
        <v>-550.14400000000001</v>
      </c>
      <c r="H1103" s="1">
        <v>1011.852</v>
      </c>
      <c r="I1103" s="1">
        <v>-1262.6600000000001</v>
      </c>
    </row>
    <row r="1104" spans="1:9" hidden="1" x14ac:dyDescent="0.25">
      <c r="A1104" s="1" t="s">
        <v>126</v>
      </c>
      <c r="B1104" s="1" t="s">
        <v>249</v>
      </c>
      <c r="C1104" s="1" t="s">
        <v>143</v>
      </c>
      <c r="D1104" s="1">
        <v>400.92</v>
      </c>
      <c r="E1104" s="1">
        <v>0</v>
      </c>
      <c r="F1104" s="1">
        <v>-160.13</v>
      </c>
      <c r="G1104" s="1">
        <v>-1057.617</v>
      </c>
      <c r="H1104" s="1">
        <v>2154.71</v>
      </c>
      <c r="I1104" s="1">
        <v>-2405.5189999999998</v>
      </c>
    </row>
    <row r="1105" spans="1:9" hidden="1" x14ac:dyDescent="0.25">
      <c r="A1105" s="1" t="s">
        <v>126</v>
      </c>
      <c r="B1105" s="1" t="s">
        <v>249</v>
      </c>
      <c r="C1105" s="1" t="s">
        <v>3</v>
      </c>
      <c r="D1105" s="1">
        <v>420.89</v>
      </c>
      <c r="E1105" s="1">
        <v>0</v>
      </c>
      <c r="F1105" s="1">
        <v>-160.13</v>
      </c>
      <c r="G1105" s="1">
        <v>-1057.617</v>
      </c>
      <c r="H1105" s="1">
        <v>1792.671</v>
      </c>
      <c r="I1105" s="1">
        <v>-2525.3209999999999</v>
      </c>
    </row>
    <row r="1106" spans="1:9" hidden="1" x14ac:dyDescent="0.25">
      <c r="A1106" s="1" t="s">
        <v>127</v>
      </c>
      <c r="B1106" s="1" t="s">
        <v>249</v>
      </c>
      <c r="C1106" s="1" t="s">
        <v>143</v>
      </c>
      <c r="D1106" s="1">
        <v>611.36</v>
      </c>
      <c r="E1106" s="1">
        <v>0</v>
      </c>
      <c r="F1106" s="1">
        <v>-222.8</v>
      </c>
      <c r="G1106" s="1">
        <v>-1473.106</v>
      </c>
      <c r="H1106" s="1">
        <v>2935.53</v>
      </c>
      <c r="I1106" s="1">
        <v>-3668.1790000000001</v>
      </c>
    </row>
    <row r="1107" spans="1:9" hidden="1" x14ac:dyDescent="0.25">
      <c r="A1107" s="1" t="s">
        <v>127</v>
      </c>
      <c r="B1107" s="1" t="s">
        <v>249</v>
      </c>
      <c r="C1107" s="1" t="s">
        <v>3</v>
      </c>
      <c r="D1107" s="1">
        <v>631.33000000000004</v>
      </c>
      <c r="E1107" s="1">
        <v>0</v>
      </c>
      <c r="F1107" s="1">
        <v>-222.8</v>
      </c>
      <c r="G1107" s="1">
        <v>-1473.106</v>
      </c>
      <c r="H1107" s="1">
        <v>2384.114</v>
      </c>
      <c r="I1107" s="1">
        <v>-3787.9810000000002</v>
      </c>
    </row>
    <row r="1108" spans="1:9" hidden="1" x14ac:dyDescent="0.25">
      <c r="A1108" s="1" t="s">
        <v>9</v>
      </c>
      <c r="B1108" s="1" t="s">
        <v>249</v>
      </c>
      <c r="C1108" s="1" t="s">
        <v>143</v>
      </c>
      <c r="D1108" s="1">
        <v>821.81</v>
      </c>
      <c r="E1108" s="1">
        <v>0</v>
      </c>
      <c r="F1108" s="1">
        <v>-265.42</v>
      </c>
      <c r="G1108" s="1">
        <v>-1757.194</v>
      </c>
      <c r="H1108" s="1">
        <v>3526.9720000000002</v>
      </c>
      <c r="I1108" s="1">
        <v>-4930.84</v>
      </c>
    </row>
    <row r="1109" spans="1:9" hidden="1" x14ac:dyDescent="0.25">
      <c r="A1109" s="1" t="s">
        <v>9</v>
      </c>
      <c r="B1109" s="1" t="s">
        <v>249</v>
      </c>
      <c r="C1109" s="1" t="s">
        <v>3</v>
      </c>
      <c r="D1109" s="1">
        <v>841.77</v>
      </c>
      <c r="E1109" s="1">
        <v>0</v>
      </c>
      <c r="F1109" s="1">
        <v>-265.42</v>
      </c>
      <c r="G1109" s="1">
        <v>-1757.194</v>
      </c>
      <c r="H1109" s="1">
        <v>2839.328</v>
      </c>
      <c r="I1109" s="1">
        <v>-5050.6419999999998</v>
      </c>
    </row>
    <row r="1110" spans="1:9" hidden="1" x14ac:dyDescent="0.25">
      <c r="A1110" s="1" t="s">
        <v>10</v>
      </c>
      <c r="B1110" s="1" t="s">
        <v>249</v>
      </c>
      <c r="C1110" s="1" t="s">
        <v>143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10</v>
      </c>
      <c r="B1111" s="1" t="s">
        <v>249</v>
      </c>
      <c r="C1111" s="1" t="s">
        <v>3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125</v>
      </c>
      <c r="B1112" s="1" t="s">
        <v>250</v>
      </c>
      <c r="C1112" s="1" t="s">
        <v>143</v>
      </c>
      <c r="D1112" s="1">
        <v>233.92</v>
      </c>
      <c r="E1112" s="1">
        <v>27.28</v>
      </c>
      <c r="F1112" s="1">
        <v>0</v>
      </c>
      <c r="G1112" s="1">
        <v>180.047</v>
      </c>
      <c r="H1112" s="1">
        <v>1403.51</v>
      </c>
      <c r="I1112" s="1">
        <v>-1403.51</v>
      </c>
    </row>
    <row r="1113" spans="1:9" hidden="1" x14ac:dyDescent="0.25">
      <c r="A1113" s="1" t="s">
        <v>125</v>
      </c>
      <c r="B1113" s="1" t="s">
        <v>250</v>
      </c>
      <c r="C1113" s="1" t="s">
        <v>3</v>
      </c>
      <c r="D1113" s="1">
        <v>258.44</v>
      </c>
      <c r="E1113" s="1">
        <v>27.28</v>
      </c>
      <c r="F1113" s="1">
        <v>0</v>
      </c>
      <c r="G1113" s="1">
        <v>180.047</v>
      </c>
      <c r="H1113" s="1">
        <v>1550.636</v>
      </c>
      <c r="I1113" s="1">
        <v>-1468.5530000000001</v>
      </c>
    </row>
    <row r="1114" spans="1:9" hidden="1" x14ac:dyDescent="0.25">
      <c r="A1114" s="1" t="s">
        <v>126</v>
      </c>
      <c r="B1114" s="1" t="s">
        <v>250</v>
      </c>
      <c r="C1114" s="1" t="s">
        <v>143</v>
      </c>
      <c r="D1114" s="1">
        <v>492.36</v>
      </c>
      <c r="E1114" s="1">
        <v>52.41</v>
      </c>
      <c r="F1114" s="1">
        <v>0</v>
      </c>
      <c r="G1114" s="1">
        <v>346.12900000000002</v>
      </c>
      <c r="H1114" s="1">
        <v>2954.1460000000002</v>
      </c>
      <c r="I1114" s="1">
        <v>-2872.0630000000001</v>
      </c>
    </row>
    <row r="1115" spans="1:9" hidden="1" x14ac:dyDescent="0.25">
      <c r="A1115" s="1" t="s">
        <v>126</v>
      </c>
      <c r="B1115" s="1" t="s">
        <v>250</v>
      </c>
      <c r="C1115" s="1" t="s">
        <v>3</v>
      </c>
      <c r="D1115" s="1">
        <v>516.88</v>
      </c>
      <c r="E1115" s="1">
        <v>52.41</v>
      </c>
      <c r="F1115" s="1">
        <v>0</v>
      </c>
      <c r="G1115" s="1">
        <v>346.12900000000002</v>
      </c>
      <c r="H1115" s="1">
        <v>3101.2710000000002</v>
      </c>
      <c r="I1115" s="1">
        <v>-2861.4949999999999</v>
      </c>
    </row>
    <row r="1116" spans="1:9" hidden="1" x14ac:dyDescent="0.25">
      <c r="A1116" s="1" t="s">
        <v>127</v>
      </c>
      <c r="B1116" s="1" t="s">
        <v>250</v>
      </c>
      <c r="C1116" s="1" t="s">
        <v>143</v>
      </c>
      <c r="D1116" s="1">
        <v>750.8</v>
      </c>
      <c r="E1116" s="1">
        <v>72.91</v>
      </c>
      <c r="F1116" s="1">
        <v>0</v>
      </c>
      <c r="G1116" s="1">
        <v>482.108</v>
      </c>
      <c r="H1116" s="1">
        <v>4504.7809999999999</v>
      </c>
      <c r="I1116" s="1">
        <v>-4265.0050000000001</v>
      </c>
    </row>
    <row r="1117" spans="1:9" hidden="1" x14ac:dyDescent="0.25">
      <c r="A1117" s="1" t="s">
        <v>127</v>
      </c>
      <c r="B1117" s="1" t="s">
        <v>250</v>
      </c>
      <c r="C1117" s="1" t="s">
        <v>3</v>
      </c>
      <c r="D1117" s="1">
        <v>775.32</v>
      </c>
      <c r="E1117" s="1">
        <v>72.91</v>
      </c>
      <c r="F1117" s="1">
        <v>0</v>
      </c>
      <c r="G1117" s="1">
        <v>482.108</v>
      </c>
      <c r="H1117" s="1">
        <v>4651.9070000000002</v>
      </c>
      <c r="I1117" s="1">
        <v>-4192.46</v>
      </c>
    </row>
    <row r="1118" spans="1:9" hidden="1" x14ac:dyDescent="0.25">
      <c r="A1118" s="1" t="s">
        <v>9</v>
      </c>
      <c r="B1118" s="1" t="s">
        <v>250</v>
      </c>
      <c r="C1118" s="1" t="s">
        <v>143</v>
      </c>
      <c r="D1118" s="1">
        <v>1009.24</v>
      </c>
      <c r="E1118" s="1">
        <v>86.86</v>
      </c>
      <c r="F1118" s="1">
        <v>0</v>
      </c>
      <c r="G1118" s="1">
        <v>575.08199999999999</v>
      </c>
      <c r="H1118" s="1">
        <v>6055.4170000000004</v>
      </c>
      <c r="I1118" s="1">
        <v>-5595.97</v>
      </c>
    </row>
    <row r="1119" spans="1:9" hidden="1" x14ac:dyDescent="0.25">
      <c r="A1119" s="1" t="s">
        <v>9</v>
      </c>
      <c r="B1119" s="1" t="s">
        <v>250</v>
      </c>
      <c r="C1119" s="1" t="s">
        <v>3</v>
      </c>
      <c r="D1119" s="1">
        <v>1033.76</v>
      </c>
      <c r="E1119" s="1">
        <v>86.86</v>
      </c>
      <c r="F1119" s="1">
        <v>0</v>
      </c>
      <c r="G1119" s="1">
        <v>575.08199999999999</v>
      </c>
      <c r="H1119" s="1">
        <v>6202.5429999999997</v>
      </c>
      <c r="I1119" s="1">
        <v>-5478.84</v>
      </c>
    </row>
    <row r="1120" spans="1:9" hidden="1" x14ac:dyDescent="0.25">
      <c r="A1120" s="1" t="s">
        <v>10</v>
      </c>
      <c r="B1120" s="1" t="s">
        <v>250</v>
      </c>
      <c r="C1120" s="1" t="s">
        <v>143</v>
      </c>
      <c r="D1120" s="1">
        <v>0</v>
      </c>
      <c r="E1120" s="1">
        <v>0</v>
      </c>
      <c r="F1120" s="1">
        <v>0</v>
      </c>
      <c r="G1120" s="1">
        <v>0</v>
      </c>
      <c r="H1120" s="1">
        <v>0</v>
      </c>
      <c r="I1120" s="1">
        <v>0</v>
      </c>
    </row>
    <row r="1121" spans="1:9" hidden="1" x14ac:dyDescent="0.25">
      <c r="A1121" s="1" t="s">
        <v>10</v>
      </c>
      <c r="B1121" s="1" t="s">
        <v>250</v>
      </c>
      <c r="C1121" s="1" t="s">
        <v>3</v>
      </c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</row>
    <row r="1122" spans="1:9" hidden="1" x14ac:dyDescent="0.25">
      <c r="A1122" s="1" t="s">
        <v>125</v>
      </c>
      <c r="B1122" s="1" t="s">
        <v>251</v>
      </c>
      <c r="C1122" s="1" t="s">
        <v>143</v>
      </c>
      <c r="D1122" s="1">
        <v>233.92</v>
      </c>
      <c r="E1122" s="1">
        <v>-27.28</v>
      </c>
      <c r="F1122" s="1">
        <v>0</v>
      </c>
      <c r="G1122" s="1">
        <v>-180.047</v>
      </c>
      <c r="H1122" s="1">
        <v>1403.51</v>
      </c>
      <c r="I1122" s="1">
        <v>-1403.51</v>
      </c>
    </row>
    <row r="1123" spans="1:9" hidden="1" x14ac:dyDescent="0.25">
      <c r="A1123" s="1" t="s">
        <v>125</v>
      </c>
      <c r="B1123" s="1" t="s">
        <v>251</v>
      </c>
      <c r="C1123" s="1" t="s">
        <v>3</v>
      </c>
      <c r="D1123" s="1">
        <v>258.44</v>
      </c>
      <c r="E1123" s="1">
        <v>-27.28</v>
      </c>
      <c r="F1123" s="1">
        <v>0</v>
      </c>
      <c r="G1123" s="1">
        <v>-180.047</v>
      </c>
      <c r="H1123" s="1">
        <v>1550.636</v>
      </c>
      <c r="I1123" s="1">
        <v>-1632.7190000000001</v>
      </c>
    </row>
    <row r="1124" spans="1:9" hidden="1" x14ac:dyDescent="0.25">
      <c r="A1124" s="1" t="s">
        <v>126</v>
      </c>
      <c r="B1124" s="1" t="s">
        <v>251</v>
      </c>
      <c r="C1124" s="1" t="s">
        <v>143</v>
      </c>
      <c r="D1124" s="1">
        <v>492.36</v>
      </c>
      <c r="E1124" s="1">
        <v>-52.41</v>
      </c>
      <c r="F1124" s="1">
        <v>0</v>
      </c>
      <c r="G1124" s="1">
        <v>-346.12900000000002</v>
      </c>
      <c r="H1124" s="1">
        <v>2954.1460000000002</v>
      </c>
      <c r="I1124" s="1">
        <v>-3036.2289999999998</v>
      </c>
    </row>
    <row r="1125" spans="1:9" hidden="1" x14ac:dyDescent="0.25">
      <c r="A1125" s="1" t="s">
        <v>126</v>
      </c>
      <c r="B1125" s="1" t="s">
        <v>251</v>
      </c>
      <c r="C1125" s="1" t="s">
        <v>3</v>
      </c>
      <c r="D1125" s="1">
        <v>516.88</v>
      </c>
      <c r="E1125" s="1">
        <v>-52.41</v>
      </c>
      <c r="F1125" s="1">
        <v>0</v>
      </c>
      <c r="G1125" s="1">
        <v>-346.12900000000002</v>
      </c>
      <c r="H1125" s="1">
        <v>3101.2710000000002</v>
      </c>
      <c r="I1125" s="1">
        <v>-3341.0479999999998</v>
      </c>
    </row>
    <row r="1126" spans="1:9" hidden="1" x14ac:dyDescent="0.25">
      <c r="A1126" s="1" t="s">
        <v>127</v>
      </c>
      <c r="B1126" s="1" t="s">
        <v>251</v>
      </c>
      <c r="C1126" s="1" t="s">
        <v>143</v>
      </c>
      <c r="D1126" s="1">
        <v>750.8</v>
      </c>
      <c r="E1126" s="1">
        <v>-72.91</v>
      </c>
      <c r="F1126" s="1">
        <v>0</v>
      </c>
      <c r="G1126" s="1">
        <v>-482.108</v>
      </c>
      <c r="H1126" s="1">
        <v>4504.7809999999999</v>
      </c>
      <c r="I1126" s="1">
        <v>-4744.558</v>
      </c>
    </row>
    <row r="1127" spans="1:9" hidden="1" x14ac:dyDescent="0.25">
      <c r="A1127" s="1" t="s">
        <v>127</v>
      </c>
      <c r="B1127" s="1" t="s">
        <v>251</v>
      </c>
      <c r="C1127" s="1" t="s">
        <v>3</v>
      </c>
      <c r="D1127" s="1">
        <v>775.32</v>
      </c>
      <c r="E1127" s="1">
        <v>-72.91</v>
      </c>
      <c r="F1127" s="1">
        <v>0</v>
      </c>
      <c r="G1127" s="1">
        <v>-482.108</v>
      </c>
      <c r="H1127" s="1">
        <v>4651.9070000000002</v>
      </c>
      <c r="I1127" s="1">
        <v>-5111.3549999999996</v>
      </c>
    </row>
    <row r="1128" spans="1:9" hidden="1" x14ac:dyDescent="0.25">
      <c r="A1128" s="1" t="s">
        <v>9</v>
      </c>
      <c r="B1128" s="1" t="s">
        <v>251</v>
      </c>
      <c r="C1128" s="1" t="s">
        <v>143</v>
      </c>
      <c r="D1128" s="1">
        <v>1009.24</v>
      </c>
      <c r="E1128" s="1">
        <v>-86.86</v>
      </c>
      <c r="F1128" s="1">
        <v>0</v>
      </c>
      <c r="G1128" s="1">
        <v>-575.08199999999999</v>
      </c>
      <c r="H1128" s="1">
        <v>6055.4170000000004</v>
      </c>
      <c r="I1128" s="1">
        <v>-6514.8649999999998</v>
      </c>
    </row>
    <row r="1129" spans="1:9" hidden="1" x14ac:dyDescent="0.25">
      <c r="A1129" s="1" t="s">
        <v>9</v>
      </c>
      <c r="B1129" s="1" t="s">
        <v>251</v>
      </c>
      <c r="C1129" s="1" t="s">
        <v>3</v>
      </c>
      <c r="D1129" s="1">
        <v>1033.76</v>
      </c>
      <c r="E1129" s="1">
        <v>-86.86</v>
      </c>
      <c r="F1129" s="1">
        <v>0</v>
      </c>
      <c r="G1129" s="1">
        <v>-575.08199999999999</v>
      </c>
      <c r="H1129" s="1">
        <v>6202.5429999999997</v>
      </c>
      <c r="I1129" s="1">
        <v>-6926.2449999999999</v>
      </c>
    </row>
    <row r="1130" spans="1:9" hidden="1" x14ac:dyDescent="0.25">
      <c r="A1130" s="1" t="s">
        <v>10</v>
      </c>
      <c r="B1130" s="1" t="s">
        <v>251</v>
      </c>
      <c r="C1130" s="1" t="s">
        <v>143</v>
      </c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</row>
    <row r="1131" spans="1:9" hidden="1" x14ac:dyDescent="0.25">
      <c r="A1131" s="1" t="s">
        <v>10</v>
      </c>
      <c r="B1131" s="1" t="s">
        <v>251</v>
      </c>
      <c r="C1131" s="1" t="s">
        <v>3</v>
      </c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</row>
    <row r="1132" spans="1:9" hidden="1" x14ac:dyDescent="0.25">
      <c r="A1132" s="1" t="s">
        <v>125</v>
      </c>
      <c r="B1132" s="1" t="s">
        <v>252</v>
      </c>
      <c r="C1132" s="1" t="s">
        <v>143</v>
      </c>
      <c r="D1132" s="1">
        <v>167.08</v>
      </c>
      <c r="E1132" s="1">
        <v>27.28</v>
      </c>
      <c r="F1132" s="1">
        <v>0</v>
      </c>
      <c r="G1132" s="1">
        <v>180.047</v>
      </c>
      <c r="H1132" s="1">
        <v>1002.5069999999999</v>
      </c>
      <c r="I1132" s="1">
        <v>-1002.5069999999999</v>
      </c>
    </row>
    <row r="1133" spans="1:9" hidden="1" x14ac:dyDescent="0.25">
      <c r="A1133" s="1" t="s">
        <v>125</v>
      </c>
      <c r="B1133" s="1" t="s">
        <v>252</v>
      </c>
      <c r="C1133" s="1" t="s">
        <v>3</v>
      </c>
      <c r="D1133" s="1">
        <v>184.6</v>
      </c>
      <c r="E1133" s="1">
        <v>27.28</v>
      </c>
      <c r="F1133" s="1">
        <v>0</v>
      </c>
      <c r="G1133" s="1">
        <v>180.047</v>
      </c>
      <c r="H1133" s="1">
        <v>1107.597</v>
      </c>
      <c r="I1133" s="1">
        <v>-1025.5139999999999</v>
      </c>
    </row>
    <row r="1134" spans="1:9" hidden="1" x14ac:dyDescent="0.25">
      <c r="A1134" s="1" t="s">
        <v>126</v>
      </c>
      <c r="B1134" s="1" t="s">
        <v>252</v>
      </c>
      <c r="C1134" s="1" t="s">
        <v>143</v>
      </c>
      <c r="D1134" s="1">
        <v>351.68</v>
      </c>
      <c r="E1134" s="1">
        <v>52.41</v>
      </c>
      <c r="F1134" s="1">
        <v>0</v>
      </c>
      <c r="G1134" s="1">
        <v>346.12900000000002</v>
      </c>
      <c r="H1134" s="1">
        <v>2110.1039999999998</v>
      </c>
      <c r="I1134" s="1">
        <v>-2028.021</v>
      </c>
    </row>
    <row r="1135" spans="1:9" hidden="1" x14ac:dyDescent="0.25">
      <c r="A1135" s="1" t="s">
        <v>126</v>
      </c>
      <c r="B1135" s="1" t="s">
        <v>252</v>
      </c>
      <c r="C1135" s="1" t="s">
        <v>3</v>
      </c>
      <c r="D1135" s="1">
        <v>369.2</v>
      </c>
      <c r="E1135" s="1">
        <v>52.41</v>
      </c>
      <c r="F1135" s="1">
        <v>0</v>
      </c>
      <c r="G1135" s="1">
        <v>346.12900000000002</v>
      </c>
      <c r="H1135" s="1">
        <v>2215.194</v>
      </c>
      <c r="I1135" s="1">
        <v>-1975.4179999999999</v>
      </c>
    </row>
    <row r="1136" spans="1:9" hidden="1" x14ac:dyDescent="0.25">
      <c r="A1136" s="1" t="s">
        <v>127</v>
      </c>
      <c r="B1136" s="1" t="s">
        <v>252</v>
      </c>
      <c r="C1136" s="1" t="s">
        <v>143</v>
      </c>
      <c r="D1136" s="1">
        <v>536.28</v>
      </c>
      <c r="E1136" s="1">
        <v>72.91</v>
      </c>
      <c r="F1136" s="1">
        <v>0</v>
      </c>
      <c r="G1136" s="1">
        <v>482.108</v>
      </c>
      <c r="H1136" s="1">
        <v>3217.701</v>
      </c>
      <c r="I1136" s="1">
        <v>-2977.9250000000002</v>
      </c>
    </row>
    <row r="1137" spans="1:9" hidden="1" x14ac:dyDescent="0.25">
      <c r="A1137" s="1" t="s">
        <v>127</v>
      </c>
      <c r="B1137" s="1" t="s">
        <v>252</v>
      </c>
      <c r="C1137" s="1" t="s">
        <v>3</v>
      </c>
      <c r="D1137" s="1">
        <v>553.79999999999995</v>
      </c>
      <c r="E1137" s="1">
        <v>72.91</v>
      </c>
      <c r="F1137" s="1">
        <v>0</v>
      </c>
      <c r="G1137" s="1">
        <v>482.108</v>
      </c>
      <c r="H1137" s="1">
        <v>3322.7910000000002</v>
      </c>
      <c r="I1137" s="1">
        <v>-2863.3429999999998</v>
      </c>
    </row>
    <row r="1138" spans="1:9" hidden="1" x14ac:dyDescent="0.25">
      <c r="A1138" s="1" t="s">
        <v>9</v>
      </c>
      <c r="B1138" s="1" t="s">
        <v>252</v>
      </c>
      <c r="C1138" s="1" t="s">
        <v>143</v>
      </c>
      <c r="D1138" s="1">
        <v>720.88</v>
      </c>
      <c r="E1138" s="1">
        <v>86.86</v>
      </c>
      <c r="F1138" s="1">
        <v>0</v>
      </c>
      <c r="G1138" s="1">
        <v>575.08199999999999</v>
      </c>
      <c r="H1138" s="1">
        <v>4325.2979999999998</v>
      </c>
      <c r="I1138" s="1">
        <v>-3865.85</v>
      </c>
    </row>
    <row r="1139" spans="1:9" hidden="1" x14ac:dyDescent="0.25">
      <c r="A1139" s="1" t="s">
        <v>9</v>
      </c>
      <c r="B1139" s="1" t="s">
        <v>252</v>
      </c>
      <c r="C1139" s="1" t="s">
        <v>3</v>
      </c>
      <c r="D1139" s="1">
        <v>738.4</v>
      </c>
      <c r="E1139" s="1">
        <v>86.86</v>
      </c>
      <c r="F1139" s="1">
        <v>0</v>
      </c>
      <c r="G1139" s="1">
        <v>575.08199999999999</v>
      </c>
      <c r="H1139" s="1">
        <v>4430.3879999999999</v>
      </c>
      <c r="I1139" s="1">
        <v>-3706.6849999999999</v>
      </c>
    </row>
    <row r="1140" spans="1:9" hidden="1" x14ac:dyDescent="0.25">
      <c r="A1140" s="1" t="s">
        <v>10</v>
      </c>
      <c r="B1140" s="1" t="s">
        <v>252</v>
      </c>
      <c r="C1140" s="1" t="s">
        <v>143</v>
      </c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</row>
    <row r="1141" spans="1:9" hidden="1" x14ac:dyDescent="0.25">
      <c r="A1141" s="1" t="s">
        <v>10</v>
      </c>
      <c r="B1141" s="1" t="s">
        <v>252</v>
      </c>
      <c r="C1141" s="1" t="s">
        <v>3</v>
      </c>
      <c r="D1141" s="1">
        <v>0</v>
      </c>
      <c r="E1141" s="1">
        <v>0</v>
      </c>
      <c r="F1141" s="1">
        <v>0</v>
      </c>
      <c r="G1141" s="1">
        <v>0</v>
      </c>
      <c r="H1141" s="1">
        <v>0</v>
      </c>
      <c r="I1141" s="1">
        <v>0</v>
      </c>
    </row>
    <row r="1142" spans="1:9" hidden="1" x14ac:dyDescent="0.25">
      <c r="A1142" s="1" t="s">
        <v>125</v>
      </c>
      <c r="B1142" s="1" t="s">
        <v>253</v>
      </c>
      <c r="C1142" s="1" t="s">
        <v>143</v>
      </c>
      <c r="D1142" s="1">
        <v>167.08</v>
      </c>
      <c r="E1142" s="1">
        <v>-27.28</v>
      </c>
      <c r="F1142" s="1">
        <v>0</v>
      </c>
      <c r="G1142" s="1">
        <v>-180.047</v>
      </c>
      <c r="H1142" s="1">
        <v>1002.5069999999999</v>
      </c>
      <c r="I1142" s="1">
        <v>-1002.5069999999999</v>
      </c>
    </row>
    <row r="1143" spans="1:9" hidden="1" x14ac:dyDescent="0.25">
      <c r="A1143" s="1" t="s">
        <v>125</v>
      </c>
      <c r="B1143" s="1" t="s">
        <v>253</v>
      </c>
      <c r="C1143" s="1" t="s">
        <v>3</v>
      </c>
      <c r="D1143" s="1">
        <v>184.6</v>
      </c>
      <c r="E1143" s="1">
        <v>-27.28</v>
      </c>
      <c r="F1143" s="1">
        <v>0</v>
      </c>
      <c r="G1143" s="1">
        <v>-180.047</v>
      </c>
      <c r="H1143" s="1">
        <v>1107.597</v>
      </c>
      <c r="I1143" s="1">
        <v>-1189.68</v>
      </c>
    </row>
    <row r="1144" spans="1:9" hidden="1" x14ac:dyDescent="0.25">
      <c r="A1144" s="1" t="s">
        <v>126</v>
      </c>
      <c r="B1144" s="1" t="s">
        <v>253</v>
      </c>
      <c r="C1144" s="1" t="s">
        <v>143</v>
      </c>
      <c r="D1144" s="1">
        <v>351.68</v>
      </c>
      <c r="E1144" s="1">
        <v>-52.41</v>
      </c>
      <c r="F1144" s="1">
        <v>0</v>
      </c>
      <c r="G1144" s="1">
        <v>-346.12900000000002</v>
      </c>
      <c r="H1144" s="1">
        <v>2110.1039999999998</v>
      </c>
      <c r="I1144" s="1">
        <v>-2192.1869999999999</v>
      </c>
    </row>
    <row r="1145" spans="1:9" hidden="1" x14ac:dyDescent="0.25">
      <c r="A1145" s="1" t="s">
        <v>126</v>
      </c>
      <c r="B1145" s="1" t="s">
        <v>253</v>
      </c>
      <c r="C1145" s="1" t="s">
        <v>3</v>
      </c>
      <c r="D1145" s="1">
        <v>369.2</v>
      </c>
      <c r="E1145" s="1">
        <v>-52.41</v>
      </c>
      <c r="F1145" s="1">
        <v>0</v>
      </c>
      <c r="G1145" s="1">
        <v>-346.12900000000002</v>
      </c>
      <c r="H1145" s="1">
        <v>2215.194</v>
      </c>
      <c r="I1145" s="1">
        <v>-2454.9699999999998</v>
      </c>
    </row>
    <row r="1146" spans="1:9" hidden="1" x14ac:dyDescent="0.25">
      <c r="A1146" s="1" t="s">
        <v>127</v>
      </c>
      <c r="B1146" s="1" t="s">
        <v>253</v>
      </c>
      <c r="C1146" s="1" t="s">
        <v>143</v>
      </c>
      <c r="D1146" s="1">
        <v>536.28</v>
      </c>
      <c r="E1146" s="1">
        <v>-72.91</v>
      </c>
      <c r="F1146" s="1">
        <v>0</v>
      </c>
      <c r="G1146" s="1">
        <v>-482.108</v>
      </c>
      <c r="H1146" s="1">
        <v>3217.701</v>
      </c>
      <c r="I1146" s="1">
        <v>-3457.4769999999999</v>
      </c>
    </row>
    <row r="1147" spans="1:9" hidden="1" x14ac:dyDescent="0.25">
      <c r="A1147" s="1" t="s">
        <v>127</v>
      </c>
      <c r="B1147" s="1" t="s">
        <v>253</v>
      </c>
      <c r="C1147" s="1" t="s">
        <v>3</v>
      </c>
      <c r="D1147" s="1">
        <v>553.79999999999995</v>
      </c>
      <c r="E1147" s="1">
        <v>-72.91</v>
      </c>
      <c r="F1147" s="1">
        <v>0</v>
      </c>
      <c r="G1147" s="1">
        <v>-482.108</v>
      </c>
      <c r="H1147" s="1">
        <v>3322.7910000000002</v>
      </c>
      <c r="I1147" s="1">
        <v>-3782.2379999999998</v>
      </c>
    </row>
    <row r="1148" spans="1:9" hidden="1" x14ac:dyDescent="0.25">
      <c r="A1148" s="1" t="s">
        <v>9</v>
      </c>
      <c r="B1148" s="1" t="s">
        <v>253</v>
      </c>
      <c r="C1148" s="1" t="s">
        <v>143</v>
      </c>
      <c r="D1148" s="1">
        <v>720.88</v>
      </c>
      <c r="E1148" s="1">
        <v>-86.86</v>
      </c>
      <c r="F1148" s="1">
        <v>0</v>
      </c>
      <c r="G1148" s="1">
        <v>-575.08199999999999</v>
      </c>
      <c r="H1148" s="1">
        <v>4325.2979999999998</v>
      </c>
      <c r="I1148" s="1">
        <v>-4784.7449999999999</v>
      </c>
    </row>
    <row r="1149" spans="1:9" hidden="1" x14ac:dyDescent="0.25">
      <c r="A1149" s="1" t="s">
        <v>9</v>
      </c>
      <c r="B1149" s="1" t="s">
        <v>253</v>
      </c>
      <c r="C1149" s="1" t="s">
        <v>3</v>
      </c>
      <c r="D1149" s="1">
        <v>738.4</v>
      </c>
      <c r="E1149" s="1">
        <v>-86.86</v>
      </c>
      <c r="F1149" s="1">
        <v>0</v>
      </c>
      <c r="G1149" s="1">
        <v>-575.08199999999999</v>
      </c>
      <c r="H1149" s="1">
        <v>4430.3879999999999</v>
      </c>
      <c r="I1149" s="1">
        <v>-5154.09</v>
      </c>
    </row>
    <row r="1150" spans="1:9" hidden="1" x14ac:dyDescent="0.25">
      <c r="A1150" s="1" t="s">
        <v>10</v>
      </c>
      <c r="B1150" s="1" t="s">
        <v>253</v>
      </c>
      <c r="C1150" s="1" t="s">
        <v>143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</v>
      </c>
    </row>
    <row r="1151" spans="1:9" hidden="1" x14ac:dyDescent="0.25">
      <c r="A1151" s="1" t="s">
        <v>10</v>
      </c>
      <c r="B1151" s="1" t="s">
        <v>253</v>
      </c>
      <c r="C1151" s="1" t="s">
        <v>3</v>
      </c>
      <c r="D1151" s="1">
        <v>0</v>
      </c>
      <c r="E1151" s="1">
        <v>0</v>
      </c>
      <c r="F1151" s="1">
        <v>0</v>
      </c>
      <c r="G1151" s="1">
        <v>0</v>
      </c>
      <c r="H1151" s="1">
        <v>0</v>
      </c>
      <c r="I1151" s="1">
        <v>0</v>
      </c>
    </row>
    <row r="1152" spans="1:9" hidden="1" x14ac:dyDescent="0.25">
      <c r="A1152" s="1" t="s">
        <v>125</v>
      </c>
      <c r="B1152" s="1" t="s">
        <v>254</v>
      </c>
      <c r="C1152" s="1" t="s">
        <v>143</v>
      </c>
      <c r="D1152" s="1">
        <v>233.92</v>
      </c>
      <c r="E1152" s="1">
        <v>0</v>
      </c>
      <c r="F1152" s="1">
        <v>25.01</v>
      </c>
      <c r="G1152" s="1">
        <v>165.04300000000001</v>
      </c>
      <c r="H1152" s="1">
        <v>1403.51</v>
      </c>
      <c r="I1152" s="1">
        <v>-1403.51</v>
      </c>
    </row>
    <row r="1153" spans="1:9" hidden="1" x14ac:dyDescent="0.25">
      <c r="A1153" s="1" t="s">
        <v>125</v>
      </c>
      <c r="B1153" s="1" t="s">
        <v>254</v>
      </c>
      <c r="C1153" s="1" t="s">
        <v>3</v>
      </c>
      <c r="D1153" s="1">
        <v>258.44</v>
      </c>
      <c r="E1153" s="1">
        <v>0</v>
      </c>
      <c r="F1153" s="1">
        <v>25.01</v>
      </c>
      <c r="G1153" s="1">
        <v>165.04300000000001</v>
      </c>
      <c r="H1153" s="1">
        <v>1625.8779999999999</v>
      </c>
      <c r="I1153" s="1">
        <v>-1550.636</v>
      </c>
    </row>
    <row r="1154" spans="1:9" hidden="1" x14ac:dyDescent="0.25">
      <c r="A1154" s="1" t="s">
        <v>126</v>
      </c>
      <c r="B1154" s="1" t="s">
        <v>254</v>
      </c>
      <c r="C1154" s="1" t="s">
        <v>143</v>
      </c>
      <c r="D1154" s="1">
        <v>492.36</v>
      </c>
      <c r="E1154" s="1">
        <v>0</v>
      </c>
      <c r="F1154" s="1">
        <v>48.04</v>
      </c>
      <c r="G1154" s="1">
        <v>317.28500000000003</v>
      </c>
      <c r="H1154" s="1">
        <v>3029.3879999999999</v>
      </c>
      <c r="I1154" s="1">
        <v>-2954.1460000000002</v>
      </c>
    </row>
    <row r="1155" spans="1:9" hidden="1" x14ac:dyDescent="0.25">
      <c r="A1155" s="1" t="s">
        <v>126</v>
      </c>
      <c r="B1155" s="1" t="s">
        <v>254</v>
      </c>
      <c r="C1155" s="1" t="s">
        <v>3</v>
      </c>
      <c r="D1155" s="1">
        <v>516.88</v>
      </c>
      <c r="E1155" s="1">
        <v>0</v>
      </c>
      <c r="F1155" s="1">
        <v>48.04</v>
      </c>
      <c r="G1155" s="1">
        <v>317.28500000000003</v>
      </c>
      <c r="H1155" s="1">
        <v>3321.0659999999998</v>
      </c>
      <c r="I1155" s="1">
        <v>-3101.2710000000002</v>
      </c>
    </row>
    <row r="1156" spans="1:9" hidden="1" x14ac:dyDescent="0.25">
      <c r="A1156" s="1" t="s">
        <v>127</v>
      </c>
      <c r="B1156" s="1" t="s">
        <v>254</v>
      </c>
      <c r="C1156" s="1" t="s">
        <v>143</v>
      </c>
      <c r="D1156" s="1">
        <v>750.8</v>
      </c>
      <c r="E1156" s="1">
        <v>0</v>
      </c>
      <c r="F1156" s="1">
        <v>66.84</v>
      </c>
      <c r="G1156" s="1">
        <v>441.93200000000002</v>
      </c>
      <c r="H1156" s="1">
        <v>4724.576</v>
      </c>
      <c r="I1156" s="1">
        <v>-4504.7809999999999</v>
      </c>
    </row>
    <row r="1157" spans="1:9" hidden="1" x14ac:dyDescent="0.25">
      <c r="A1157" s="1" t="s">
        <v>127</v>
      </c>
      <c r="B1157" s="1" t="s">
        <v>254</v>
      </c>
      <c r="C1157" s="1" t="s">
        <v>3</v>
      </c>
      <c r="D1157" s="1">
        <v>775.32</v>
      </c>
      <c r="E1157" s="1">
        <v>0</v>
      </c>
      <c r="F1157" s="1">
        <v>66.84</v>
      </c>
      <c r="G1157" s="1">
        <v>441.93200000000002</v>
      </c>
      <c r="H1157" s="1">
        <v>5073.067</v>
      </c>
      <c r="I1157" s="1">
        <v>-4651.9070000000002</v>
      </c>
    </row>
    <row r="1158" spans="1:9" hidden="1" x14ac:dyDescent="0.25">
      <c r="A1158" s="1" t="s">
        <v>9</v>
      </c>
      <c r="B1158" s="1" t="s">
        <v>254</v>
      </c>
      <c r="C1158" s="1" t="s">
        <v>143</v>
      </c>
      <c r="D1158" s="1">
        <v>1009.24</v>
      </c>
      <c r="E1158" s="1">
        <v>0</v>
      </c>
      <c r="F1158" s="1">
        <v>79.62</v>
      </c>
      <c r="G1158" s="1">
        <v>527.15800000000002</v>
      </c>
      <c r="H1158" s="1">
        <v>6476.5770000000002</v>
      </c>
      <c r="I1158" s="1">
        <v>-6055.4170000000004</v>
      </c>
    </row>
    <row r="1159" spans="1:9" hidden="1" x14ac:dyDescent="0.25">
      <c r="A1159" s="1" t="s">
        <v>9</v>
      </c>
      <c r="B1159" s="1" t="s">
        <v>254</v>
      </c>
      <c r="C1159" s="1" t="s">
        <v>3</v>
      </c>
      <c r="D1159" s="1">
        <v>1033.76</v>
      </c>
      <c r="E1159" s="1">
        <v>0</v>
      </c>
      <c r="F1159" s="1">
        <v>79.62</v>
      </c>
      <c r="G1159" s="1">
        <v>527.15800000000002</v>
      </c>
      <c r="H1159" s="1">
        <v>6865.9369999999999</v>
      </c>
      <c r="I1159" s="1">
        <v>-6202.5429999999997</v>
      </c>
    </row>
    <row r="1160" spans="1:9" hidden="1" x14ac:dyDescent="0.25">
      <c r="A1160" s="1" t="s">
        <v>10</v>
      </c>
      <c r="B1160" s="1" t="s">
        <v>254</v>
      </c>
      <c r="C1160" s="1" t="s">
        <v>143</v>
      </c>
      <c r="D1160" s="1">
        <v>0</v>
      </c>
      <c r="E1160" s="1">
        <v>0</v>
      </c>
      <c r="F1160" s="1">
        <v>0</v>
      </c>
      <c r="G1160" s="1">
        <v>0</v>
      </c>
      <c r="H1160" s="1">
        <v>0</v>
      </c>
      <c r="I1160" s="1">
        <v>0</v>
      </c>
    </row>
    <row r="1161" spans="1:9" hidden="1" x14ac:dyDescent="0.25">
      <c r="A1161" s="1" t="s">
        <v>10</v>
      </c>
      <c r="B1161" s="1" t="s">
        <v>254</v>
      </c>
      <c r="C1161" s="1" t="s">
        <v>3</v>
      </c>
      <c r="D1161" s="1">
        <v>0</v>
      </c>
      <c r="E1161" s="1">
        <v>0</v>
      </c>
      <c r="F1161" s="1">
        <v>0</v>
      </c>
      <c r="G1161" s="1">
        <v>0</v>
      </c>
      <c r="H1161" s="1">
        <v>0</v>
      </c>
      <c r="I1161" s="1">
        <v>0</v>
      </c>
    </row>
    <row r="1162" spans="1:9" hidden="1" x14ac:dyDescent="0.25">
      <c r="A1162" s="1" t="s">
        <v>125</v>
      </c>
      <c r="B1162" s="1" t="s">
        <v>255</v>
      </c>
      <c r="C1162" s="1" t="s">
        <v>143</v>
      </c>
      <c r="D1162" s="1">
        <v>233.92</v>
      </c>
      <c r="E1162" s="1">
        <v>0</v>
      </c>
      <c r="F1162" s="1">
        <v>-25.01</v>
      </c>
      <c r="G1162" s="1">
        <v>-165.04300000000001</v>
      </c>
      <c r="H1162" s="1">
        <v>1403.51</v>
      </c>
      <c r="I1162" s="1">
        <v>-1403.51</v>
      </c>
    </row>
    <row r="1163" spans="1:9" hidden="1" x14ac:dyDescent="0.25">
      <c r="A1163" s="1" t="s">
        <v>125</v>
      </c>
      <c r="B1163" s="1" t="s">
        <v>255</v>
      </c>
      <c r="C1163" s="1" t="s">
        <v>3</v>
      </c>
      <c r="D1163" s="1">
        <v>258.44</v>
      </c>
      <c r="E1163" s="1">
        <v>0</v>
      </c>
      <c r="F1163" s="1">
        <v>-25.01</v>
      </c>
      <c r="G1163" s="1">
        <v>-165.04300000000001</v>
      </c>
      <c r="H1163" s="1">
        <v>1475.393</v>
      </c>
      <c r="I1163" s="1">
        <v>-1550.636</v>
      </c>
    </row>
    <row r="1164" spans="1:9" hidden="1" x14ac:dyDescent="0.25">
      <c r="A1164" s="1" t="s">
        <v>126</v>
      </c>
      <c r="B1164" s="1" t="s">
        <v>255</v>
      </c>
      <c r="C1164" s="1" t="s">
        <v>143</v>
      </c>
      <c r="D1164" s="1">
        <v>492.36</v>
      </c>
      <c r="E1164" s="1">
        <v>0</v>
      </c>
      <c r="F1164" s="1">
        <v>-48.04</v>
      </c>
      <c r="G1164" s="1">
        <v>-317.28500000000003</v>
      </c>
      <c r="H1164" s="1">
        <v>2878.9029999999998</v>
      </c>
      <c r="I1164" s="1">
        <v>-2954.1460000000002</v>
      </c>
    </row>
    <row r="1165" spans="1:9" hidden="1" x14ac:dyDescent="0.25">
      <c r="A1165" s="1" t="s">
        <v>126</v>
      </c>
      <c r="B1165" s="1" t="s">
        <v>255</v>
      </c>
      <c r="C1165" s="1" t="s">
        <v>3</v>
      </c>
      <c r="D1165" s="1">
        <v>516.88</v>
      </c>
      <c r="E1165" s="1">
        <v>0</v>
      </c>
      <c r="F1165" s="1">
        <v>-48.04</v>
      </c>
      <c r="G1165" s="1">
        <v>-317.28500000000003</v>
      </c>
      <c r="H1165" s="1">
        <v>2881.4769999999999</v>
      </c>
      <c r="I1165" s="1">
        <v>-3101.2710000000002</v>
      </c>
    </row>
    <row r="1166" spans="1:9" hidden="1" x14ac:dyDescent="0.25">
      <c r="A1166" s="1" t="s">
        <v>127</v>
      </c>
      <c r="B1166" s="1" t="s">
        <v>255</v>
      </c>
      <c r="C1166" s="1" t="s">
        <v>143</v>
      </c>
      <c r="D1166" s="1">
        <v>750.8</v>
      </c>
      <c r="E1166" s="1">
        <v>0</v>
      </c>
      <c r="F1166" s="1">
        <v>-66.84</v>
      </c>
      <c r="G1166" s="1">
        <v>-441.93200000000002</v>
      </c>
      <c r="H1166" s="1">
        <v>4284.9870000000001</v>
      </c>
      <c r="I1166" s="1">
        <v>-4504.7809999999999</v>
      </c>
    </row>
    <row r="1167" spans="1:9" hidden="1" x14ac:dyDescent="0.25">
      <c r="A1167" s="1" t="s">
        <v>127</v>
      </c>
      <c r="B1167" s="1" t="s">
        <v>255</v>
      </c>
      <c r="C1167" s="1" t="s">
        <v>3</v>
      </c>
      <c r="D1167" s="1">
        <v>775.32</v>
      </c>
      <c r="E1167" s="1">
        <v>0</v>
      </c>
      <c r="F1167" s="1">
        <v>-66.84</v>
      </c>
      <c r="G1167" s="1">
        <v>-441.93200000000002</v>
      </c>
      <c r="H1167" s="1">
        <v>4230.7470000000003</v>
      </c>
      <c r="I1167" s="1">
        <v>-4651.9070000000002</v>
      </c>
    </row>
    <row r="1168" spans="1:9" hidden="1" x14ac:dyDescent="0.25">
      <c r="A1168" s="1" t="s">
        <v>9</v>
      </c>
      <c r="B1168" s="1" t="s">
        <v>255</v>
      </c>
      <c r="C1168" s="1" t="s">
        <v>143</v>
      </c>
      <c r="D1168" s="1">
        <v>1009.24</v>
      </c>
      <c r="E1168" s="1">
        <v>0</v>
      </c>
      <c r="F1168" s="1">
        <v>-79.62</v>
      </c>
      <c r="G1168" s="1">
        <v>-527.15800000000002</v>
      </c>
      <c r="H1168" s="1">
        <v>5634.2569999999996</v>
      </c>
      <c r="I1168" s="1">
        <v>-6055.4170000000004</v>
      </c>
    </row>
    <row r="1169" spans="1:9" hidden="1" x14ac:dyDescent="0.25">
      <c r="A1169" s="1" t="s">
        <v>9</v>
      </c>
      <c r="B1169" s="1" t="s">
        <v>255</v>
      </c>
      <c r="C1169" s="1" t="s">
        <v>3</v>
      </c>
      <c r="D1169" s="1">
        <v>1033.76</v>
      </c>
      <c r="E1169" s="1">
        <v>0</v>
      </c>
      <c r="F1169" s="1">
        <v>-79.62</v>
      </c>
      <c r="G1169" s="1">
        <v>-527.15800000000002</v>
      </c>
      <c r="H1169" s="1">
        <v>5539.1490000000003</v>
      </c>
      <c r="I1169" s="1">
        <v>-6202.5429999999997</v>
      </c>
    </row>
    <row r="1170" spans="1:9" hidden="1" x14ac:dyDescent="0.25">
      <c r="A1170" s="1" t="s">
        <v>10</v>
      </c>
      <c r="B1170" s="1" t="s">
        <v>255</v>
      </c>
      <c r="C1170" s="1" t="s">
        <v>143</v>
      </c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</row>
    <row r="1171" spans="1:9" hidden="1" x14ac:dyDescent="0.25">
      <c r="A1171" s="1" t="s">
        <v>10</v>
      </c>
      <c r="B1171" s="1" t="s">
        <v>255</v>
      </c>
      <c r="C1171" s="1" t="s">
        <v>3</v>
      </c>
      <c r="D1171" s="1">
        <v>0</v>
      </c>
      <c r="E1171" s="1">
        <v>0</v>
      </c>
      <c r="F1171" s="1">
        <v>0</v>
      </c>
      <c r="G1171" s="1">
        <v>0</v>
      </c>
      <c r="H1171" s="1">
        <v>0</v>
      </c>
      <c r="I1171" s="1">
        <v>0</v>
      </c>
    </row>
    <row r="1172" spans="1:9" hidden="1" x14ac:dyDescent="0.25">
      <c r="A1172" s="1" t="s">
        <v>125</v>
      </c>
      <c r="B1172" s="1" t="s">
        <v>256</v>
      </c>
      <c r="C1172" s="1" t="s">
        <v>143</v>
      </c>
      <c r="D1172" s="1">
        <v>167.08</v>
      </c>
      <c r="E1172" s="1">
        <v>0</v>
      </c>
      <c r="F1172" s="1">
        <v>25.01</v>
      </c>
      <c r="G1172" s="1">
        <v>165.04300000000001</v>
      </c>
      <c r="H1172" s="1">
        <v>1002.5069999999999</v>
      </c>
      <c r="I1172" s="1">
        <v>-1002.5069999999999</v>
      </c>
    </row>
    <row r="1173" spans="1:9" hidden="1" x14ac:dyDescent="0.25">
      <c r="A1173" s="1" t="s">
        <v>125</v>
      </c>
      <c r="B1173" s="1" t="s">
        <v>256</v>
      </c>
      <c r="C1173" s="1" t="s">
        <v>3</v>
      </c>
      <c r="D1173" s="1">
        <v>184.6</v>
      </c>
      <c r="E1173" s="1">
        <v>0</v>
      </c>
      <c r="F1173" s="1">
        <v>25.01</v>
      </c>
      <c r="G1173" s="1">
        <v>165.04300000000001</v>
      </c>
      <c r="H1173" s="1">
        <v>1182.8399999999999</v>
      </c>
      <c r="I1173" s="1">
        <v>-1107.597</v>
      </c>
    </row>
    <row r="1174" spans="1:9" hidden="1" x14ac:dyDescent="0.25">
      <c r="A1174" s="1" t="s">
        <v>126</v>
      </c>
      <c r="B1174" s="1" t="s">
        <v>256</v>
      </c>
      <c r="C1174" s="1" t="s">
        <v>143</v>
      </c>
      <c r="D1174" s="1">
        <v>351.68</v>
      </c>
      <c r="E1174" s="1">
        <v>0</v>
      </c>
      <c r="F1174" s="1">
        <v>48.04</v>
      </c>
      <c r="G1174" s="1">
        <v>317.28500000000003</v>
      </c>
      <c r="H1174" s="1">
        <v>2185.3470000000002</v>
      </c>
      <c r="I1174" s="1">
        <v>-2110.1039999999998</v>
      </c>
    </row>
    <row r="1175" spans="1:9" hidden="1" x14ac:dyDescent="0.25">
      <c r="A1175" s="1" t="s">
        <v>126</v>
      </c>
      <c r="B1175" s="1" t="s">
        <v>256</v>
      </c>
      <c r="C1175" s="1" t="s">
        <v>3</v>
      </c>
      <c r="D1175" s="1">
        <v>369.2</v>
      </c>
      <c r="E1175" s="1">
        <v>0</v>
      </c>
      <c r="F1175" s="1">
        <v>48.04</v>
      </c>
      <c r="G1175" s="1">
        <v>317.28500000000003</v>
      </c>
      <c r="H1175" s="1">
        <v>2434.989</v>
      </c>
      <c r="I1175" s="1">
        <v>-2215.194</v>
      </c>
    </row>
    <row r="1176" spans="1:9" hidden="1" x14ac:dyDescent="0.25">
      <c r="A1176" s="1" t="s">
        <v>127</v>
      </c>
      <c r="B1176" s="1" t="s">
        <v>256</v>
      </c>
      <c r="C1176" s="1" t="s">
        <v>143</v>
      </c>
      <c r="D1176" s="1">
        <v>536.28</v>
      </c>
      <c r="E1176" s="1">
        <v>0</v>
      </c>
      <c r="F1176" s="1">
        <v>66.84</v>
      </c>
      <c r="G1176" s="1">
        <v>441.93200000000002</v>
      </c>
      <c r="H1176" s="1">
        <v>3437.4960000000001</v>
      </c>
      <c r="I1176" s="1">
        <v>-3217.701</v>
      </c>
    </row>
    <row r="1177" spans="1:9" hidden="1" x14ac:dyDescent="0.25">
      <c r="A1177" s="1" t="s">
        <v>127</v>
      </c>
      <c r="B1177" s="1" t="s">
        <v>256</v>
      </c>
      <c r="C1177" s="1" t="s">
        <v>3</v>
      </c>
      <c r="D1177" s="1">
        <v>553.79999999999995</v>
      </c>
      <c r="E1177" s="1">
        <v>0</v>
      </c>
      <c r="F1177" s="1">
        <v>66.84</v>
      </c>
      <c r="G1177" s="1">
        <v>441.93200000000002</v>
      </c>
      <c r="H1177" s="1">
        <v>3743.951</v>
      </c>
      <c r="I1177" s="1">
        <v>-3322.7910000000002</v>
      </c>
    </row>
    <row r="1178" spans="1:9" hidden="1" x14ac:dyDescent="0.25">
      <c r="A1178" s="1" t="s">
        <v>9</v>
      </c>
      <c r="B1178" s="1" t="s">
        <v>256</v>
      </c>
      <c r="C1178" s="1" t="s">
        <v>143</v>
      </c>
      <c r="D1178" s="1">
        <v>720.88</v>
      </c>
      <c r="E1178" s="1">
        <v>0</v>
      </c>
      <c r="F1178" s="1">
        <v>79.62</v>
      </c>
      <c r="G1178" s="1">
        <v>527.15800000000002</v>
      </c>
      <c r="H1178" s="1">
        <v>4746.4579999999996</v>
      </c>
      <c r="I1178" s="1">
        <v>-4325.2979999999998</v>
      </c>
    </row>
    <row r="1179" spans="1:9" hidden="1" x14ac:dyDescent="0.25">
      <c r="A1179" s="1" t="s">
        <v>9</v>
      </c>
      <c r="B1179" s="1" t="s">
        <v>256</v>
      </c>
      <c r="C1179" s="1" t="s">
        <v>3</v>
      </c>
      <c r="D1179" s="1">
        <v>738.4</v>
      </c>
      <c r="E1179" s="1">
        <v>0</v>
      </c>
      <c r="F1179" s="1">
        <v>79.62</v>
      </c>
      <c r="G1179" s="1">
        <v>527.15800000000002</v>
      </c>
      <c r="H1179" s="1">
        <v>5093.7820000000002</v>
      </c>
      <c r="I1179" s="1">
        <v>-4430.3879999999999</v>
      </c>
    </row>
    <row r="1180" spans="1:9" hidden="1" x14ac:dyDescent="0.25">
      <c r="A1180" s="1" t="s">
        <v>10</v>
      </c>
      <c r="B1180" s="1" t="s">
        <v>256</v>
      </c>
      <c r="C1180" s="1" t="s">
        <v>143</v>
      </c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</row>
    <row r="1181" spans="1:9" hidden="1" x14ac:dyDescent="0.25">
      <c r="A1181" s="1" t="s">
        <v>10</v>
      </c>
      <c r="B1181" s="1" t="s">
        <v>256</v>
      </c>
      <c r="C1181" s="1" t="s">
        <v>3</v>
      </c>
      <c r="D1181" s="1">
        <v>0</v>
      </c>
      <c r="E1181" s="1">
        <v>0</v>
      </c>
      <c r="F1181" s="1">
        <v>0</v>
      </c>
      <c r="G1181" s="1">
        <v>0</v>
      </c>
      <c r="H1181" s="1">
        <v>0</v>
      </c>
      <c r="I1181" s="1">
        <v>0</v>
      </c>
    </row>
    <row r="1182" spans="1:9" hidden="1" x14ac:dyDescent="0.25">
      <c r="A1182" s="1" t="s">
        <v>125</v>
      </c>
      <c r="B1182" s="1" t="s">
        <v>257</v>
      </c>
      <c r="C1182" s="1" t="s">
        <v>143</v>
      </c>
      <c r="D1182" s="1">
        <v>167.08</v>
      </c>
      <c r="E1182" s="1">
        <v>0</v>
      </c>
      <c r="F1182" s="1">
        <v>-25.01</v>
      </c>
      <c r="G1182" s="1">
        <v>-165.04300000000001</v>
      </c>
      <c r="H1182" s="1">
        <v>1002.5069999999999</v>
      </c>
      <c r="I1182" s="1">
        <v>-1002.5069999999999</v>
      </c>
    </row>
    <row r="1183" spans="1:9" hidden="1" x14ac:dyDescent="0.25">
      <c r="A1183" s="1" t="s">
        <v>125</v>
      </c>
      <c r="B1183" s="1" t="s">
        <v>257</v>
      </c>
      <c r="C1183" s="1" t="s">
        <v>3</v>
      </c>
      <c r="D1183" s="1">
        <v>184.6</v>
      </c>
      <c r="E1183" s="1">
        <v>0</v>
      </c>
      <c r="F1183" s="1">
        <v>-25.01</v>
      </c>
      <c r="G1183" s="1">
        <v>-165.04300000000001</v>
      </c>
      <c r="H1183" s="1">
        <v>1032.354</v>
      </c>
      <c r="I1183" s="1">
        <v>-1107.597</v>
      </c>
    </row>
    <row r="1184" spans="1:9" hidden="1" x14ac:dyDescent="0.25">
      <c r="A1184" s="1" t="s">
        <v>126</v>
      </c>
      <c r="B1184" s="1" t="s">
        <v>257</v>
      </c>
      <c r="C1184" s="1" t="s">
        <v>143</v>
      </c>
      <c r="D1184" s="1">
        <v>351.68</v>
      </c>
      <c r="E1184" s="1">
        <v>0</v>
      </c>
      <c r="F1184" s="1">
        <v>-48.04</v>
      </c>
      <c r="G1184" s="1">
        <v>-317.28500000000003</v>
      </c>
      <c r="H1184" s="1">
        <v>2034.8610000000001</v>
      </c>
      <c r="I1184" s="1">
        <v>-2110.1039999999998</v>
      </c>
    </row>
    <row r="1185" spans="1:9" hidden="1" x14ac:dyDescent="0.25">
      <c r="A1185" s="1" t="s">
        <v>126</v>
      </c>
      <c r="B1185" s="1" t="s">
        <v>257</v>
      </c>
      <c r="C1185" s="1" t="s">
        <v>3</v>
      </c>
      <c r="D1185" s="1">
        <v>369.2</v>
      </c>
      <c r="E1185" s="1">
        <v>0</v>
      </c>
      <c r="F1185" s="1">
        <v>-48.04</v>
      </c>
      <c r="G1185" s="1">
        <v>-317.28500000000003</v>
      </c>
      <c r="H1185" s="1">
        <v>1995.3989999999999</v>
      </c>
      <c r="I1185" s="1">
        <v>-2215.194</v>
      </c>
    </row>
    <row r="1186" spans="1:9" hidden="1" x14ac:dyDescent="0.25">
      <c r="A1186" s="1" t="s">
        <v>127</v>
      </c>
      <c r="B1186" s="1" t="s">
        <v>257</v>
      </c>
      <c r="C1186" s="1" t="s">
        <v>143</v>
      </c>
      <c r="D1186" s="1">
        <v>536.28</v>
      </c>
      <c r="E1186" s="1">
        <v>0</v>
      </c>
      <c r="F1186" s="1">
        <v>-66.84</v>
      </c>
      <c r="G1186" s="1">
        <v>-441.93200000000002</v>
      </c>
      <c r="H1186" s="1">
        <v>2997.9059999999999</v>
      </c>
      <c r="I1186" s="1">
        <v>-3217.701</v>
      </c>
    </row>
    <row r="1187" spans="1:9" hidden="1" x14ac:dyDescent="0.25">
      <c r="A1187" s="1" t="s">
        <v>127</v>
      </c>
      <c r="B1187" s="1" t="s">
        <v>257</v>
      </c>
      <c r="C1187" s="1" t="s">
        <v>3</v>
      </c>
      <c r="D1187" s="1">
        <v>553.79999999999995</v>
      </c>
      <c r="E1187" s="1">
        <v>0</v>
      </c>
      <c r="F1187" s="1">
        <v>-66.84</v>
      </c>
      <c r="G1187" s="1">
        <v>-441.93200000000002</v>
      </c>
      <c r="H1187" s="1">
        <v>2901.6309999999999</v>
      </c>
      <c r="I1187" s="1">
        <v>-3322.7910000000002</v>
      </c>
    </row>
    <row r="1188" spans="1:9" hidden="1" x14ac:dyDescent="0.25">
      <c r="A1188" s="1" t="s">
        <v>9</v>
      </c>
      <c r="B1188" s="1" t="s">
        <v>257</v>
      </c>
      <c r="C1188" s="1" t="s">
        <v>143</v>
      </c>
      <c r="D1188" s="1">
        <v>720.88</v>
      </c>
      <c r="E1188" s="1">
        <v>0</v>
      </c>
      <c r="F1188" s="1">
        <v>-79.62</v>
      </c>
      <c r="G1188" s="1">
        <v>-527.15800000000002</v>
      </c>
      <c r="H1188" s="1">
        <v>3904.1379999999999</v>
      </c>
      <c r="I1188" s="1">
        <v>-4325.2979999999998</v>
      </c>
    </row>
    <row r="1189" spans="1:9" hidden="1" x14ac:dyDescent="0.25">
      <c r="A1189" s="1" t="s">
        <v>9</v>
      </c>
      <c r="B1189" s="1" t="s">
        <v>257</v>
      </c>
      <c r="C1189" s="1" t="s">
        <v>3</v>
      </c>
      <c r="D1189" s="1">
        <v>738.4</v>
      </c>
      <c r="E1189" s="1">
        <v>0</v>
      </c>
      <c r="F1189" s="1">
        <v>-79.62</v>
      </c>
      <c r="G1189" s="1">
        <v>-527.15800000000002</v>
      </c>
      <c r="H1189" s="1">
        <v>3766.9929999999999</v>
      </c>
      <c r="I1189" s="1">
        <v>-4430.3879999999999</v>
      </c>
    </row>
    <row r="1190" spans="1:9" hidden="1" x14ac:dyDescent="0.25">
      <c r="A1190" s="1" t="s">
        <v>10</v>
      </c>
      <c r="B1190" s="1" t="s">
        <v>257</v>
      </c>
      <c r="C1190" s="1" t="s">
        <v>143</v>
      </c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0</v>
      </c>
    </row>
    <row r="1191" spans="1:9" hidden="1" x14ac:dyDescent="0.25">
      <c r="A1191" s="1" t="s">
        <v>10</v>
      </c>
      <c r="B1191" s="1" t="s">
        <v>257</v>
      </c>
      <c r="C1191" s="1" t="s">
        <v>3</v>
      </c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0</v>
      </c>
    </row>
    <row r="1192" spans="1:9" hidden="1" x14ac:dyDescent="0.25">
      <c r="A1192" s="1" t="s">
        <v>125</v>
      </c>
      <c r="B1192" s="1" t="s">
        <v>147</v>
      </c>
      <c r="C1192" s="1" t="s">
        <v>143</v>
      </c>
      <c r="D1192" s="1">
        <v>0</v>
      </c>
      <c r="E1192" s="1">
        <v>0</v>
      </c>
      <c r="F1192" s="1">
        <v>0</v>
      </c>
      <c r="G1192" s="1">
        <v>0</v>
      </c>
      <c r="H1192" s="1">
        <v>0</v>
      </c>
      <c r="I1192" s="1">
        <v>0</v>
      </c>
    </row>
    <row r="1193" spans="1:9" hidden="1" x14ac:dyDescent="0.25">
      <c r="A1193" s="1" t="s">
        <v>125</v>
      </c>
      <c r="B1193" s="1" t="s">
        <v>147</v>
      </c>
      <c r="C1193" s="1" t="s">
        <v>3</v>
      </c>
      <c r="D1193" s="1">
        <v>0</v>
      </c>
      <c r="E1193" s="1">
        <v>0</v>
      </c>
      <c r="F1193" s="1">
        <v>0</v>
      </c>
      <c r="G1193" s="1">
        <v>0</v>
      </c>
      <c r="H1193" s="1">
        <v>0</v>
      </c>
      <c r="I1193" s="1">
        <v>0</v>
      </c>
    </row>
    <row r="1194" spans="1:9" hidden="1" x14ac:dyDescent="0.25">
      <c r="A1194" s="1" t="s">
        <v>126</v>
      </c>
      <c r="B1194" s="1" t="s">
        <v>147</v>
      </c>
      <c r="C1194" s="1" t="s">
        <v>143</v>
      </c>
      <c r="D1194" s="1">
        <v>0</v>
      </c>
      <c r="E1194" s="1">
        <v>0</v>
      </c>
      <c r="F1194" s="1">
        <v>0</v>
      </c>
      <c r="G1194" s="1">
        <v>0</v>
      </c>
      <c r="H1194" s="1">
        <v>0</v>
      </c>
      <c r="I1194" s="1">
        <v>0</v>
      </c>
    </row>
    <row r="1195" spans="1:9" hidden="1" x14ac:dyDescent="0.25">
      <c r="A1195" s="1" t="s">
        <v>126</v>
      </c>
      <c r="B1195" s="1" t="s">
        <v>147</v>
      </c>
      <c r="C1195" s="1" t="s">
        <v>3</v>
      </c>
      <c r="D1195" s="1">
        <v>0</v>
      </c>
      <c r="E1195" s="1">
        <v>0</v>
      </c>
      <c r="F1195" s="1">
        <v>0</v>
      </c>
      <c r="G1195" s="1">
        <v>0</v>
      </c>
      <c r="H1195" s="1">
        <v>0</v>
      </c>
      <c r="I1195" s="1">
        <v>0</v>
      </c>
    </row>
    <row r="1196" spans="1:9" hidden="1" x14ac:dyDescent="0.25">
      <c r="A1196" s="1" t="s">
        <v>127</v>
      </c>
      <c r="B1196" s="1" t="s">
        <v>147</v>
      </c>
      <c r="C1196" s="1" t="s">
        <v>143</v>
      </c>
      <c r="D1196" s="1">
        <v>0</v>
      </c>
      <c r="E1196" s="1">
        <v>0</v>
      </c>
      <c r="F1196" s="1">
        <v>0</v>
      </c>
      <c r="G1196" s="1">
        <v>0</v>
      </c>
      <c r="H1196" s="1">
        <v>0</v>
      </c>
      <c r="I1196" s="1">
        <v>0</v>
      </c>
    </row>
    <row r="1197" spans="1:9" hidden="1" x14ac:dyDescent="0.25">
      <c r="A1197" s="1" t="s">
        <v>127</v>
      </c>
      <c r="B1197" s="1" t="s">
        <v>147</v>
      </c>
      <c r="C1197" s="1" t="s">
        <v>3</v>
      </c>
      <c r="D1197" s="1">
        <v>0</v>
      </c>
      <c r="E1197" s="1">
        <v>0</v>
      </c>
      <c r="F1197" s="1">
        <v>0</v>
      </c>
      <c r="G1197" s="1">
        <v>0</v>
      </c>
      <c r="H1197" s="1">
        <v>0</v>
      </c>
      <c r="I1197" s="1">
        <v>0</v>
      </c>
    </row>
    <row r="1198" spans="1:9" hidden="1" x14ac:dyDescent="0.25">
      <c r="A1198" s="1" t="s">
        <v>9</v>
      </c>
      <c r="B1198" s="1" t="s">
        <v>147</v>
      </c>
      <c r="C1198" s="1" t="s">
        <v>143</v>
      </c>
      <c r="D1198" s="1">
        <v>0</v>
      </c>
      <c r="E1198" s="1">
        <v>0</v>
      </c>
      <c r="F1198" s="1">
        <v>0</v>
      </c>
      <c r="G1198" s="1">
        <v>0</v>
      </c>
      <c r="H1198" s="1">
        <v>0</v>
      </c>
      <c r="I1198" s="1">
        <v>0</v>
      </c>
    </row>
    <row r="1199" spans="1:9" hidden="1" x14ac:dyDescent="0.25">
      <c r="A1199" s="1" t="s">
        <v>9</v>
      </c>
      <c r="B1199" s="1" t="s">
        <v>147</v>
      </c>
      <c r="C1199" s="1" t="s">
        <v>3</v>
      </c>
      <c r="D1199" s="1">
        <v>0</v>
      </c>
      <c r="E1199" s="1">
        <v>0</v>
      </c>
      <c r="F1199" s="1">
        <v>0</v>
      </c>
      <c r="G1199" s="1">
        <v>0</v>
      </c>
      <c r="H1199" s="1">
        <v>0</v>
      </c>
      <c r="I1199" s="1">
        <v>0</v>
      </c>
    </row>
    <row r="1200" spans="1:9" hidden="1" x14ac:dyDescent="0.25">
      <c r="A1200" s="1" t="s">
        <v>10</v>
      </c>
      <c r="B1200" s="1" t="s">
        <v>147</v>
      </c>
      <c r="C1200" s="1" t="s">
        <v>143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</row>
    <row r="1201" spans="1:9" hidden="1" x14ac:dyDescent="0.25">
      <c r="A1201" s="1" t="s">
        <v>10</v>
      </c>
      <c r="B1201" s="1" t="s">
        <v>147</v>
      </c>
      <c r="C1201" s="1" t="s">
        <v>3</v>
      </c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</row>
    <row r="1202" spans="1:9" hidden="1" x14ac:dyDescent="0.25">
      <c r="A1202" s="1" t="s">
        <v>125</v>
      </c>
      <c r="B1202" s="1" t="s">
        <v>148</v>
      </c>
      <c r="C1202" s="1" t="s">
        <v>143</v>
      </c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</row>
    <row r="1203" spans="1:9" hidden="1" x14ac:dyDescent="0.25">
      <c r="A1203" s="1" t="s">
        <v>125</v>
      </c>
      <c r="B1203" s="1" t="s">
        <v>148</v>
      </c>
      <c r="C1203" s="1" t="s">
        <v>3</v>
      </c>
      <c r="D1203" s="1">
        <v>0</v>
      </c>
      <c r="E1203" s="1">
        <v>0</v>
      </c>
      <c r="F1203" s="1">
        <v>0</v>
      </c>
      <c r="G1203" s="1">
        <v>0</v>
      </c>
      <c r="H1203" s="1">
        <v>0</v>
      </c>
      <c r="I1203" s="1">
        <v>0</v>
      </c>
    </row>
    <row r="1204" spans="1:9" hidden="1" x14ac:dyDescent="0.25">
      <c r="A1204" s="1" t="s">
        <v>126</v>
      </c>
      <c r="B1204" s="1" t="s">
        <v>148</v>
      </c>
      <c r="C1204" s="1" t="s">
        <v>143</v>
      </c>
      <c r="D1204" s="1">
        <v>0</v>
      </c>
      <c r="E1204" s="1">
        <v>0</v>
      </c>
      <c r="F1204" s="1">
        <v>0</v>
      </c>
      <c r="G1204" s="1">
        <v>0</v>
      </c>
      <c r="H1204" s="1">
        <v>0</v>
      </c>
      <c r="I1204" s="1">
        <v>0</v>
      </c>
    </row>
    <row r="1205" spans="1:9" hidden="1" x14ac:dyDescent="0.25">
      <c r="A1205" s="1" t="s">
        <v>126</v>
      </c>
      <c r="B1205" s="1" t="s">
        <v>148</v>
      </c>
      <c r="C1205" s="1" t="s">
        <v>3</v>
      </c>
      <c r="D1205" s="1">
        <v>0</v>
      </c>
      <c r="E1205" s="1">
        <v>0</v>
      </c>
      <c r="F1205" s="1">
        <v>0</v>
      </c>
      <c r="G1205" s="1">
        <v>0</v>
      </c>
      <c r="H1205" s="1">
        <v>0</v>
      </c>
      <c r="I1205" s="1">
        <v>0</v>
      </c>
    </row>
    <row r="1206" spans="1:9" hidden="1" x14ac:dyDescent="0.25">
      <c r="A1206" s="1" t="s">
        <v>127</v>
      </c>
      <c r="B1206" s="1" t="s">
        <v>148</v>
      </c>
      <c r="C1206" s="1" t="s">
        <v>143</v>
      </c>
      <c r="D1206" s="1">
        <v>0</v>
      </c>
      <c r="E1206" s="1">
        <v>0</v>
      </c>
      <c r="F1206" s="1">
        <v>0</v>
      </c>
      <c r="G1206" s="1">
        <v>0</v>
      </c>
      <c r="H1206" s="1">
        <v>0</v>
      </c>
      <c r="I1206" s="1">
        <v>0</v>
      </c>
    </row>
    <row r="1207" spans="1:9" hidden="1" x14ac:dyDescent="0.25">
      <c r="A1207" s="1" t="s">
        <v>127</v>
      </c>
      <c r="B1207" s="1" t="s">
        <v>148</v>
      </c>
      <c r="C1207" s="1" t="s">
        <v>3</v>
      </c>
      <c r="D1207" s="1">
        <v>0</v>
      </c>
      <c r="E1207" s="1">
        <v>0</v>
      </c>
      <c r="F1207" s="1">
        <v>0</v>
      </c>
      <c r="G1207" s="1">
        <v>0</v>
      </c>
      <c r="H1207" s="1">
        <v>0</v>
      </c>
      <c r="I1207" s="1">
        <v>0</v>
      </c>
    </row>
    <row r="1208" spans="1:9" hidden="1" x14ac:dyDescent="0.25">
      <c r="A1208" s="1" t="s">
        <v>9</v>
      </c>
      <c r="B1208" s="1" t="s">
        <v>148</v>
      </c>
      <c r="C1208" s="1" t="s">
        <v>143</v>
      </c>
      <c r="D1208" s="1">
        <v>0</v>
      </c>
      <c r="E1208" s="1">
        <v>0</v>
      </c>
      <c r="F1208" s="1">
        <v>0</v>
      </c>
      <c r="G1208" s="1">
        <v>0</v>
      </c>
      <c r="H1208" s="1">
        <v>0</v>
      </c>
      <c r="I1208" s="1">
        <v>0</v>
      </c>
    </row>
    <row r="1209" spans="1:9" hidden="1" x14ac:dyDescent="0.25">
      <c r="A1209" s="1" t="s">
        <v>9</v>
      </c>
      <c r="B1209" s="1" t="s">
        <v>148</v>
      </c>
      <c r="C1209" s="1" t="s">
        <v>3</v>
      </c>
      <c r="D1209" s="1">
        <v>0</v>
      </c>
      <c r="E1209" s="1">
        <v>0</v>
      </c>
      <c r="F1209" s="1">
        <v>0</v>
      </c>
      <c r="G1209" s="1">
        <v>0</v>
      </c>
      <c r="H1209" s="1">
        <v>0</v>
      </c>
      <c r="I1209" s="1">
        <v>0</v>
      </c>
    </row>
    <row r="1210" spans="1:9" hidden="1" x14ac:dyDescent="0.25">
      <c r="A1210" s="1" t="s">
        <v>10</v>
      </c>
      <c r="B1210" s="1" t="s">
        <v>148</v>
      </c>
      <c r="C1210" s="1" t="s">
        <v>143</v>
      </c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</row>
    <row r="1211" spans="1:9" hidden="1" x14ac:dyDescent="0.25">
      <c r="A1211" s="1" t="s">
        <v>10</v>
      </c>
      <c r="B1211" s="1" t="s">
        <v>148</v>
      </c>
      <c r="C1211" s="1" t="s">
        <v>3</v>
      </c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</row>
    <row r="1212" spans="1:9" hidden="1" x14ac:dyDescent="0.25">
      <c r="A1212" s="1" t="s">
        <v>125</v>
      </c>
      <c r="B1212" s="1" t="s">
        <v>149</v>
      </c>
      <c r="C1212" s="1" t="s">
        <v>143</v>
      </c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</row>
    <row r="1213" spans="1:9" hidden="1" x14ac:dyDescent="0.25">
      <c r="A1213" s="1" t="s">
        <v>125</v>
      </c>
      <c r="B1213" s="1" t="s">
        <v>149</v>
      </c>
      <c r="C1213" s="1" t="s">
        <v>3</v>
      </c>
      <c r="D1213" s="1">
        <v>0</v>
      </c>
      <c r="E1213" s="1">
        <v>0</v>
      </c>
      <c r="F1213" s="1">
        <v>0</v>
      </c>
      <c r="G1213" s="1">
        <v>0</v>
      </c>
      <c r="H1213" s="1">
        <v>0</v>
      </c>
      <c r="I1213" s="1">
        <v>0</v>
      </c>
    </row>
    <row r="1214" spans="1:9" hidden="1" x14ac:dyDescent="0.25">
      <c r="A1214" s="1" t="s">
        <v>126</v>
      </c>
      <c r="B1214" s="1" t="s">
        <v>149</v>
      </c>
      <c r="C1214" s="1" t="s">
        <v>143</v>
      </c>
      <c r="D1214" s="1">
        <v>0</v>
      </c>
      <c r="E1214" s="1">
        <v>0</v>
      </c>
      <c r="F1214" s="1">
        <v>0</v>
      </c>
      <c r="G1214" s="1">
        <v>0</v>
      </c>
      <c r="H1214" s="1">
        <v>0</v>
      </c>
      <c r="I1214" s="1">
        <v>0</v>
      </c>
    </row>
    <row r="1215" spans="1:9" hidden="1" x14ac:dyDescent="0.25">
      <c r="A1215" s="1" t="s">
        <v>126</v>
      </c>
      <c r="B1215" s="1" t="s">
        <v>149</v>
      </c>
      <c r="C1215" s="1" t="s">
        <v>3</v>
      </c>
      <c r="D1215" s="1">
        <v>0</v>
      </c>
      <c r="E1215" s="1">
        <v>0</v>
      </c>
      <c r="F1215" s="1">
        <v>0</v>
      </c>
      <c r="G1215" s="1">
        <v>0</v>
      </c>
      <c r="H1215" s="1">
        <v>0</v>
      </c>
      <c r="I1215" s="1">
        <v>0</v>
      </c>
    </row>
    <row r="1216" spans="1:9" hidden="1" x14ac:dyDescent="0.25">
      <c r="A1216" s="1" t="s">
        <v>127</v>
      </c>
      <c r="B1216" s="1" t="s">
        <v>149</v>
      </c>
      <c r="C1216" s="1" t="s">
        <v>143</v>
      </c>
      <c r="D1216" s="1">
        <v>0</v>
      </c>
      <c r="E1216" s="1">
        <v>0</v>
      </c>
      <c r="F1216" s="1">
        <v>0</v>
      </c>
      <c r="G1216" s="1">
        <v>0</v>
      </c>
      <c r="H1216" s="1">
        <v>0</v>
      </c>
      <c r="I1216" s="1">
        <v>0</v>
      </c>
    </row>
    <row r="1217" spans="1:9" hidden="1" x14ac:dyDescent="0.25">
      <c r="A1217" s="1" t="s">
        <v>127</v>
      </c>
      <c r="B1217" s="1" t="s">
        <v>149</v>
      </c>
      <c r="C1217" s="1" t="s">
        <v>3</v>
      </c>
      <c r="D1217" s="1">
        <v>0</v>
      </c>
      <c r="E1217" s="1">
        <v>0</v>
      </c>
      <c r="F1217" s="1">
        <v>0</v>
      </c>
      <c r="G1217" s="1">
        <v>0</v>
      </c>
      <c r="H1217" s="1">
        <v>0</v>
      </c>
      <c r="I1217" s="1">
        <v>0</v>
      </c>
    </row>
    <row r="1218" spans="1:9" hidden="1" x14ac:dyDescent="0.25">
      <c r="A1218" s="1" t="s">
        <v>9</v>
      </c>
      <c r="B1218" s="1" t="s">
        <v>149</v>
      </c>
      <c r="C1218" s="1" t="s">
        <v>143</v>
      </c>
      <c r="D1218" s="1">
        <v>0</v>
      </c>
      <c r="E1218" s="1">
        <v>0</v>
      </c>
      <c r="F1218" s="1">
        <v>0</v>
      </c>
      <c r="G1218" s="1">
        <v>0</v>
      </c>
      <c r="H1218" s="1">
        <v>0</v>
      </c>
      <c r="I1218" s="1">
        <v>0</v>
      </c>
    </row>
    <row r="1219" spans="1:9" hidden="1" x14ac:dyDescent="0.25">
      <c r="A1219" s="1" t="s">
        <v>9</v>
      </c>
      <c r="B1219" s="1" t="s">
        <v>149</v>
      </c>
      <c r="C1219" s="1" t="s">
        <v>3</v>
      </c>
      <c r="D1219" s="1">
        <v>0</v>
      </c>
      <c r="E1219" s="1">
        <v>0</v>
      </c>
      <c r="F1219" s="1">
        <v>0</v>
      </c>
      <c r="G1219" s="1">
        <v>0</v>
      </c>
      <c r="H1219" s="1">
        <v>0</v>
      </c>
      <c r="I1219" s="1">
        <v>0</v>
      </c>
    </row>
    <row r="1220" spans="1:9" hidden="1" x14ac:dyDescent="0.25">
      <c r="A1220" s="1" t="s">
        <v>10</v>
      </c>
      <c r="B1220" s="1" t="s">
        <v>149</v>
      </c>
      <c r="C1220" s="1" t="s">
        <v>143</v>
      </c>
      <c r="D1220" s="1">
        <v>0</v>
      </c>
      <c r="E1220" s="1">
        <v>0</v>
      </c>
      <c r="F1220" s="1">
        <v>0</v>
      </c>
      <c r="G1220" s="1">
        <v>0</v>
      </c>
      <c r="H1220" s="1">
        <v>0</v>
      </c>
      <c r="I1220" s="1">
        <v>0</v>
      </c>
    </row>
    <row r="1221" spans="1:9" hidden="1" x14ac:dyDescent="0.25">
      <c r="A1221" s="1" t="s">
        <v>10</v>
      </c>
      <c r="B1221" s="1" t="s">
        <v>149</v>
      </c>
      <c r="C1221" s="1" t="s">
        <v>3</v>
      </c>
      <c r="D1221" s="1">
        <v>0</v>
      </c>
      <c r="E1221" s="1">
        <v>0</v>
      </c>
      <c r="F1221" s="1">
        <v>0</v>
      </c>
      <c r="G1221" s="1">
        <v>0</v>
      </c>
      <c r="H1221" s="1">
        <v>0</v>
      </c>
      <c r="I1221" s="1">
        <v>0</v>
      </c>
    </row>
    <row r="1222" spans="1:9" hidden="1" x14ac:dyDescent="0.25">
      <c r="A1222" s="1" t="s">
        <v>125</v>
      </c>
      <c r="B1222" s="1" t="s">
        <v>150</v>
      </c>
      <c r="C1222" s="1" t="s">
        <v>143</v>
      </c>
      <c r="D1222" s="1">
        <v>0</v>
      </c>
      <c r="E1222" s="1">
        <v>0</v>
      </c>
      <c r="F1222" s="1">
        <v>0</v>
      </c>
      <c r="G1222" s="1">
        <v>0</v>
      </c>
      <c r="H1222" s="1">
        <v>0</v>
      </c>
      <c r="I1222" s="1">
        <v>0</v>
      </c>
    </row>
    <row r="1223" spans="1:9" hidden="1" x14ac:dyDescent="0.25">
      <c r="A1223" s="1" t="s">
        <v>125</v>
      </c>
      <c r="B1223" s="1" t="s">
        <v>150</v>
      </c>
      <c r="C1223" s="1" t="s">
        <v>3</v>
      </c>
      <c r="D1223" s="1">
        <v>0</v>
      </c>
      <c r="E1223" s="1">
        <v>0</v>
      </c>
      <c r="F1223" s="1">
        <v>0</v>
      </c>
      <c r="G1223" s="1">
        <v>0</v>
      </c>
      <c r="H1223" s="1">
        <v>0</v>
      </c>
      <c r="I1223" s="1">
        <v>0</v>
      </c>
    </row>
    <row r="1224" spans="1:9" hidden="1" x14ac:dyDescent="0.25">
      <c r="A1224" s="1" t="s">
        <v>126</v>
      </c>
      <c r="B1224" s="1" t="s">
        <v>150</v>
      </c>
      <c r="C1224" s="1" t="s">
        <v>143</v>
      </c>
      <c r="D1224" s="1">
        <v>0</v>
      </c>
      <c r="E1224" s="1">
        <v>0</v>
      </c>
      <c r="F1224" s="1">
        <v>0</v>
      </c>
      <c r="G1224" s="1">
        <v>0</v>
      </c>
      <c r="H1224" s="1">
        <v>0</v>
      </c>
      <c r="I1224" s="1">
        <v>0</v>
      </c>
    </row>
    <row r="1225" spans="1:9" hidden="1" x14ac:dyDescent="0.25">
      <c r="A1225" s="1" t="s">
        <v>126</v>
      </c>
      <c r="B1225" s="1" t="s">
        <v>150</v>
      </c>
      <c r="C1225" s="1" t="s">
        <v>3</v>
      </c>
      <c r="D1225" s="1">
        <v>0</v>
      </c>
      <c r="E1225" s="1">
        <v>0</v>
      </c>
      <c r="F1225" s="1">
        <v>0</v>
      </c>
      <c r="G1225" s="1">
        <v>0</v>
      </c>
      <c r="H1225" s="1">
        <v>0</v>
      </c>
      <c r="I1225" s="1">
        <v>0</v>
      </c>
    </row>
    <row r="1226" spans="1:9" hidden="1" x14ac:dyDescent="0.25">
      <c r="A1226" s="1" t="s">
        <v>127</v>
      </c>
      <c r="B1226" s="1" t="s">
        <v>150</v>
      </c>
      <c r="C1226" s="1" t="s">
        <v>143</v>
      </c>
      <c r="D1226" s="1">
        <v>0</v>
      </c>
      <c r="E1226" s="1">
        <v>0</v>
      </c>
      <c r="F1226" s="1">
        <v>0</v>
      </c>
      <c r="G1226" s="1">
        <v>0</v>
      </c>
      <c r="H1226" s="1">
        <v>0</v>
      </c>
      <c r="I1226" s="1">
        <v>0</v>
      </c>
    </row>
    <row r="1227" spans="1:9" hidden="1" x14ac:dyDescent="0.25">
      <c r="A1227" s="1" t="s">
        <v>127</v>
      </c>
      <c r="B1227" s="1" t="s">
        <v>150</v>
      </c>
      <c r="C1227" s="1" t="s">
        <v>3</v>
      </c>
      <c r="D1227" s="1">
        <v>0</v>
      </c>
      <c r="E1227" s="1">
        <v>0</v>
      </c>
      <c r="F1227" s="1">
        <v>0</v>
      </c>
      <c r="G1227" s="1">
        <v>0</v>
      </c>
      <c r="H1227" s="1">
        <v>0</v>
      </c>
      <c r="I1227" s="1">
        <v>0</v>
      </c>
    </row>
    <row r="1228" spans="1:9" hidden="1" x14ac:dyDescent="0.25">
      <c r="A1228" s="1" t="s">
        <v>9</v>
      </c>
      <c r="B1228" s="1" t="s">
        <v>150</v>
      </c>
      <c r="C1228" s="1" t="s">
        <v>143</v>
      </c>
      <c r="D1228" s="1">
        <v>0</v>
      </c>
      <c r="E1228" s="1">
        <v>0</v>
      </c>
      <c r="F1228" s="1">
        <v>0</v>
      </c>
      <c r="G1228" s="1">
        <v>0</v>
      </c>
      <c r="H1228" s="1">
        <v>0</v>
      </c>
      <c r="I1228" s="1">
        <v>0</v>
      </c>
    </row>
    <row r="1229" spans="1:9" hidden="1" x14ac:dyDescent="0.25">
      <c r="A1229" s="1" t="s">
        <v>9</v>
      </c>
      <c r="B1229" s="1" t="s">
        <v>150</v>
      </c>
      <c r="C1229" s="1" t="s">
        <v>3</v>
      </c>
      <c r="D1229" s="1">
        <v>0</v>
      </c>
      <c r="E1229" s="1">
        <v>0</v>
      </c>
      <c r="F1229" s="1">
        <v>0</v>
      </c>
      <c r="G1229" s="1">
        <v>0</v>
      </c>
      <c r="H1229" s="1">
        <v>0</v>
      </c>
      <c r="I1229" s="1">
        <v>0</v>
      </c>
    </row>
    <row r="1230" spans="1:9" hidden="1" x14ac:dyDescent="0.25">
      <c r="A1230" s="1" t="s">
        <v>10</v>
      </c>
      <c r="B1230" s="1" t="s">
        <v>150</v>
      </c>
      <c r="C1230" s="1" t="s">
        <v>143</v>
      </c>
      <c r="D1230" s="1">
        <v>0</v>
      </c>
      <c r="E1230" s="1">
        <v>0</v>
      </c>
      <c r="F1230" s="1">
        <v>0</v>
      </c>
      <c r="G1230" s="1">
        <v>0</v>
      </c>
      <c r="H1230" s="1">
        <v>0</v>
      </c>
      <c r="I1230" s="1">
        <v>0</v>
      </c>
    </row>
    <row r="1231" spans="1:9" hidden="1" x14ac:dyDescent="0.25">
      <c r="A1231" s="1" t="s">
        <v>10</v>
      </c>
      <c r="B1231" s="1" t="s">
        <v>150</v>
      </c>
      <c r="C1231" s="1" t="s">
        <v>3</v>
      </c>
      <c r="D1231" s="1">
        <v>0</v>
      </c>
      <c r="E1231" s="1">
        <v>0</v>
      </c>
      <c r="F1231" s="1">
        <v>0</v>
      </c>
      <c r="G1231" s="1">
        <v>0</v>
      </c>
      <c r="H1231" s="1">
        <v>0</v>
      </c>
      <c r="I1231" s="1">
        <v>0</v>
      </c>
    </row>
    <row r="1232" spans="1:9" hidden="1" x14ac:dyDescent="0.25">
      <c r="A1232" s="1" t="s">
        <v>125</v>
      </c>
      <c r="B1232" s="1" t="s">
        <v>145</v>
      </c>
      <c r="C1232" s="1" t="s">
        <v>143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125</v>
      </c>
      <c r="B1233" s="1" t="s">
        <v>145</v>
      </c>
      <c r="C1233" s="1" t="s">
        <v>3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126</v>
      </c>
      <c r="B1234" s="1" t="s">
        <v>145</v>
      </c>
      <c r="C1234" s="1" t="s">
        <v>143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126</v>
      </c>
      <c r="B1235" s="1" t="s">
        <v>145</v>
      </c>
      <c r="C1235" s="1" t="s">
        <v>3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127</v>
      </c>
      <c r="B1236" s="1" t="s">
        <v>145</v>
      </c>
      <c r="C1236" s="1" t="s">
        <v>143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127</v>
      </c>
      <c r="B1237" s="1" t="s">
        <v>145</v>
      </c>
      <c r="C1237" s="1" t="s">
        <v>3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9</v>
      </c>
      <c r="B1238" s="1" t="s">
        <v>145</v>
      </c>
      <c r="C1238" s="1" t="s">
        <v>143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9</v>
      </c>
      <c r="B1239" s="1" t="s">
        <v>145</v>
      </c>
      <c r="C1239" s="1" t="s">
        <v>3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10</v>
      </c>
      <c r="B1240" s="1" t="s">
        <v>145</v>
      </c>
      <c r="C1240" s="1" t="s">
        <v>143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10</v>
      </c>
      <c r="B1241" s="1" t="s">
        <v>145</v>
      </c>
      <c r="C1241" s="1" t="s">
        <v>3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125</v>
      </c>
      <c r="B1242" s="1" t="s">
        <v>146</v>
      </c>
      <c r="C1242" s="1" t="s">
        <v>143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125</v>
      </c>
      <c r="B1243" s="1" t="s">
        <v>146</v>
      </c>
      <c r="C1243" s="1" t="s">
        <v>3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126</v>
      </c>
      <c r="B1244" s="1" t="s">
        <v>146</v>
      </c>
      <c r="C1244" s="1" t="s">
        <v>143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126</v>
      </c>
      <c r="B1245" s="1" t="s">
        <v>146</v>
      </c>
      <c r="C1245" s="1" t="s">
        <v>3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127</v>
      </c>
      <c r="B1246" s="1" t="s">
        <v>146</v>
      </c>
      <c r="C1246" s="1" t="s">
        <v>143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127</v>
      </c>
      <c r="B1247" s="1" t="s">
        <v>146</v>
      </c>
      <c r="C1247" s="1" t="s">
        <v>3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9</v>
      </c>
      <c r="B1248" s="1" t="s">
        <v>146</v>
      </c>
      <c r="C1248" s="1" t="s">
        <v>143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9</v>
      </c>
      <c r="B1249" s="1" t="s">
        <v>146</v>
      </c>
      <c r="C1249" s="1" t="s">
        <v>3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10</v>
      </c>
      <c r="B1250" s="1" t="s">
        <v>146</v>
      </c>
      <c r="C1250" s="1" t="s">
        <v>143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10</v>
      </c>
      <c r="B1251" s="1" t="s">
        <v>146</v>
      </c>
      <c r="C1251" s="1" t="s">
        <v>3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</sheetData>
  <autoFilter ref="A1:I1251" xr:uid="{78B7CB4B-8DD1-42C1-8D8F-48EA4CAF2187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sortState xmlns:xlrd2="http://schemas.microsoft.com/office/spreadsheetml/2017/richdata2" ref="A2:I1253">
    <sortCondition ref="B2"/>
  </sortState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 filterMode="1"/>
  <dimension ref="A1:I1251"/>
  <sheetViews>
    <sheetView workbookViewId="0">
      <selection sqref="A1:XFD1048576"/>
    </sheetView>
  </sheetViews>
  <sheetFormatPr defaultRowHeight="16.5" x14ac:dyDescent="0.25"/>
  <cols>
    <col min="1" max="16384" width="9" style="1"/>
  </cols>
  <sheetData>
    <row r="1" spans="1:9" x14ac:dyDescent="0.25">
      <c r="A1" s="1" t="s">
        <v>0</v>
      </c>
      <c r="B1" s="1" t="s">
        <v>100</v>
      </c>
      <c r="C1" s="1" t="s">
        <v>101</v>
      </c>
      <c r="D1" s="1" t="s">
        <v>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</row>
    <row r="2" spans="1:9" hidden="1" x14ac:dyDescent="0.25">
      <c r="A2" s="1" t="s">
        <v>125</v>
      </c>
      <c r="B2" s="1" t="s">
        <v>4</v>
      </c>
      <c r="C2" s="1" t="s">
        <v>143</v>
      </c>
      <c r="D2" s="1">
        <v>0</v>
      </c>
      <c r="E2" s="1">
        <v>75.78</v>
      </c>
      <c r="F2" s="1">
        <v>0</v>
      </c>
      <c r="G2" s="1">
        <v>500.13099999999997</v>
      </c>
      <c r="H2" s="1">
        <v>0</v>
      </c>
      <c r="I2" s="1">
        <v>0</v>
      </c>
    </row>
    <row r="3" spans="1:9" hidden="1" x14ac:dyDescent="0.25">
      <c r="A3" s="1" t="s">
        <v>125</v>
      </c>
      <c r="B3" s="1" t="s">
        <v>4</v>
      </c>
      <c r="C3" s="1" t="s">
        <v>3</v>
      </c>
      <c r="D3" s="1">
        <v>0</v>
      </c>
      <c r="E3" s="1">
        <v>75.78</v>
      </c>
      <c r="F3" s="1">
        <v>0</v>
      </c>
      <c r="G3" s="1">
        <v>500.13099999999997</v>
      </c>
      <c r="H3" s="1">
        <v>0</v>
      </c>
      <c r="I3" s="1">
        <v>228.00800000000001</v>
      </c>
    </row>
    <row r="4" spans="1:9" hidden="1" x14ac:dyDescent="0.25">
      <c r="A4" s="1" t="s">
        <v>126</v>
      </c>
      <c r="B4" s="1" t="s">
        <v>4</v>
      </c>
      <c r="C4" s="1" t="s">
        <v>143</v>
      </c>
      <c r="D4" s="1">
        <v>0</v>
      </c>
      <c r="E4" s="1">
        <v>145.57</v>
      </c>
      <c r="F4" s="1">
        <v>0</v>
      </c>
      <c r="G4" s="1">
        <v>961.47</v>
      </c>
      <c r="H4" s="1">
        <v>0</v>
      </c>
      <c r="I4" s="1">
        <v>228.00800000000001</v>
      </c>
    </row>
    <row r="5" spans="1:9" hidden="1" x14ac:dyDescent="0.25">
      <c r="A5" s="1" t="s">
        <v>126</v>
      </c>
      <c r="B5" s="1" t="s">
        <v>4</v>
      </c>
      <c r="C5" s="1" t="s">
        <v>3</v>
      </c>
      <c r="D5" s="1">
        <v>0</v>
      </c>
      <c r="E5" s="1">
        <v>145.57</v>
      </c>
      <c r="F5" s="1">
        <v>0</v>
      </c>
      <c r="G5" s="1">
        <v>961.47</v>
      </c>
      <c r="H5" s="1">
        <v>0</v>
      </c>
      <c r="I5" s="1">
        <v>666.04499999999996</v>
      </c>
    </row>
    <row r="6" spans="1:9" hidden="1" x14ac:dyDescent="0.25">
      <c r="A6" s="1" t="s">
        <v>127</v>
      </c>
      <c r="B6" s="1" t="s">
        <v>4</v>
      </c>
      <c r="C6" s="1" t="s">
        <v>143</v>
      </c>
      <c r="D6" s="1">
        <v>0</v>
      </c>
      <c r="E6" s="1">
        <v>202.54</v>
      </c>
      <c r="F6" s="1">
        <v>0</v>
      </c>
      <c r="G6" s="1">
        <v>1339.1880000000001</v>
      </c>
      <c r="H6" s="1">
        <v>0</v>
      </c>
      <c r="I6" s="1">
        <v>666.04499999999996</v>
      </c>
    </row>
    <row r="7" spans="1:9" hidden="1" x14ac:dyDescent="0.25">
      <c r="A7" s="1" t="s">
        <v>127</v>
      </c>
      <c r="B7" s="1" t="s">
        <v>4</v>
      </c>
      <c r="C7" s="1" t="s">
        <v>3</v>
      </c>
      <c r="D7" s="1">
        <v>0</v>
      </c>
      <c r="E7" s="1">
        <v>202.54</v>
      </c>
      <c r="F7" s="1">
        <v>0</v>
      </c>
      <c r="G7" s="1">
        <v>1339.1880000000001</v>
      </c>
      <c r="H7" s="1">
        <v>0</v>
      </c>
      <c r="I7" s="1">
        <v>1276.2429999999999</v>
      </c>
    </row>
    <row r="8" spans="1:9" hidden="1" x14ac:dyDescent="0.25">
      <c r="A8" s="1" t="s">
        <v>9</v>
      </c>
      <c r="B8" s="1" t="s">
        <v>4</v>
      </c>
      <c r="C8" s="1" t="s">
        <v>143</v>
      </c>
      <c r="D8" s="1">
        <v>0</v>
      </c>
      <c r="E8" s="1">
        <v>241.29</v>
      </c>
      <c r="F8" s="1">
        <v>0</v>
      </c>
      <c r="G8" s="1">
        <v>1597.4490000000001</v>
      </c>
      <c r="H8" s="1">
        <v>0</v>
      </c>
      <c r="I8" s="1">
        <v>1276.2429999999999</v>
      </c>
    </row>
    <row r="9" spans="1:9" x14ac:dyDescent="0.25">
      <c r="A9" s="1" t="s">
        <v>9</v>
      </c>
      <c r="B9" s="1" t="s">
        <v>4</v>
      </c>
      <c r="C9" s="1" t="s">
        <v>3</v>
      </c>
      <c r="D9" s="1">
        <v>0</v>
      </c>
      <c r="E9" s="1">
        <v>241.29</v>
      </c>
      <c r="F9" s="1">
        <v>0</v>
      </c>
      <c r="G9" s="1">
        <v>1597.4490000000001</v>
      </c>
      <c r="H9" s="1">
        <v>0</v>
      </c>
      <c r="I9" s="1">
        <v>2010.2850000000001</v>
      </c>
    </row>
    <row r="10" spans="1:9" hidden="1" x14ac:dyDescent="0.25">
      <c r="A10" s="1" t="s">
        <v>10</v>
      </c>
      <c r="B10" s="1" t="s">
        <v>4</v>
      </c>
      <c r="C10" s="1" t="s">
        <v>143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9" hidden="1" x14ac:dyDescent="0.25">
      <c r="A11" s="1" t="s">
        <v>10</v>
      </c>
      <c r="B11" s="1" t="s">
        <v>4</v>
      </c>
      <c r="C11" s="1" t="s">
        <v>3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</row>
    <row r="12" spans="1:9" hidden="1" x14ac:dyDescent="0.25">
      <c r="A12" s="1" t="s">
        <v>125</v>
      </c>
      <c r="B12" s="1" t="s">
        <v>5</v>
      </c>
      <c r="C12" s="1" t="s">
        <v>143</v>
      </c>
      <c r="D12" s="1">
        <v>0</v>
      </c>
      <c r="E12" s="1">
        <v>0</v>
      </c>
      <c r="F12" s="1">
        <v>75.78</v>
      </c>
      <c r="G12" s="1">
        <v>500.13099999999997</v>
      </c>
      <c r="H12" s="1">
        <v>0</v>
      </c>
      <c r="I12" s="1">
        <v>0</v>
      </c>
    </row>
    <row r="13" spans="1:9" hidden="1" x14ac:dyDescent="0.25">
      <c r="A13" s="1" t="s">
        <v>125</v>
      </c>
      <c r="B13" s="1" t="s">
        <v>5</v>
      </c>
      <c r="C13" s="1" t="s">
        <v>3</v>
      </c>
      <c r="D13" s="1">
        <v>0</v>
      </c>
      <c r="E13" s="1">
        <v>0</v>
      </c>
      <c r="F13" s="1">
        <v>75.78</v>
      </c>
      <c r="G13" s="1">
        <v>500.13099999999997</v>
      </c>
      <c r="H13" s="1">
        <v>228.00800000000001</v>
      </c>
      <c r="I13" s="1">
        <v>0</v>
      </c>
    </row>
    <row r="14" spans="1:9" hidden="1" x14ac:dyDescent="0.25">
      <c r="A14" s="1" t="s">
        <v>126</v>
      </c>
      <c r="B14" s="1" t="s">
        <v>5</v>
      </c>
      <c r="C14" s="1" t="s">
        <v>143</v>
      </c>
      <c r="D14" s="1">
        <v>0</v>
      </c>
      <c r="E14" s="1">
        <v>0</v>
      </c>
      <c r="F14" s="1">
        <v>145.57</v>
      </c>
      <c r="G14" s="1">
        <v>961.47</v>
      </c>
      <c r="H14" s="1">
        <v>228.00800000000001</v>
      </c>
      <c r="I14" s="1">
        <v>0</v>
      </c>
    </row>
    <row r="15" spans="1:9" hidden="1" x14ac:dyDescent="0.25">
      <c r="A15" s="1" t="s">
        <v>126</v>
      </c>
      <c r="B15" s="1" t="s">
        <v>5</v>
      </c>
      <c r="C15" s="1" t="s">
        <v>3</v>
      </c>
      <c r="D15" s="1">
        <v>0</v>
      </c>
      <c r="E15" s="1">
        <v>0</v>
      </c>
      <c r="F15" s="1">
        <v>145.57</v>
      </c>
      <c r="G15" s="1">
        <v>961.47</v>
      </c>
      <c r="H15" s="1">
        <v>666.04499999999996</v>
      </c>
      <c r="I15" s="1">
        <v>0</v>
      </c>
    </row>
    <row r="16" spans="1:9" hidden="1" x14ac:dyDescent="0.25">
      <c r="A16" s="1" t="s">
        <v>127</v>
      </c>
      <c r="B16" s="1" t="s">
        <v>5</v>
      </c>
      <c r="C16" s="1" t="s">
        <v>143</v>
      </c>
      <c r="D16" s="1">
        <v>0</v>
      </c>
      <c r="E16" s="1">
        <v>0</v>
      </c>
      <c r="F16" s="1">
        <v>202.54</v>
      </c>
      <c r="G16" s="1">
        <v>1339.1880000000001</v>
      </c>
      <c r="H16" s="1">
        <v>666.04499999999996</v>
      </c>
      <c r="I16" s="1">
        <v>0</v>
      </c>
    </row>
    <row r="17" spans="1:9" hidden="1" x14ac:dyDescent="0.25">
      <c r="A17" s="1" t="s">
        <v>127</v>
      </c>
      <c r="B17" s="1" t="s">
        <v>5</v>
      </c>
      <c r="C17" s="1" t="s">
        <v>3</v>
      </c>
      <c r="D17" s="1">
        <v>0</v>
      </c>
      <c r="E17" s="1">
        <v>0</v>
      </c>
      <c r="F17" s="1">
        <v>202.54</v>
      </c>
      <c r="G17" s="1">
        <v>1339.1880000000001</v>
      </c>
      <c r="H17" s="1">
        <v>1276.2429999999999</v>
      </c>
      <c r="I17" s="1">
        <v>0</v>
      </c>
    </row>
    <row r="18" spans="1:9" hidden="1" x14ac:dyDescent="0.25">
      <c r="A18" s="1" t="s">
        <v>9</v>
      </c>
      <c r="B18" s="1" t="s">
        <v>5</v>
      </c>
      <c r="C18" s="1" t="s">
        <v>143</v>
      </c>
      <c r="D18" s="1">
        <v>0</v>
      </c>
      <c r="E18" s="1">
        <v>0</v>
      </c>
      <c r="F18" s="1">
        <v>241.29</v>
      </c>
      <c r="G18" s="1">
        <v>1597.4490000000001</v>
      </c>
      <c r="H18" s="1">
        <v>1276.2429999999999</v>
      </c>
      <c r="I18" s="1">
        <v>0</v>
      </c>
    </row>
    <row r="19" spans="1:9" x14ac:dyDescent="0.25">
      <c r="A19" s="1" t="s">
        <v>9</v>
      </c>
      <c r="B19" s="1" t="s">
        <v>5</v>
      </c>
      <c r="C19" s="1" t="s">
        <v>3</v>
      </c>
      <c r="D19" s="1">
        <v>0</v>
      </c>
      <c r="E19" s="1">
        <v>0</v>
      </c>
      <c r="F19" s="1">
        <v>241.29</v>
      </c>
      <c r="G19" s="1">
        <v>1597.4490000000001</v>
      </c>
      <c r="H19" s="1">
        <v>2010.2850000000001</v>
      </c>
      <c r="I19" s="1">
        <v>0</v>
      </c>
    </row>
    <row r="20" spans="1:9" hidden="1" x14ac:dyDescent="0.25">
      <c r="A20" s="1" t="s">
        <v>10</v>
      </c>
      <c r="B20" s="1" t="s">
        <v>5</v>
      </c>
      <c r="C20" s="1" t="s">
        <v>143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10</v>
      </c>
      <c r="B21" s="1" t="s">
        <v>5</v>
      </c>
      <c r="C21" s="1" t="s">
        <v>3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125</v>
      </c>
      <c r="B22" s="1" t="s">
        <v>2</v>
      </c>
      <c r="C22" s="1" t="s">
        <v>143</v>
      </c>
      <c r="D22" s="1">
        <v>222.78</v>
      </c>
      <c r="E22" s="1">
        <v>0</v>
      </c>
      <c r="F22" s="1">
        <v>0</v>
      </c>
      <c r="G22" s="1">
        <v>0</v>
      </c>
      <c r="H22" s="1">
        <v>1336.6759999999999</v>
      </c>
      <c r="I22" s="1">
        <v>-1336.6759999999999</v>
      </c>
    </row>
    <row r="23" spans="1:9" hidden="1" x14ac:dyDescent="0.25">
      <c r="A23" s="1" t="s">
        <v>125</v>
      </c>
      <c r="B23" s="1" t="s">
        <v>2</v>
      </c>
      <c r="C23" s="1" t="s">
        <v>3</v>
      </c>
      <c r="D23" s="1">
        <v>246.13</v>
      </c>
      <c r="E23" s="1">
        <v>0</v>
      </c>
      <c r="F23" s="1">
        <v>0</v>
      </c>
      <c r="G23" s="1">
        <v>0</v>
      </c>
      <c r="H23" s="1">
        <v>1476.796</v>
      </c>
      <c r="I23" s="1">
        <v>-1476.796</v>
      </c>
    </row>
    <row r="24" spans="1:9" hidden="1" x14ac:dyDescent="0.25">
      <c r="A24" s="1" t="s">
        <v>126</v>
      </c>
      <c r="B24" s="1" t="s">
        <v>2</v>
      </c>
      <c r="C24" s="1" t="s">
        <v>143</v>
      </c>
      <c r="D24" s="1">
        <v>468.91</v>
      </c>
      <c r="E24" s="1">
        <v>0</v>
      </c>
      <c r="F24" s="1">
        <v>0</v>
      </c>
      <c r="G24" s="1">
        <v>0</v>
      </c>
      <c r="H24" s="1">
        <v>2813.4720000000002</v>
      </c>
      <c r="I24" s="1">
        <v>-2813.4720000000002</v>
      </c>
    </row>
    <row r="25" spans="1:9" hidden="1" x14ac:dyDescent="0.25">
      <c r="A25" s="1" t="s">
        <v>126</v>
      </c>
      <c r="B25" s="1" t="s">
        <v>2</v>
      </c>
      <c r="C25" s="1" t="s">
        <v>3</v>
      </c>
      <c r="D25" s="1">
        <v>492.27</v>
      </c>
      <c r="E25" s="1">
        <v>0</v>
      </c>
      <c r="F25" s="1">
        <v>0</v>
      </c>
      <c r="G25" s="1">
        <v>0</v>
      </c>
      <c r="H25" s="1">
        <v>2953.5920000000001</v>
      </c>
      <c r="I25" s="1">
        <v>-2953.5920000000001</v>
      </c>
    </row>
    <row r="26" spans="1:9" hidden="1" x14ac:dyDescent="0.25">
      <c r="A26" s="1" t="s">
        <v>127</v>
      </c>
      <c r="B26" s="1" t="s">
        <v>2</v>
      </c>
      <c r="C26" s="1" t="s">
        <v>143</v>
      </c>
      <c r="D26" s="1">
        <v>715.04</v>
      </c>
      <c r="E26" s="1">
        <v>0</v>
      </c>
      <c r="F26" s="1">
        <v>0</v>
      </c>
      <c r="G26" s="1">
        <v>0</v>
      </c>
      <c r="H26" s="1">
        <v>4290.268</v>
      </c>
      <c r="I26" s="1">
        <v>-4290.268</v>
      </c>
    </row>
    <row r="27" spans="1:9" hidden="1" x14ac:dyDescent="0.25">
      <c r="A27" s="1" t="s">
        <v>127</v>
      </c>
      <c r="B27" s="1" t="s">
        <v>2</v>
      </c>
      <c r="C27" s="1" t="s">
        <v>3</v>
      </c>
      <c r="D27" s="1">
        <v>738.4</v>
      </c>
      <c r="E27" s="1">
        <v>0</v>
      </c>
      <c r="F27" s="1">
        <v>0</v>
      </c>
      <c r="G27" s="1">
        <v>0</v>
      </c>
      <c r="H27" s="1">
        <v>4430.3879999999999</v>
      </c>
      <c r="I27" s="1">
        <v>-4430.3879999999999</v>
      </c>
    </row>
    <row r="28" spans="1:9" hidden="1" x14ac:dyDescent="0.25">
      <c r="A28" s="1" t="s">
        <v>9</v>
      </c>
      <c r="B28" s="1" t="s">
        <v>2</v>
      </c>
      <c r="C28" s="1" t="s">
        <v>143</v>
      </c>
      <c r="D28" s="1">
        <v>961.18</v>
      </c>
      <c r="E28" s="1">
        <v>0</v>
      </c>
      <c r="F28" s="1">
        <v>0</v>
      </c>
      <c r="G28" s="1">
        <v>0</v>
      </c>
      <c r="H28" s="1">
        <v>5767.0640000000003</v>
      </c>
      <c r="I28" s="1">
        <v>-5767.0640000000003</v>
      </c>
    </row>
    <row r="29" spans="1:9" hidden="1" x14ac:dyDescent="0.25">
      <c r="A29" s="1" t="s">
        <v>9</v>
      </c>
      <c r="B29" s="1" t="s">
        <v>2</v>
      </c>
      <c r="C29" s="1" t="s">
        <v>3</v>
      </c>
      <c r="D29" s="1">
        <v>984.53</v>
      </c>
      <c r="E29" s="1">
        <v>0</v>
      </c>
      <c r="F29" s="1">
        <v>0</v>
      </c>
      <c r="G29" s="1">
        <v>0</v>
      </c>
      <c r="H29" s="1">
        <v>5907.1840000000002</v>
      </c>
      <c r="I29" s="1">
        <v>-5907.1840000000002</v>
      </c>
    </row>
    <row r="30" spans="1:9" hidden="1" x14ac:dyDescent="0.25">
      <c r="A30" s="1" t="s">
        <v>10</v>
      </c>
      <c r="B30" s="1" t="s">
        <v>2</v>
      </c>
      <c r="C30" s="1" t="s">
        <v>143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10</v>
      </c>
      <c r="B31" s="1" t="s">
        <v>2</v>
      </c>
      <c r="C31" s="1" t="s">
        <v>3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125</v>
      </c>
      <c r="B32" s="1" t="s">
        <v>6</v>
      </c>
      <c r="C32" s="1" t="s">
        <v>143</v>
      </c>
      <c r="D32" s="1">
        <v>33.42</v>
      </c>
      <c r="E32" s="1">
        <v>0</v>
      </c>
      <c r="F32" s="1">
        <v>0</v>
      </c>
      <c r="G32" s="1">
        <v>0</v>
      </c>
      <c r="H32" s="1">
        <v>200.501</v>
      </c>
      <c r="I32" s="1">
        <v>-200.501</v>
      </c>
    </row>
    <row r="33" spans="1:9" hidden="1" x14ac:dyDescent="0.25">
      <c r="A33" s="1" t="s">
        <v>125</v>
      </c>
      <c r="B33" s="1" t="s">
        <v>6</v>
      </c>
      <c r="C33" s="1" t="s">
        <v>3</v>
      </c>
      <c r="D33" s="1">
        <v>36.92</v>
      </c>
      <c r="E33" s="1">
        <v>0</v>
      </c>
      <c r="F33" s="1">
        <v>0</v>
      </c>
      <c r="G33" s="1">
        <v>0</v>
      </c>
      <c r="H33" s="1">
        <v>221.51900000000001</v>
      </c>
      <c r="I33" s="1">
        <v>-221.51900000000001</v>
      </c>
    </row>
    <row r="34" spans="1:9" hidden="1" x14ac:dyDescent="0.25">
      <c r="A34" s="1" t="s">
        <v>126</v>
      </c>
      <c r="B34" s="1" t="s">
        <v>6</v>
      </c>
      <c r="C34" s="1" t="s">
        <v>143</v>
      </c>
      <c r="D34" s="1">
        <v>70.34</v>
      </c>
      <c r="E34" s="1">
        <v>0</v>
      </c>
      <c r="F34" s="1">
        <v>0</v>
      </c>
      <c r="G34" s="1">
        <v>0</v>
      </c>
      <c r="H34" s="1">
        <v>422.02100000000002</v>
      </c>
      <c r="I34" s="1">
        <v>-422.02100000000002</v>
      </c>
    </row>
    <row r="35" spans="1:9" hidden="1" x14ac:dyDescent="0.25">
      <c r="A35" s="1" t="s">
        <v>126</v>
      </c>
      <c r="B35" s="1" t="s">
        <v>6</v>
      </c>
      <c r="C35" s="1" t="s">
        <v>3</v>
      </c>
      <c r="D35" s="1">
        <v>73.84</v>
      </c>
      <c r="E35" s="1">
        <v>0</v>
      </c>
      <c r="F35" s="1">
        <v>0</v>
      </c>
      <c r="G35" s="1">
        <v>0</v>
      </c>
      <c r="H35" s="1">
        <v>443.03899999999999</v>
      </c>
      <c r="I35" s="1">
        <v>-443.03899999999999</v>
      </c>
    </row>
    <row r="36" spans="1:9" hidden="1" x14ac:dyDescent="0.25">
      <c r="A36" s="1" t="s">
        <v>127</v>
      </c>
      <c r="B36" s="1" t="s">
        <v>6</v>
      </c>
      <c r="C36" s="1" t="s">
        <v>143</v>
      </c>
      <c r="D36" s="1">
        <v>107.26</v>
      </c>
      <c r="E36" s="1">
        <v>0</v>
      </c>
      <c r="F36" s="1">
        <v>0</v>
      </c>
      <c r="G36" s="1">
        <v>0</v>
      </c>
      <c r="H36" s="1">
        <v>643.54</v>
      </c>
      <c r="I36" s="1">
        <v>-643.54</v>
      </c>
    </row>
    <row r="37" spans="1:9" hidden="1" x14ac:dyDescent="0.25">
      <c r="A37" s="1" t="s">
        <v>127</v>
      </c>
      <c r="B37" s="1" t="s">
        <v>6</v>
      </c>
      <c r="C37" s="1" t="s">
        <v>3</v>
      </c>
      <c r="D37" s="1">
        <v>110.76</v>
      </c>
      <c r="E37" s="1">
        <v>0</v>
      </c>
      <c r="F37" s="1">
        <v>0</v>
      </c>
      <c r="G37" s="1">
        <v>0</v>
      </c>
      <c r="H37" s="1">
        <v>664.55799999999999</v>
      </c>
      <c r="I37" s="1">
        <v>-664.55799999999999</v>
      </c>
    </row>
    <row r="38" spans="1:9" hidden="1" x14ac:dyDescent="0.25">
      <c r="A38" s="1" t="s">
        <v>9</v>
      </c>
      <c r="B38" s="1" t="s">
        <v>6</v>
      </c>
      <c r="C38" s="1" t="s">
        <v>143</v>
      </c>
      <c r="D38" s="1">
        <v>144.18</v>
      </c>
      <c r="E38" s="1">
        <v>0</v>
      </c>
      <c r="F38" s="1">
        <v>0</v>
      </c>
      <c r="G38" s="1">
        <v>0</v>
      </c>
      <c r="H38" s="1">
        <v>865.06</v>
      </c>
      <c r="I38" s="1">
        <v>-865.06</v>
      </c>
    </row>
    <row r="39" spans="1:9" x14ac:dyDescent="0.25">
      <c r="A39" s="1" t="s">
        <v>9</v>
      </c>
      <c r="B39" s="1" t="s">
        <v>6</v>
      </c>
      <c r="C39" s="1" t="s">
        <v>3</v>
      </c>
      <c r="D39" s="1">
        <v>147.68</v>
      </c>
      <c r="E39" s="1">
        <v>0</v>
      </c>
      <c r="F39" s="1">
        <v>0</v>
      </c>
      <c r="G39" s="1">
        <v>0</v>
      </c>
      <c r="H39" s="1">
        <v>886.07799999999997</v>
      </c>
      <c r="I39" s="1">
        <v>-886.07799999999997</v>
      </c>
    </row>
    <row r="40" spans="1:9" hidden="1" x14ac:dyDescent="0.25">
      <c r="A40" s="1" t="s">
        <v>10</v>
      </c>
      <c r="B40" s="1" t="s">
        <v>6</v>
      </c>
      <c r="C40" s="1" t="s">
        <v>143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10</v>
      </c>
      <c r="B41" s="1" t="s">
        <v>6</v>
      </c>
      <c r="C41" s="1" t="s">
        <v>3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125</v>
      </c>
      <c r="B42" s="1" t="s">
        <v>152</v>
      </c>
      <c r="C42" s="1" t="s">
        <v>143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125</v>
      </c>
      <c r="B43" s="1" t="s">
        <v>152</v>
      </c>
      <c r="C43" s="1" t="s">
        <v>3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-7.1999999999999995E-2</v>
      </c>
    </row>
    <row r="44" spans="1:9" hidden="1" x14ac:dyDescent="0.25">
      <c r="A44" s="1" t="s">
        <v>126</v>
      </c>
      <c r="B44" s="1" t="s">
        <v>152</v>
      </c>
      <c r="C44" s="1" t="s">
        <v>143</v>
      </c>
      <c r="D44" s="1">
        <v>0</v>
      </c>
      <c r="E44" s="1">
        <v>-32.35</v>
      </c>
      <c r="F44" s="1">
        <v>0</v>
      </c>
      <c r="G44" s="1">
        <v>194.12700000000001</v>
      </c>
      <c r="H44" s="1">
        <v>0</v>
      </c>
      <c r="I44" s="1">
        <v>-7.1999999999999995E-2</v>
      </c>
    </row>
    <row r="45" spans="1:9" hidden="1" x14ac:dyDescent="0.25">
      <c r="A45" s="1" t="s">
        <v>126</v>
      </c>
      <c r="B45" s="1" t="s">
        <v>152</v>
      </c>
      <c r="C45" s="1" t="s">
        <v>3</v>
      </c>
      <c r="D45" s="1">
        <v>0</v>
      </c>
      <c r="E45" s="1">
        <v>-32.35</v>
      </c>
      <c r="F45" s="1">
        <v>0</v>
      </c>
      <c r="G45" s="1">
        <v>194.12700000000001</v>
      </c>
      <c r="H45" s="1">
        <v>0</v>
      </c>
      <c r="I45" s="1">
        <v>-97.68</v>
      </c>
    </row>
    <row r="46" spans="1:9" hidden="1" x14ac:dyDescent="0.25">
      <c r="A46" s="1" t="s">
        <v>127</v>
      </c>
      <c r="B46" s="1" t="s">
        <v>152</v>
      </c>
      <c r="C46" s="1" t="s">
        <v>143</v>
      </c>
      <c r="D46" s="1">
        <v>0</v>
      </c>
      <c r="E46" s="1">
        <v>-56.62</v>
      </c>
      <c r="F46" s="1">
        <v>0</v>
      </c>
      <c r="G46" s="1">
        <v>339.72300000000001</v>
      </c>
      <c r="H46" s="1">
        <v>0</v>
      </c>
      <c r="I46" s="1">
        <v>-97.68</v>
      </c>
    </row>
    <row r="47" spans="1:9" hidden="1" x14ac:dyDescent="0.25">
      <c r="A47" s="1" t="s">
        <v>127</v>
      </c>
      <c r="B47" s="1" t="s">
        <v>152</v>
      </c>
      <c r="C47" s="1" t="s">
        <v>3</v>
      </c>
      <c r="D47" s="1">
        <v>0</v>
      </c>
      <c r="E47" s="1">
        <v>-56.62</v>
      </c>
      <c r="F47" s="1">
        <v>0</v>
      </c>
      <c r="G47" s="1">
        <v>339.72300000000001</v>
      </c>
      <c r="H47" s="1">
        <v>0</v>
      </c>
      <c r="I47" s="1">
        <v>-269.13600000000002</v>
      </c>
    </row>
    <row r="48" spans="1:9" hidden="1" x14ac:dyDescent="0.25">
      <c r="A48" s="1" t="s">
        <v>9</v>
      </c>
      <c r="B48" s="1" t="s">
        <v>152</v>
      </c>
      <c r="C48" s="1" t="s">
        <v>143</v>
      </c>
      <c r="D48" s="1">
        <v>0</v>
      </c>
      <c r="E48" s="1">
        <v>-72.8</v>
      </c>
      <c r="F48" s="1">
        <v>0</v>
      </c>
      <c r="G48" s="1">
        <v>436.786</v>
      </c>
      <c r="H48" s="1">
        <v>0</v>
      </c>
      <c r="I48" s="1">
        <v>-269.13600000000002</v>
      </c>
    </row>
    <row r="49" spans="1:9" hidden="1" x14ac:dyDescent="0.25">
      <c r="A49" s="1" t="s">
        <v>9</v>
      </c>
      <c r="B49" s="1" t="s">
        <v>152</v>
      </c>
      <c r="C49" s="1" t="s">
        <v>3</v>
      </c>
      <c r="D49" s="1">
        <v>0</v>
      </c>
      <c r="E49" s="1">
        <v>-72.8</v>
      </c>
      <c r="F49" s="1">
        <v>0</v>
      </c>
      <c r="G49" s="1">
        <v>436.786</v>
      </c>
      <c r="H49" s="1">
        <v>0</v>
      </c>
      <c r="I49" s="1">
        <v>-492.03</v>
      </c>
    </row>
    <row r="50" spans="1:9" hidden="1" x14ac:dyDescent="0.25">
      <c r="A50" s="1" t="s">
        <v>10</v>
      </c>
      <c r="B50" s="1" t="s">
        <v>152</v>
      </c>
      <c r="C50" s="1" t="s">
        <v>143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10</v>
      </c>
      <c r="B51" s="1" t="s">
        <v>152</v>
      </c>
      <c r="C51" s="1" t="s">
        <v>3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</row>
    <row r="52" spans="1:9" hidden="1" x14ac:dyDescent="0.25">
      <c r="A52" s="1" t="s">
        <v>125</v>
      </c>
      <c r="B52" s="1" t="s">
        <v>16</v>
      </c>
      <c r="C52" s="1" t="s">
        <v>143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125</v>
      </c>
      <c r="B53" s="1" t="s">
        <v>16</v>
      </c>
      <c r="C53" s="1" t="s">
        <v>3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</row>
    <row r="54" spans="1:9" hidden="1" x14ac:dyDescent="0.25">
      <c r="A54" s="1" t="s">
        <v>126</v>
      </c>
      <c r="B54" s="1" t="s">
        <v>16</v>
      </c>
      <c r="C54" s="1" t="s">
        <v>143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</row>
    <row r="55" spans="1:9" hidden="1" x14ac:dyDescent="0.25">
      <c r="A55" s="1" t="s">
        <v>126</v>
      </c>
      <c r="B55" s="1" t="s">
        <v>16</v>
      </c>
      <c r="C55" s="1" t="s">
        <v>3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</row>
    <row r="56" spans="1:9" hidden="1" x14ac:dyDescent="0.25">
      <c r="A56" s="1" t="s">
        <v>127</v>
      </c>
      <c r="B56" s="1" t="s">
        <v>16</v>
      </c>
      <c r="C56" s="1" t="s">
        <v>143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</row>
    <row r="57" spans="1:9" hidden="1" x14ac:dyDescent="0.25">
      <c r="A57" s="1" t="s">
        <v>127</v>
      </c>
      <c r="B57" s="1" t="s">
        <v>16</v>
      </c>
      <c r="C57" s="1" t="s">
        <v>3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</row>
    <row r="58" spans="1:9" hidden="1" x14ac:dyDescent="0.25">
      <c r="A58" s="1" t="s">
        <v>9</v>
      </c>
      <c r="B58" s="1" t="s">
        <v>16</v>
      </c>
      <c r="C58" s="1" t="s">
        <v>143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</row>
    <row r="59" spans="1:9" hidden="1" x14ac:dyDescent="0.25">
      <c r="A59" s="1" t="s">
        <v>9</v>
      </c>
      <c r="B59" s="1" t="s">
        <v>16</v>
      </c>
      <c r="C59" s="1" t="s">
        <v>3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</row>
    <row r="60" spans="1:9" hidden="1" x14ac:dyDescent="0.25">
      <c r="A60" s="1" t="s">
        <v>10</v>
      </c>
      <c r="B60" s="1" t="s">
        <v>16</v>
      </c>
      <c r="C60" s="1" t="s">
        <v>143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</row>
    <row r="61" spans="1:9" hidden="1" x14ac:dyDescent="0.25">
      <c r="A61" s="1" t="s">
        <v>10</v>
      </c>
      <c r="B61" s="1" t="s">
        <v>16</v>
      </c>
      <c r="C61" s="1" t="s">
        <v>3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</row>
    <row r="62" spans="1:9" hidden="1" x14ac:dyDescent="0.25">
      <c r="A62" s="1" t="s">
        <v>125</v>
      </c>
      <c r="B62" s="1" t="s">
        <v>13</v>
      </c>
      <c r="C62" s="1" t="s">
        <v>143</v>
      </c>
      <c r="D62" s="1">
        <v>0</v>
      </c>
      <c r="E62" s="1">
        <v>-99.4</v>
      </c>
      <c r="F62" s="1">
        <v>0</v>
      </c>
      <c r="G62" s="1">
        <v>536.779</v>
      </c>
      <c r="H62" s="1">
        <v>0</v>
      </c>
      <c r="I62" s="1">
        <v>0</v>
      </c>
    </row>
    <row r="63" spans="1:9" hidden="1" x14ac:dyDescent="0.25">
      <c r="A63" s="1" t="s">
        <v>125</v>
      </c>
      <c r="B63" s="1" t="s">
        <v>13</v>
      </c>
      <c r="C63" s="1" t="s">
        <v>3</v>
      </c>
      <c r="D63" s="1">
        <v>0</v>
      </c>
      <c r="E63" s="1">
        <v>-99.4</v>
      </c>
      <c r="F63" s="1">
        <v>0</v>
      </c>
      <c r="G63" s="1">
        <v>536.779</v>
      </c>
      <c r="H63" s="1">
        <v>0</v>
      </c>
      <c r="I63" s="1">
        <v>-299.06700000000001</v>
      </c>
    </row>
    <row r="64" spans="1:9" hidden="1" x14ac:dyDescent="0.25">
      <c r="A64" s="1" t="s">
        <v>126</v>
      </c>
      <c r="B64" s="1" t="s">
        <v>13</v>
      </c>
      <c r="C64" s="1" t="s">
        <v>143</v>
      </c>
      <c r="D64" s="1">
        <v>0</v>
      </c>
      <c r="E64" s="1">
        <v>-177.77</v>
      </c>
      <c r="F64" s="1">
        <v>0</v>
      </c>
      <c r="G64" s="1">
        <v>959.94500000000005</v>
      </c>
      <c r="H64" s="1">
        <v>0</v>
      </c>
      <c r="I64" s="1">
        <v>-299.06700000000001</v>
      </c>
    </row>
    <row r="65" spans="1:9" hidden="1" x14ac:dyDescent="0.25">
      <c r="A65" s="1" t="s">
        <v>126</v>
      </c>
      <c r="B65" s="1" t="s">
        <v>13</v>
      </c>
      <c r="C65" s="1" t="s">
        <v>3</v>
      </c>
      <c r="D65" s="1">
        <v>0</v>
      </c>
      <c r="E65" s="1">
        <v>-177.77</v>
      </c>
      <c r="F65" s="1">
        <v>0</v>
      </c>
      <c r="G65" s="1">
        <v>959.94500000000005</v>
      </c>
      <c r="H65" s="1">
        <v>0</v>
      </c>
      <c r="I65" s="1">
        <v>-835.30700000000002</v>
      </c>
    </row>
    <row r="66" spans="1:9" hidden="1" x14ac:dyDescent="0.25">
      <c r="A66" s="1" t="s">
        <v>127</v>
      </c>
      <c r="B66" s="1" t="s">
        <v>13</v>
      </c>
      <c r="C66" s="1" t="s">
        <v>143</v>
      </c>
      <c r="D66" s="1">
        <v>0</v>
      </c>
      <c r="E66" s="1">
        <v>-230.01</v>
      </c>
      <c r="F66" s="1">
        <v>0</v>
      </c>
      <c r="G66" s="1">
        <v>1242.056</v>
      </c>
      <c r="H66" s="1">
        <v>0</v>
      </c>
      <c r="I66" s="1">
        <v>-835.30700000000002</v>
      </c>
    </row>
    <row r="67" spans="1:9" hidden="1" x14ac:dyDescent="0.25">
      <c r="A67" s="1" t="s">
        <v>127</v>
      </c>
      <c r="B67" s="1" t="s">
        <v>13</v>
      </c>
      <c r="C67" s="1" t="s">
        <v>3</v>
      </c>
      <c r="D67" s="1">
        <v>0</v>
      </c>
      <c r="E67" s="1">
        <v>-230.01</v>
      </c>
      <c r="F67" s="1">
        <v>0</v>
      </c>
      <c r="G67" s="1">
        <v>1242.056</v>
      </c>
      <c r="H67" s="1">
        <v>0</v>
      </c>
      <c r="I67" s="1">
        <v>-1531.7909999999999</v>
      </c>
    </row>
    <row r="68" spans="1:9" hidden="1" x14ac:dyDescent="0.25">
      <c r="A68" s="1" t="s">
        <v>9</v>
      </c>
      <c r="B68" s="1" t="s">
        <v>13</v>
      </c>
      <c r="C68" s="1" t="s">
        <v>143</v>
      </c>
      <c r="D68" s="1">
        <v>0</v>
      </c>
      <c r="E68" s="1">
        <v>-256.13</v>
      </c>
      <c r="F68" s="1">
        <v>0</v>
      </c>
      <c r="G68" s="1">
        <v>1383.1110000000001</v>
      </c>
      <c r="H68" s="1">
        <v>0</v>
      </c>
      <c r="I68" s="1">
        <v>-1531.7909999999999</v>
      </c>
    </row>
    <row r="69" spans="1:9" x14ac:dyDescent="0.25">
      <c r="A69" s="1" t="s">
        <v>9</v>
      </c>
      <c r="B69" s="1" t="s">
        <v>13</v>
      </c>
      <c r="C69" s="1" t="s">
        <v>3</v>
      </c>
      <c r="D69" s="1">
        <v>0</v>
      </c>
      <c r="E69" s="1">
        <v>-256.13</v>
      </c>
      <c r="F69" s="1">
        <v>0</v>
      </c>
      <c r="G69" s="1">
        <v>1383.1110000000001</v>
      </c>
      <c r="H69" s="1">
        <v>0</v>
      </c>
      <c r="I69" s="1">
        <v>-2316.5059999999999</v>
      </c>
    </row>
    <row r="70" spans="1:9" hidden="1" x14ac:dyDescent="0.25">
      <c r="A70" s="1" t="s">
        <v>10</v>
      </c>
      <c r="B70" s="1" t="s">
        <v>13</v>
      </c>
      <c r="C70" s="1" t="s">
        <v>143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</row>
    <row r="71" spans="1:9" hidden="1" x14ac:dyDescent="0.25">
      <c r="A71" s="1" t="s">
        <v>10</v>
      </c>
      <c r="B71" s="1" t="s">
        <v>13</v>
      </c>
      <c r="C71" s="1" t="s">
        <v>3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</row>
    <row r="72" spans="1:9" hidden="1" x14ac:dyDescent="0.25">
      <c r="A72" s="1" t="s">
        <v>125</v>
      </c>
      <c r="B72" s="1" t="s">
        <v>12</v>
      </c>
      <c r="C72" s="1" t="s">
        <v>143</v>
      </c>
      <c r="D72" s="1">
        <v>0</v>
      </c>
      <c r="E72" s="1">
        <v>-99.4</v>
      </c>
      <c r="F72" s="1">
        <v>0</v>
      </c>
      <c r="G72" s="1">
        <v>656.06299999999999</v>
      </c>
      <c r="H72" s="1">
        <v>0</v>
      </c>
      <c r="I72" s="1">
        <v>0</v>
      </c>
    </row>
    <row r="73" spans="1:9" hidden="1" x14ac:dyDescent="0.25">
      <c r="A73" s="1" t="s">
        <v>125</v>
      </c>
      <c r="B73" s="1" t="s">
        <v>12</v>
      </c>
      <c r="C73" s="1" t="s">
        <v>3</v>
      </c>
      <c r="D73" s="1">
        <v>0</v>
      </c>
      <c r="E73" s="1">
        <v>-99.4</v>
      </c>
      <c r="F73" s="1">
        <v>0</v>
      </c>
      <c r="G73" s="1">
        <v>656.06299999999999</v>
      </c>
      <c r="H73" s="1">
        <v>0</v>
      </c>
      <c r="I73" s="1">
        <v>-299.06700000000001</v>
      </c>
    </row>
    <row r="74" spans="1:9" hidden="1" x14ac:dyDescent="0.25">
      <c r="A74" s="1" t="s">
        <v>126</v>
      </c>
      <c r="B74" s="1" t="s">
        <v>12</v>
      </c>
      <c r="C74" s="1" t="s">
        <v>143</v>
      </c>
      <c r="D74" s="1">
        <v>0</v>
      </c>
      <c r="E74" s="1">
        <v>-177.77</v>
      </c>
      <c r="F74" s="1">
        <v>0</v>
      </c>
      <c r="G74" s="1">
        <v>1173.2660000000001</v>
      </c>
      <c r="H74" s="1">
        <v>0</v>
      </c>
      <c r="I74" s="1">
        <v>-299.06700000000001</v>
      </c>
    </row>
    <row r="75" spans="1:9" hidden="1" x14ac:dyDescent="0.25">
      <c r="A75" s="1" t="s">
        <v>126</v>
      </c>
      <c r="B75" s="1" t="s">
        <v>12</v>
      </c>
      <c r="C75" s="1" t="s">
        <v>3</v>
      </c>
      <c r="D75" s="1">
        <v>0</v>
      </c>
      <c r="E75" s="1">
        <v>-177.77</v>
      </c>
      <c r="F75" s="1">
        <v>0</v>
      </c>
      <c r="G75" s="1">
        <v>1173.2660000000001</v>
      </c>
      <c r="H75" s="1">
        <v>0</v>
      </c>
      <c r="I75" s="1">
        <v>-835.30700000000002</v>
      </c>
    </row>
    <row r="76" spans="1:9" hidden="1" x14ac:dyDescent="0.25">
      <c r="A76" s="1" t="s">
        <v>127</v>
      </c>
      <c r="B76" s="1" t="s">
        <v>12</v>
      </c>
      <c r="C76" s="1" t="s">
        <v>143</v>
      </c>
      <c r="D76" s="1">
        <v>0</v>
      </c>
      <c r="E76" s="1">
        <v>-230.01</v>
      </c>
      <c r="F76" s="1">
        <v>0</v>
      </c>
      <c r="G76" s="1">
        <v>1518.068</v>
      </c>
      <c r="H76" s="1">
        <v>0</v>
      </c>
      <c r="I76" s="1">
        <v>-835.30700000000002</v>
      </c>
    </row>
    <row r="77" spans="1:9" hidden="1" x14ac:dyDescent="0.25">
      <c r="A77" s="1" t="s">
        <v>127</v>
      </c>
      <c r="B77" s="1" t="s">
        <v>12</v>
      </c>
      <c r="C77" s="1" t="s">
        <v>3</v>
      </c>
      <c r="D77" s="1">
        <v>0</v>
      </c>
      <c r="E77" s="1">
        <v>-230.01</v>
      </c>
      <c r="F77" s="1">
        <v>0</v>
      </c>
      <c r="G77" s="1">
        <v>1518.068</v>
      </c>
      <c r="H77" s="1">
        <v>0</v>
      </c>
      <c r="I77" s="1">
        <v>-1531.7909999999999</v>
      </c>
    </row>
    <row r="78" spans="1:9" hidden="1" x14ac:dyDescent="0.25">
      <c r="A78" s="1" t="s">
        <v>9</v>
      </c>
      <c r="B78" s="1" t="s">
        <v>12</v>
      </c>
      <c r="C78" s="1" t="s">
        <v>143</v>
      </c>
      <c r="D78" s="1">
        <v>0</v>
      </c>
      <c r="E78" s="1">
        <v>-256.13</v>
      </c>
      <c r="F78" s="1">
        <v>0</v>
      </c>
      <c r="G78" s="1">
        <v>1690.4690000000001</v>
      </c>
      <c r="H78" s="1">
        <v>0</v>
      </c>
      <c r="I78" s="1">
        <v>-1531.7909999999999</v>
      </c>
    </row>
    <row r="79" spans="1:9" x14ac:dyDescent="0.25">
      <c r="A79" s="1" t="s">
        <v>9</v>
      </c>
      <c r="B79" s="1" t="s">
        <v>12</v>
      </c>
      <c r="C79" s="1" t="s">
        <v>3</v>
      </c>
      <c r="D79" s="1">
        <v>0</v>
      </c>
      <c r="E79" s="1">
        <v>-256.13</v>
      </c>
      <c r="F79" s="1">
        <v>0</v>
      </c>
      <c r="G79" s="1">
        <v>1690.4690000000001</v>
      </c>
      <c r="H79" s="1">
        <v>0</v>
      </c>
      <c r="I79" s="1">
        <v>-2316.5059999999999</v>
      </c>
    </row>
    <row r="80" spans="1:9" hidden="1" x14ac:dyDescent="0.25">
      <c r="A80" s="1" t="s">
        <v>10</v>
      </c>
      <c r="B80" s="1" t="s">
        <v>12</v>
      </c>
      <c r="C80" s="1" t="s">
        <v>143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</row>
    <row r="81" spans="1:9" hidden="1" x14ac:dyDescent="0.25">
      <c r="A81" s="1" t="s">
        <v>10</v>
      </c>
      <c r="B81" s="1" t="s">
        <v>12</v>
      </c>
      <c r="C81" s="1" t="s">
        <v>3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</row>
    <row r="82" spans="1:9" hidden="1" x14ac:dyDescent="0.25">
      <c r="A82" s="1" t="s">
        <v>125</v>
      </c>
      <c r="B82" s="1" t="s">
        <v>153</v>
      </c>
      <c r="C82" s="1" t="s">
        <v>143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</row>
    <row r="83" spans="1:9" hidden="1" x14ac:dyDescent="0.25">
      <c r="A83" s="1" t="s">
        <v>125</v>
      </c>
      <c r="B83" s="1" t="s">
        <v>153</v>
      </c>
      <c r="C83" s="1" t="s">
        <v>3</v>
      </c>
      <c r="D83" s="1">
        <v>0</v>
      </c>
      <c r="E83" s="1">
        <v>0</v>
      </c>
      <c r="F83" s="1">
        <v>0</v>
      </c>
      <c r="G83" s="1">
        <v>0</v>
      </c>
      <c r="H83" s="1">
        <v>7.1999999999999995E-2</v>
      </c>
      <c r="I83" s="1">
        <v>0</v>
      </c>
    </row>
    <row r="84" spans="1:9" hidden="1" x14ac:dyDescent="0.25">
      <c r="A84" s="1" t="s">
        <v>126</v>
      </c>
      <c r="B84" s="1" t="s">
        <v>153</v>
      </c>
      <c r="C84" s="1" t="s">
        <v>143</v>
      </c>
      <c r="D84" s="1">
        <v>0</v>
      </c>
      <c r="E84" s="1">
        <v>0</v>
      </c>
      <c r="F84" s="1">
        <v>-32.35</v>
      </c>
      <c r="G84" s="1">
        <v>-194.12700000000001</v>
      </c>
      <c r="H84" s="1">
        <v>7.1999999999999995E-2</v>
      </c>
      <c r="I84" s="1">
        <v>0</v>
      </c>
    </row>
    <row r="85" spans="1:9" hidden="1" x14ac:dyDescent="0.25">
      <c r="A85" s="1" t="s">
        <v>126</v>
      </c>
      <c r="B85" s="1" t="s">
        <v>153</v>
      </c>
      <c r="C85" s="1" t="s">
        <v>3</v>
      </c>
      <c r="D85" s="1">
        <v>0</v>
      </c>
      <c r="E85" s="1">
        <v>0</v>
      </c>
      <c r="F85" s="1">
        <v>-32.35</v>
      </c>
      <c r="G85" s="1">
        <v>-194.12700000000001</v>
      </c>
      <c r="H85" s="1">
        <v>97.68</v>
      </c>
      <c r="I85" s="1">
        <v>0</v>
      </c>
    </row>
    <row r="86" spans="1:9" hidden="1" x14ac:dyDescent="0.25">
      <c r="A86" s="1" t="s">
        <v>127</v>
      </c>
      <c r="B86" s="1" t="s">
        <v>153</v>
      </c>
      <c r="C86" s="1" t="s">
        <v>143</v>
      </c>
      <c r="D86" s="1">
        <v>0</v>
      </c>
      <c r="E86" s="1">
        <v>0</v>
      </c>
      <c r="F86" s="1">
        <v>-56.62</v>
      </c>
      <c r="G86" s="1">
        <v>-339.72300000000001</v>
      </c>
      <c r="H86" s="1">
        <v>97.68</v>
      </c>
      <c r="I86" s="1">
        <v>0</v>
      </c>
    </row>
    <row r="87" spans="1:9" hidden="1" x14ac:dyDescent="0.25">
      <c r="A87" s="1" t="s">
        <v>127</v>
      </c>
      <c r="B87" s="1" t="s">
        <v>153</v>
      </c>
      <c r="C87" s="1" t="s">
        <v>3</v>
      </c>
      <c r="D87" s="1">
        <v>0</v>
      </c>
      <c r="E87" s="1">
        <v>0</v>
      </c>
      <c r="F87" s="1">
        <v>-56.62</v>
      </c>
      <c r="G87" s="1">
        <v>-339.72300000000001</v>
      </c>
      <c r="H87" s="1">
        <v>269.13600000000002</v>
      </c>
      <c r="I87" s="1">
        <v>0</v>
      </c>
    </row>
    <row r="88" spans="1:9" hidden="1" x14ac:dyDescent="0.25">
      <c r="A88" s="1" t="s">
        <v>9</v>
      </c>
      <c r="B88" s="1" t="s">
        <v>153</v>
      </c>
      <c r="C88" s="1" t="s">
        <v>143</v>
      </c>
      <c r="D88" s="1">
        <v>0</v>
      </c>
      <c r="E88" s="1">
        <v>0</v>
      </c>
      <c r="F88" s="1">
        <v>-72.8</v>
      </c>
      <c r="G88" s="1">
        <v>-436.786</v>
      </c>
      <c r="H88" s="1">
        <v>269.13600000000002</v>
      </c>
      <c r="I88" s="1">
        <v>0</v>
      </c>
    </row>
    <row r="89" spans="1:9" hidden="1" x14ac:dyDescent="0.25">
      <c r="A89" s="1" t="s">
        <v>9</v>
      </c>
      <c r="B89" s="1" t="s">
        <v>153</v>
      </c>
      <c r="C89" s="1" t="s">
        <v>3</v>
      </c>
      <c r="D89" s="1">
        <v>0</v>
      </c>
      <c r="E89" s="1">
        <v>0</v>
      </c>
      <c r="F89" s="1">
        <v>-72.8</v>
      </c>
      <c r="G89" s="1">
        <v>-436.786</v>
      </c>
      <c r="H89" s="1">
        <v>492.03</v>
      </c>
      <c r="I89" s="1">
        <v>0</v>
      </c>
    </row>
    <row r="90" spans="1:9" hidden="1" x14ac:dyDescent="0.25">
      <c r="A90" s="1" t="s">
        <v>10</v>
      </c>
      <c r="B90" s="1" t="s">
        <v>153</v>
      </c>
      <c r="C90" s="1" t="s">
        <v>143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</row>
    <row r="91" spans="1:9" hidden="1" x14ac:dyDescent="0.25">
      <c r="A91" s="1" t="s">
        <v>10</v>
      </c>
      <c r="B91" s="1" t="s">
        <v>153</v>
      </c>
      <c r="C91" s="1" t="s">
        <v>3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</row>
    <row r="92" spans="1:9" hidden="1" x14ac:dyDescent="0.25">
      <c r="A92" s="1" t="s">
        <v>125</v>
      </c>
      <c r="B92" s="1" t="s">
        <v>151</v>
      </c>
      <c r="C92" s="1" t="s">
        <v>143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</row>
    <row r="93" spans="1:9" hidden="1" x14ac:dyDescent="0.25">
      <c r="A93" s="1" t="s">
        <v>125</v>
      </c>
      <c r="B93" s="1" t="s">
        <v>151</v>
      </c>
      <c r="C93" s="1" t="s">
        <v>3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</row>
    <row r="94" spans="1:9" hidden="1" x14ac:dyDescent="0.25">
      <c r="A94" s="1" t="s">
        <v>126</v>
      </c>
      <c r="B94" s="1" t="s">
        <v>151</v>
      </c>
      <c r="C94" s="1" t="s">
        <v>143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</row>
    <row r="95" spans="1:9" hidden="1" x14ac:dyDescent="0.25">
      <c r="A95" s="1" t="s">
        <v>126</v>
      </c>
      <c r="B95" s="1" t="s">
        <v>151</v>
      </c>
      <c r="C95" s="1" t="s">
        <v>3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</row>
    <row r="96" spans="1:9" hidden="1" x14ac:dyDescent="0.25">
      <c r="A96" s="1" t="s">
        <v>127</v>
      </c>
      <c r="B96" s="1" t="s">
        <v>151</v>
      </c>
      <c r="C96" s="1" t="s">
        <v>143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</row>
    <row r="97" spans="1:9" hidden="1" x14ac:dyDescent="0.25">
      <c r="A97" s="1" t="s">
        <v>127</v>
      </c>
      <c r="B97" s="1" t="s">
        <v>151</v>
      </c>
      <c r="C97" s="1" t="s">
        <v>3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</row>
    <row r="98" spans="1:9" hidden="1" x14ac:dyDescent="0.25">
      <c r="A98" s="1" t="s">
        <v>9</v>
      </c>
      <c r="B98" s="1" t="s">
        <v>151</v>
      </c>
      <c r="C98" s="1" t="s">
        <v>143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</row>
    <row r="99" spans="1:9" hidden="1" x14ac:dyDescent="0.25">
      <c r="A99" s="1" t="s">
        <v>9</v>
      </c>
      <c r="B99" s="1" t="s">
        <v>151</v>
      </c>
      <c r="C99" s="1" t="s">
        <v>3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</row>
    <row r="100" spans="1:9" hidden="1" x14ac:dyDescent="0.25">
      <c r="A100" s="1" t="s">
        <v>10</v>
      </c>
      <c r="B100" s="1" t="s">
        <v>151</v>
      </c>
      <c r="C100" s="1" t="s">
        <v>143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</row>
    <row r="101" spans="1:9" hidden="1" x14ac:dyDescent="0.25">
      <c r="A101" s="1" t="s">
        <v>10</v>
      </c>
      <c r="B101" s="1" t="s">
        <v>151</v>
      </c>
      <c r="C101" s="1" t="s">
        <v>3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</row>
    <row r="102" spans="1:9" hidden="1" x14ac:dyDescent="0.25">
      <c r="A102" s="1" t="s">
        <v>125</v>
      </c>
      <c r="B102" s="1" t="s">
        <v>15</v>
      </c>
      <c r="C102" s="1" t="s">
        <v>143</v>
      </c>
      <c r="D102" s="1">
        <v>0</v>
      </c>
      <c r="E102" s="1">
        <v>0</v>
      </c>
      <c r="F102" s="1">
        <v>-99.4</v>
      </c>
      <c r="G102" s="1">
        <v>-536.779</v>
      </c>
      <c r="H102" s="1">
        <v>0</v>
      </c>
      <c r="I102" s="1">
        <v>0</v>
      </c>
    </row>
    <row r="103" spans="1:9" hidden="1" x14ac:dyDescent="0.25">
      <c r="A103" s="1" t="s">
        <v>125</v>
      </c>
      <c r="B103" s="1" t="s">
        <v>15</v>
      </c>
      <c r="C103" s="1" t="s">
        <v>3</v>
      </c>
      <c r="D103" s="1">
        <v>0</v>
      </c>
      <c r="E103" s="1">
        <v>0</v>
      </c>
      <c r="F103" s="1">
        <v>-99.4</v>
      </c>
      <c r="G103" s="1">
        <v>-536.779</v>
      </c>
      <c r="H103" s="1">
        <v>299.06700000000001</v>
      </c>
      <c r="I103" s="1">
        <v>0</v>
      </c>
    </row>
    <row r="104" spans="1:9" hidden="1" x14ac:dyDescent="0.25">
      <c r="A104" s="1" t="s">
        <v>126</v>
      </c>
      <c r="B104" s="1" t="s">
        <v>15</v>
      </c>
      <c r="C104" s="1" t="s">
        <v>143</v>
      </c>
      <c r="D104" s="1">
        <v>0</v>
      </c>
      <c r="E104" s="1">
        <v>0</v>
      </c>
      <c r="F104" s="1">
        <v>-177.77</v>
      </c>
      <c r="G104" s="1">
        <v>-959.94500000000005</v>
      </c>
      <c r="H104" s="1">
        <v>299.06700000000001</v>
      </c>
      <c r="I104" s="1">
        <v>0</v>
      </c>
    </row>
    <row r="105" spans="1:9" hidden="1" x14ac:dyDescent="0.25">
      <c r="A105" s="1" t="s">
        <v>126</v>
      </c>
      <c r="B105" s="1" t="s">
        <v>15</v>
      </c>
      <c r="C105" s="1" t="s">
        <v>3</v>
      </c>
      <c r="D105" s="1">
        <v>0</v>
      </c>
      <c r="E105" s="1">
        <v>0</v>
      </c>
      <c r="F105" s="1">
        <v>-177.77</v>
      </c>
      <c r="G105" s="1">
        <v>-959.94500000000005</v>
      </c>
      <c r="H105" s="1">
        <v>835.30700000000002</v>
      </c>
      <c r="I105" s="1">
        <v>0</v>
      </c>
    </row>
    <row r="106" spans="1:9" hidden="1" x14ac:dyDescent="0.25">
      <c r="A106" s="1" t="s">
        <v>127</v>
      </c>
      <c r="B106" s="1" t="s">
        <v>15</v>
      </c>
      <c r="C106" s="1" t="s">
        <v>143</v>
      </c>
      <c r="D106" s="1">
        <v>0</v>
      </c>
      <c r="E106" s="1">
        <v>0</v>
      </c>
      <c r="F106" s="1">
        <v>-230.01</v>
      </c>
      <c r="G106" s="1">
        <v>-1242.056</v>
      </c>
      <c r="H106" s="1">
        <v>835.30700000000002</v>
      </c>
      <c r="I106" s="1">
        <v>0</v>
      </c>
    </row>
    <row r="107" spans="1:9" hidden="1" x14ac:dyDescent="0.25">
      <c r="A107" s="1" t="s">
        <v>127</v>
      </c>
      <c r="B107" s="1" t="s">
        <v>15</v>
      </c>
      <c r="C107" s="1" t="s">
        <v>3</v>
      </c>
      <c r="D107" s="1">
        <v>0</v>
      </c>
      <c r="E107" s="1">
        <v>0</v>
      </c>
      <c r="F107" s="1">
        <v>-230.01</v>
      </c>
      <c r="G107" s="1">
        <v>-1242.056</v>
      </c>
      <c r="H107" s="1">
        <v>1531.7909999999999</v>
      </c>
      <c r="I107" s="1">
        <v>0</v>
      </c>
    </row>
    <row r="108" spans="1:9" hidden="1" x14ac:dyDescent="0.25">
      <c r="A108" s="1" t="s">
        <v>9</v>
      </c>
      <c r="B108" s="1" t="s">
        <v>15</v>
      </c>
      <c r="C108" s="1" t="s">
        <v>143</v>
      </c>
      <c r="D108" s="1">
        <v>0</v>
      </c>
      <c r="E108" s="1">
        <v>0</v>
      </c>
      <c r="F108" s="1">
        <v>-256.13</v>
      </c>
      <c r="G108" s="1">
        <v>-1383.1110000000001</v>
      </c>
      <c r="H108" s="1">
        <v>1531.7909999999999</v>
      </c>
      <c r="I108" s="1">
        <v>0</v>
      </c>
    </row>
    <row r="109" spans="1:9" x14ac:dyDescent="0.25">
      <c r="A109" s="1" t="s">
        <v>9</v>
      </c>
      <c r="B109" s="1" t="s">
        <v>15</v>
      </c>
      <c r="C109" s="1" t="s">
        <v>3</v>
      </c>
      <c r="D109" s="1">
        <v>0</v>
      </c>
      <c r="E109" s="1">
        <v>0</v>
      </c>
      <c r="F109" s="1">
        <v>-256.13</v>
      </c>
      <c r="G109" s="1">
        <v>-1383.1110000000001</v>
      </c>
      <c r="H109" s="1">
        <v>2316.5059999999999</v>
      </c>
      <c r="I109" s="1">
        <v>0</v>
      </c>
    </row>
    <row r="110" spans="1:9" hidden="1" x14ac:dyDescent="0.25">
      <c r="A110" s="1" t="s">
        <v>10</v>
      </c>
      <c r="B110" s="1" t="s">
        <v>15</v>
      </c>
      <c r="C110" s="1" t="s">
        <v>143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</row>
    <row r="111" spans="1:9" hidden="1" x14ac:dyDescent="0.25">
      <c r="A111" s="1" t="s">
        <v>10</v>
      </c>
      <c r="B111" s="1" t="s">
        <v>15</v>
      </c>
      <c r="C111" s="1" t="s">
        <v>3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</row>
    <row r="112" spans="1:9" hidden="1" x14ac:dyDescent="0.25">
      <c r="A112" s="1" t="s">
        <v>125</v>
      </c>
      <c r="B112" s="1" t="s">
        <v>14</v>
      </c>
      <c r="C112" s="1" t="s">
        <v>143</v>
      </c>
      <c r="D112" s="1">
        <v>0</v>
      </c>
      <c r="E112" s="1">
        <v>0</v>
      </c>
      <c r="F112" s="1">
        <v>-99.4</v>
      </c>
      <c r="G112" s="1">
        <v>-656.06299999999999</v>
      </c>
      <c r="H112" s="1">
        <v>0</v>
      </c>
      <c r="I112" s="1">
        <v>0</v>
      </c>
    </row>
    <row r="113" spans="1:9" hidden="1" x14ac:dyDescent="0.25">
      <c r="A113" s="1" t="s">
        <v>125</v>
      </c>
      <c r="B113" s="1" t="s">
        <v>14</v>
      </c>
      <c r="C113" s="1" t="s">
        <v>3</v>
      </c>
      <c r="D113" s="1">
        <v>0</v>
      </c>
      <c r="E113" s="1">
        <v>0</v>
      </c>
      <c r="F113" s="1">
        <v>-99.4</v>
      </c>
      <c r="G113" s="1">
        <v>-656.06299999999999</v>
      </c>
      <c r="H113" s="1">
        <v>299.06700000000001</v>
      </c>
      <c r="I113" s="1">
        <v>0</v>
      </c>
    </row>
    <row r="114" spans="1:9" hidden="1" x14ac:dyDescent="0.25">
      <c r="A114" s="1" t="s">
        <v>126</v>
      </c>
      <c r="B114" s="1" t="s">
        <v>14</v>
      </c>
      <c r="C114" s="1" t="s">
        <v>143</v>
      </c>
      <c r="D114" s="1">
        <v>0</v>
      </c>
      <c r="E114" s="1">
        <v>0</v>
      </c>
      <c r="F114" s="1">
        <v>-177.77</v>
      </c>
      <c r="G114" s="1">
        <v>-1173.2660000000001</v>
      </c>
      <c r="H114" s="1">
        <v>299.06700000000001</v>
      </c>
      <c r="I114" s="1">
        <v>0</v>
      </c>
    </row>
    <row r="115" spans="1:9" hidden="1" x14ac:dyDescent="0.25">
      <c r="A115" s="1" t="s">
        <v>126</v>
      </c>
      <c r="B115" s="1" t="s">
        <v>14</v>
      </c>
      <c r="C115" s="1" t="s">
        <v>3</v>
      </c>
      <c r="D115" s="1">
        <v>0</v>
      </c>
      <c r="E115" s="1">
        <v>0</v>
      </c>
      <c r="F115" s="1">
        <v>-177.77</v>
      </c>
      <c r="G115" s="1">
        <v>-1173.2660000000001</v>
      </c>
      <c r="H115" s="1">
        <v>835.30700000000002</v>
      </c>
      <c r="I115" s="1">
        <v>0</v>
      </c>
    </row>
    <row r="116" spans="1:9" hidden="1" x14ac:dyDescent="0.25">
      <c r="A116" s="1" t="s">
        <v>127</v>
      </c>
      <c r="B116" s="1" t="s">
        <v>14</v>
      </c>
      <c r="C116" s="1" t="s">
        <v>143</v>
      </c>
      <c r="D116" s="1">
        <v>0</v>
      </c>
      <c r="E116" s="1">
        <v>0</v>
      </c>
      <c r="F116" s="1">
        <v>-230.01</v>
      </c>
      <c r="G116" s="1">
        <v>-1518.068</v>
      </c>
      <c r="H116" s="1">
        <v>835.30700000000002</v>
      </c>
      <c r="I116" s="1">
        <v>0</v>
      </c>
    </row>
    <row r="117" spans="1:9" hidden="1" x14ac:dyDescent="0.25">
      <c r="A117" s="1" t="s">
        <v>127</v>
      </c>
      <c r="B117" s="1" t="s">
        <v>14</v>
      </c>
      <c r="C117" s="1" t="s">
        <v>3</v>
      </c>
      <c r="D117" s="1">
        <v>0</v>
      </c>
      <c r="E117" s="1">
        <v>0</v>
      </c>
      <c r="F117" s="1">
        <v>-230.01</v>
      </c>
      <c r="G117" s="1">
        <v>-1518.068</v>
      </c>
      <c r="H117" s="1">
        <v>1531.7909999999999</v>
      </c>
      <c r="I117" s="1">
        <v>0</v>
      </c>
    </row>
    <row r="118" spans="1:9" hidden="1" x14ac:dyDescent="0.25">
      <c r="A118" s="1" t="s">
        <v>9</v>
      </c>
      <c r="B118" s="1" t="s">
        <v>14</v>
      </c>
      <c r="C118" s="1" t="s">
        <v>143</v>
      </c>
      <c r="D118" s="1">
        <v>0</v>
      </c>
      <c r="E118" s="1">
        <v>0</v>
      </c>
      <c r="F118" s="1">
        <v>-256.13</v>
      </c>
      <c r="G118" s="1">
        <v>-1690.4690000000001</v>
      </c>
      <c r="H118" s="1">
        <v>1531.7909999999999</v>
      </c>
      <c r="I118" s="1">
        <v>0</v>
      </c>
    </row>
    <row r="119" spans="1:9" x14ac:dyDescent="0.25">
      <c r="A119" s="1" t="s">
        <v>9</v>
      </c>
      <c r="B119" s="1" t="s">
        <v>14</v>
      </c>
      <c r="C119" s="1" t="s">
        <v>3</v>
      </c>
      <c r="D119" s="1">
        <v>0</v>
      </c>
      <c r="E119" s="1">
        <v>0</v>
      </c>
      <c r="F119" s="1">
        <v>-256.13</v>
      </c>
      <c r="G119" s="1">
        <v>-1690.4690000000001</v>
      </c>
      <c r="H119" s="1">
        <v>2316.5059999999999</v>
      </c>
      <c r="I119" s="1">
        <v>0</v>
      </c>
    </row>
    <row r="120" spans="1:9" hidden="1" x14ac:dyDescent="0.25">
      <c r="A120" s="1" t="s">
        <v>10</v>
      </c>
      <c r="B120" s="1" t="s">
        <v>14</v>
      </c>
      <c r="C120" s="1" t="s">
        <v>143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</row>
    <row r="121" spans="1:9" hidden="1" x14ac:dyDescent="0.25">
      <c r="A121" s="1" t="s">
        <v>10</v>
      </c>
      <c r="B121" s="1" t="s">
        <v>14</v>
      </c>
      <c r="C121" s="1" t="s">
        <v>3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</row>
    <row r="122" spans="1:9" hidden="1" x14ac:dyDescent="0.25">
      <c r="A122" s="1" t="s">
        <v>125</v>
      </c>
      <c r="B122" s="1" t="s">
        <v>154</v>
      </c>
      <c r="C122" s="1" t="s">
        <v>143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</row>
    <row r="123" spans="1:9" hidden="1" x14ac:dyDescent="0.25">
      <c r="A123" s="1" t="s">
        <v>125</v>
      </c>
      <c r="B123" s="1" t="s">
        <v>154</v>
      </c>
      <c r="C123" s="1" t="s">
        <v>3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</row>
    <row r="124" spans="1:9" hidden="1" x14ac:dyDescent="0.25">
      <c r="A124" s="1" t="s">
        <v>126</v>
      </c>
      <c r="B124" s="1" t="s">
        <v>154</v>
      </c>
      <c r="C124" s="1" t="s">
        <v>143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</row>
    <row r="125" spans="1:9" hidden="1" x14ac:dyDescent="0.25">
      <c r="A125" s="1" t="s">
        <v>126</v>
      </c>
      <c r="B125" s="1" t="s">
        <v>154</v>
      </c>
      <c r="C125" s="1" t="s">
        <v>3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</row>
    <row r="126" spans="1:9" hidden="1" x14ac:dyDescent="0.25">
      <c r="A126" s="1" t="s">
        <v>127</v>
      </c>
      <c r="B126" s="1" t="s">
        <v>154</v>
      </c>
      <c r="C126" s="1" t="s">
        <v>143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</row>
    <row r="127" spans="1:9" hidden="1" x14ac:dyDescent="0.25">
      <c r="A127" s="1" t="s">
        <v>127</v>
      </c>
      <c r="B127" s="1" t="s">
        <v>154</v>
      </c>
      <c r="C127" s="1" t="s">
        <v>3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</row>
    <row r="128" spans="1:9" hidden="1" x14ac:dyDescent="0.25">
      <c r="A128" s="1" t="s">
        <v>9</v>
      </c>
      <c r="B128" s="1" t="s">
        <v>154</v>
      </c>
      <c r="C128" s="1" t="s">
        <v>143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</row>
    <row r="129" spans="1:9" hidden="1" x14ac:dyDescent="0.25">
      <c r="A129" s="1" t="s">
        <v>9</v>
      </c>
      <c r="B129" s="1" t="s">
        <v>154</v>
      </c>
      <c r="C129" s="1" t="s">
        <v>3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</row>
    <row r="130" spans="1:9" hidden="1" x14ac:dyDescent="0.25">
      <c r="A130" s="1" t="s">
        <v>10</v>
      </c>
      <c r="B130" s="1" t="s">
        <v>154</v>
      </c>
      <c r="C130" s="1" t="s">
        <v>143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</row>
    <row r="131" spans="1:9" hidden="1" x14ac:dyDescent="0.25">
      <c r="A131" s="1" t="s">
        <v>10</v>
      </c>
      <c r="B131" s="1" t="s">
        <v>154</v>
      </c>
      <c r="C131" s="1" t="s">
        <v>3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</row>
    <row r="132" spans="1:9" hidden="1" x14ac:dyDescent="0.25">
      <c r="A132" s="1" t="s">
        <v>125</v>
      </c>
      <c r="B132" s="1" t="s">
        <v>156</v>
      </c>
      <c r="C132" s="1" t="s">
        <v>143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</row>
    <row r="133" spans="1:9" hidden="1" x14ac:dyDescent="0.25">
      <c r="A133" s="1" t="s">
        <v>125</v>
      </c>
      <c r="B133" s="1" t="s">
        <v>156</v>
      </c>
      <c r="C133" s="1" t="s">
        <v>3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</row>
    <row r="134" spans="1:9" hidden="1" x14ac:dyDescent="0.25">
      <c r="A134" s="1" t="s">
        <v>126</v>
      </c>
      <c r="B134" s="1" t="s">
        <v>156</v>
      </c>
      <c r="C134" s="1" t="s">
        <v>143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</row>
    <row r="135" spans="1:9" hidden="1" x14ac:dyDescent="0.25">
      <c r="A135" s="1" t="s">
        <v>126</v>
      </c>
      <c r="B135" s="1" t="s">
        <v>156</v>
      </c>
      <c r="C135" s="1" t="s">
        <v>3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</row>
    <row r="136" spans="1:9" hidden="1" x14ac:dyDescent="0.25">
      <c r="A136" s="1" t="s">
        <v>127</v>
      </c>
      <c r="B136" s="1" t="s">
        <v>156</v>
      </c>
      <c r="C136" s="1" t="s">
        <v>143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</row>
    <row r="137" spans="1:9" hidden="1" x14ac:dyDescent="0.25">
      <c r="A137" s="1" t="s">
        <v>127</v>
      </c>
      <c r="B137" s="1" t="s">
        <v>156</v>
      </c>
      <c r="C137" s="1" t="s">
        <v>3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</row>
    <row r="138" spans="1:9" hidden="1" x14ac:dyDescent="0.25">
      <c r="A138" s="1" t="s">
        <v>9</v>
      </c>
      <c r="B138" s="1" t="s">
        <v>156</v>
      </c>
      <c r="C138" s="1" t="s">
        <v>143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</row>
    <row r="139" spans="1:9" hidden="1" x14ac:dyDescent="0.25">
      <c r="A139" s="1" t="s">
        <v>9</v>
      </c>
      <c r="B139" s="1" t="s">
        <v>156</v>
      </c>
      <c r="C139" s="1" t="s">
        <v>3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</row>
    <row r="140" spans="1:9" hidden="1" x14ac:dyDescent="0.25">
      <c r="A140" s="1" t="s">
        <v>10</v>
      </c>
      <c r="B140" s="1" t="s">
        <v>156</v>
      </c>
      <c r="C140" s="1" t="s">
        <v>143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</row>
    <row r="141" spans="1:9" hidden="1" x14ac:dyDescent="0.25">
      <c r="A141" s="1" t="s">
        <v>10</v>
      </c>
      <c r="B141" s="1" t="s">
        <v>156</v>
      </c>
      <c r="C141" s="1" t="s">
        <v>3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</row>
    <row r="142" spans="1:9" hidden="1" x14ac:dyDescent="0.25">
      <c r="A142" s="1" t="s">
        <v>125</v>
      </c>
      <c r="B142" s="1" t="s">
        <v>155</v>
      </c>
      <c r="C142" s="1" t="s">
        <v>143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</row>
    <row r="143" spans="1:9" hidden="1" x14ac:dyDescent="0.25">
      <c r="A143" s="1" t="s">
        <v>125</v>
      </c>
      <c r="B143" s="1" t="s">
        <v>155</v>
      </c>
      <c r="C143" s="1" t="s">
        <v>3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</row>
    <row r="144" spans="1:9" hidden="1" x14ac:dyDescent="0.25">
      <c r="A144" s="1" t="s">
        <v>126</v>
      </c>
      <c r="B144" s="1" t="s">
        <v>155</v>
      </c>
      <c r="C144" s="1" t="s">
        <v>143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</row>
    <row r="145" spans="1:9" hidden="1" x14ac:dyDescent="0.25">
      <c r="A145" s="1" t="s">
        <v>126</v>
      </c>
      <c r="B145" s="1" t="s">
        <v>155</v>
      </c>
      <c r="C145" s="1" t="s">
        <v>3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</row>
    <row r="146" spans="1:9" hidden="1" x14ac:dyDescent="0.25">
      <c r="A146" s="1" t="s">
        <v>127</v>
      </c>
      <c r="B146" s="1" t="s">
        <v>155</v>
      </c>
      <c r="C146" s="1" t="s">
        <v>143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</row>
    <row r="147" spans="1:9" hidden="1" x14ac:dyDescent="0.25">
      <c r="A147" s="1" t="s">
        <v>127</v>
      </c>
      <c r="B147" s="1" t="s">
        <v>155</v>
      </c>
      <c r="C147" s="1" t="s">
        <v>3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</row>
    <row r="148" spans="1:9" hidden="1" x14ac:dyDescent="0.25">
      <c r="A148" s="1" t="s">
        <v>9</v>
      </c>
      <c r="B148" s="1" t="s">
        <v>155</v>
      </c>
      <c r="C148" s="1" t="s">
        <v>143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</row>
    <row r="149" spans="1:9" hidden="1" x14ac:dyDescent="0.25">
      <c r="A149" s="1" t="s">
        <v>9</v>
      </c>
      <c r="B149" s="1" t="s">
        <v>155</v>
      </c>
      <c r="C149" s="1" t="s">
        <v>3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</row>
    <row r="150" spans="1:9" hidden="1" x14ac:dyDescent="0.25">
      <c r="A150" s="1" t="s">
        <v>10</v>
      </c>
      <c r="B150" s="1" t="s">
        <v>155</v>
      </c>
      <c r="C150" s="1" t="s">
        <v>143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</row>
    <row r="151" spans="1:9" hidden="1" x14ac:dyDescent="0.25">
      <c r="A151" s="1" t="s">
        <v>10</v>
      </c>
      <c r="B151" s="1" t="s">
        <v>155</v>
      </c>
      <c r="C151" s="1" t="s">
        <v>3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</row>
    <row r="152" spans="1:9" hidden="1" x14ac:dyDescent="0.25">
      <c r="A152" s="1" t="s">
        <v>125</v>
      </c>
      <c r="B152" s="1" t="s">
        <v>144</v>
      </c>
      <c r="C152" s="1" t="s">
        <v>143</v>
      </c>
      <c r="D152" s="1">
        <v>43.2</v>
      </c>
      <c r="E152" s="1">
        <v>0</v>
      </c>
      <c r="F152" s="1">
        <v>0</v>
      </c>
      <c r="G152" s="1">
        <v>0</v>
      </c>
      <c r="H152" s="1">
        <v>259.2</v>
      </c>
      <c r="I152" s="1">
        <v>-259.2</v>
      </c>
    </row>
    <row r="153" spans="1:9" hidden="1" x14ac:dyDescent="0.25">
      <c r="A153" s="1" t="s">
        <v>125</v>
      </c>
      <c r="B153" s="1" t="s">
        <v>144</v>
      </c>
      <c r="C153" s="1" t="s">
        <v>3</v>
      </c>
      <c r="D153" s="1">
        <v>43.2</v>
      </c>
      <c r="E153" s="1">
        <v>0</v>
      </c>
      <c r="F153" s="1">
        <v>0</v>
      </c>
      <c r="G153" s="1">
        <v>0</v>
      </c>
      <c r="H153" s="1">
        <v>259.2</v>
      </c>
      <c r="I153" s="1">
        <v>-259.2</v>
      </c>
    </row>
    <row r="154" spans="1:9" hidden="1" x14ac:dyDescent="0.25">
      <c r="A154" s="1" t="s">
        <v>126</v>
      </c>
      <c r="B154" s="1" t="s">
        <v>144</v>
      </c>
      <c r="C154" s="1" t="s">
        <v>143</v>
      </c>
      <c r="D154" s="1">
        <v>86.4</v>
      </c>
      <c r="E154" s="1">
        <v>0</v>
      </c>
      <c r="F154" s="1">
        <v>0</v>
      </c>
      <c r="G154" s="1">
        <v>0</v>
      </c>
      <c r="H154" s="1">
        <v>518.4</v>
      </c>
      <c r="I154" s="1">
        <v>-518.4</v>
      </c>
    </row>
    <row r="155" spans="1:9" hidden="1" x14ac:dyDescent="0.25">
      <c r="A155" s="1" t="s">
        <v>126</v>
      </c>
      <c r="B155" s="1" t="s">
        <v>144</v>
      </c>
      <c r="C155" s="1" t="s">
        <v>3</v>
      </c>
      <c r="D155" s="1">
        <v>86.4</v>
      </c>
      <c r="E155" s="1">
        <v>0</v>
      </c>
      <c r="F155" s="1">
        <v>0</v>
      </c>
      <c r="G155" s="1">
        <v>0</v>
      </c>
      <c r="H155" s="1">
        <v>518.4</v>
      </c>
      <c r="I155" s="1">
        <v>-518.4</v>
      </c>
    </row>
    <row r="156" spans="1:9" hidden="1" x14ac:dyDescent="0.25">
      <c r="A156" s="1" t="s">
        <v>127</v>
      </c>
      <c r="B156" s="1" t="s">
        <v>144</v>
      </c>
      <c r="C156" s="1" t="s">
        <v>143</v>
      </c>
      <c r="D156" s="1">
        <v>129.6</v>
      </c>
      <c r="E156" s="1">
        <v>0</v>
      </c>
      <c r="F156" s="1">
        <v>0</v>
      </c>
      <c r="G156" s="1">
        <v>0</v>
      </c>
      <c r="H156" s="1">
        <v>777.6</v>
      </c>
      <c r="I156" s="1">
        <v>-777.6</v>
      </c>
    </row>
    <row r="157" spans="1:9" hidden="1" x14ac:dyDescent="0.25">
      <c r="A157" s="1" t="s">
        <v>127</v>
      </c>
      <c r="B157" s="1" t="s">
        <v>144</v>
      </c>
      <c r="C157" s="1" t="s">
        <v>3</v>
      </c>
      <c r="D157" s="1">
        <v>129.6</v>
      </c>
      <c r="E157" s="1">
        <v>0</v>
      </c>
      <c r="F157" s="1">
        <v>0</v>
      </c>
      <c r="G157" s="1">
        <v>0</v>
      </c>
      <c r="H157" s="1">
        <v>777.6</v>
      </c>
      <c r="I157" s="1">
        <v>-777.6</v>
      </c>
    </row>
    <row r="158" spans="1:9" hidden="1" x14ac:dyDescent="0.25">
      <c r="A158" s="1" t="s">
        <v>9</v>
      </c>
      <c r="B158" s="1" t="s">
        <v>144</v>
      </c>
      <c r="C158" s="1" t="s">
        <v>143</v>
      </c>
      <c r="D158" s="1">
        <v>172.8</v>
      </c>
      <c r="E158" s="1">
        <v>0</v>
      </c>
      <c r="F158" s="1">
        <v>0</v>
      </c>
      <c r="G158" s="1">
        <v>0</v>
      </c>
      <c r="H158" s="1">
        <v>1036.8</v>
      </c>
      <c r="I158" s="1">
        <v>-1036.8</v>
      </c>
    </row>
    <row r="159" spans="1:9" hidden="1" x14ac:dyDescent="0.25">
      <c r="A159" s="1" t="s">
        <v>9</v>
      </c>
      <c r="B159" s="1" t="s">
        <v>144</v>
      </c>
      <c r="C159" s="1" t="s">
        <v>3</v>
      </c>
      <c r="D159" s="1">
        <v>172.8</v>
      </c>
      <c r="E159" s="1">
        <v>0</v>
      </c>
      <c r="F159" s="1">
        <v>0</v>
      </c>
      <c r="G159" s="1">
        <v>0</v>
      </c>
      <c r="H159" s="1">
        <v>1036.8</v>
      </c>
      <c r="I159" s="1">
        <v>-1036.8</v>
      </c>
    </row>
    <row r="160" spans="1:9" hidden="1" x14ac:dyDescent="0.25">
      <c r="A160" s="1" t="s">
        <v>10</v>
      </c>
      <c r="B160" s="1" t="s">
        <v>144</v>
      </c>
      <c r="C160" s="1" t="s">
        <v>143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</row>
    <row r="161" spans="1:9" hidden="1" x14ac:dyDescent="0.25">
      <c r="A161" s="1" t="s">
        <v>10</v>
      </c>
      <c r="B161" s="1" t="s">
        <v>144</v>
      </c>
      <c r="C161" s="1" t="s">
        <v>3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</row>
    <row r="162" spans="1:9" hidden="1" x14ac:dyDescent="0.25">
      <c r="A162" s="1" t="s">
        <v>125</v>
      </c>
      <c r="B162" s="1" t="s">
        <v>7</v>
      </c>
      <c r="C162" s="1" t="s">
        <v>143</v>
      </c>
      <c r="D162" s="1">
        <v>0</v>
      </c>
      <c r="E162" s="1">
        <v>90.93</v>
      </c>
      <c r="F162" s="1">
        <v>0</v>
      </c>
      <c r="G162" s="1">
        <v>600.15700000000004</v>
      </c>
      <c r="H162" s="1">
        <v>0</v>
      </c>
      <c r="I162" s="1">
        <v>0</v>
      </c>
    </row>
    <row r="163" spans="1:9" hidden="1" x14ac:dyDescent="0.25">
      <c r="A163" s="1" t="s">
        <v>125</v>
      </c>
      <c r="B163" s="1" t="s">
        <v>7</v>
      </c>
      <c r="C163" s="1" t="s">
        <v>3</v>
      </c>
      <c r="D163" s="1">
        <v>0</v>
      </c>
      <c r="E163" s="1">
        <v>90.93</v>
      </c>
      <c r="F163" s="1">
        <v>0</v>
      </c>
      <c r="G163" s="1">
        <v>600.15700000000004</v>
      </c>
      <c r="H163" s="1">
        <v>0</v>
      </c>
      <c r="I163" s="1">
        <v>273.61</v>
      </c>
    </row>
    <row r="164" spans="1:9" hidden="1" x14ac:dyDescent="0.25">
      <c r="A164" s="1" t="s">
        <v>126</v>
      </c>
      <c r="B164" s="1" t="s">
        <v>7</v>
      </c>
      <c r="C164" s="1" t="s">
        <v>143</v>
      </c>
      <c r="D164" s="1">
        <v>0</v>
      </c>
      <c r="E164" s="1">
        <v>174.68</v>
      </c>
      <c r="F164" s="1">
        <v>0</v>
      </c>
      <c r="G164" s="1">
        <v>1153.7639999999999</v>
      </c>
      <c r="H164" s="1">
        <v>0</v>
      </c>
      <c r="I164" s="1">
        <v>273.61</v>
      </c>
    </row>
    <row r="165" spans="1:9" hidden="1" x14ac:dyDescent="0.25">
      <c r="A165" s="1" t="s">
        <v>126</v>
      </c>
      <c r="B165" s="1" t="s">
        <v>7</v>
      </c>
      <c r="C165" s="1" t="s">
        <v>3</v>
      </c>
      <c r="D165" s="1">
        <v>0</v>
      </c>
      <c r="E165" s="1">
        <v>174.68</v>
      </c>
      <c r="F165" s="1">
        <v>0</v>
      </c>
      <c r="G165" s="1">
        <v>1153.7639999999999</v>
      </c>
      <c r="H165" s="1">
        <v>0</v>
      </c>
      <c r="I165" s="1">
        <v>799.25400000000002</v>
      </c>
    </row>
    <row r="166" spans="1:9" hidden="1" x14ac:dyDescent="0.25">
      <c r="A166" s="1" t="s">
        <v>127</v>
      </c>
      <c r="B166" s="1" t="s">
        <v>7</v>
      </c>
      <c r="C166" s="1" t="s">
        <v>143</v>
      </c>
      <c r="D166" s="1">
        <v>0</v>
      </c>
      <c r="E166" s="1">
        <v>243.05</v>
      </c>
      <c r="F166" s="1">
        <v>0</v>
      </c>
      <c r="G166" s="1">
        <v>1607.0250000000001</v>
      </c>
      <c r="H166" s="1">
        <v>0</v>
      </c>
      <c r="I166" s="1">
        <v>799.25400000000002</v>
      </c>
    </row>
    <row r="167" spans="1:9" hidden="1" x14ac:dyDescent="0.25">
      <c r="A167" s="1" t="s">
        <v>127</v>
      </c>
      <c r="B167" s="1" t="s">
        <v>7</v>
      </c>
      <c r="C167" s="1" t="s">
        <v>3</v>
      </c>
      <c r="D167" s="1">
        <v>0</v>
      </c>
      <c r="E167" s="1">
        <v>243.05</v>
      </c>
      <c r="F167" s="1">
        <v>0</v>
      </c>
      <c r="G167" s="1">
        <v>1607.0250000000001</v>
      </c>
      <c r="H167" s="1">
        <v>0</v>
      </c>
      <c r="I167" s="1">
        <v>1531.492</v>
      </c>
    </row>
    <row r="168" spans="1:9" hidden="1" x14ac:dyDescent="0.25">
      <c r="A168" s="1" t="s">
        <v>9</v>
      </c>
      <c r="B168" s="1" t="s">
        <v>7</v>
      </c>
      <c r="C168" s="1" t="s">
        <v>143</v>
      </c>
      <c r="D168" s="1">
        <v>0</v>
      </c>
      <c r="E168" s="1">
        <v>289.55</v>
      </c>
      <c r="F168" s="1">
        <v>0</v>
      </c>
      <c r="G168" s="1">
        <v>1916.9390000000001</v>
      </c>
      <c r="H168" s="1">
        <v>0</v>
      </c>
      <c r="I168" s="1">
        <v>1531.492</v>
      </c>
    </row>
    <row r="169" spans="1:9" x14ac:dyDescent="0.25">
      <c r="A169" s="1" t="s">
        <v>9</v>
      </c>
      <c r="B169" s="1" t="s">
        <v>7</v>
      </c>
      <c r="C169" s="1" t="s">
        <v>3</v>
      </c>
      <c r="D169" s="1">
        <v>0</v>
      </c>
      <c r="E169" s="1">
        <v>289.55</v>
      </c>
      <c r="F169" s="1">
        <v>0</v>
      </c>
      <c r="G169" s="1">
        <v>1916.9390000000001</v>
      </c>
      <c r="H169" s="1">
        <v>0</v>
      </c>
      <c r="I169" s="1">
        <v>2412.3420000000001</v>
      </c>
    </row>
    <row r="170" spans="1:9" hidden="1" x14ac:dyDescent="0.25">
      <c r="A170" s="1" t="s">
        <v>10</v>
      </c>
      <c r="B170" s="1" t="s">
        <v>7</v>
      </c>
      <c r="C170" s="1" t="s">
        <v>143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</row>
    <row r="171" spans="1:9" hidden="1" x14ac:dyDescent="0.25">
      <c r="A171" s="1" t="s">
        <v>10</v>
      </c>
      <c r="B171" s="1" t="s">
        <v>7</v>
      </c>
      <c r="C171" s="1" t="s">
        <v>3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</row>
    <row r="172" spans="1:9" hidden="1" x14ac:dyDescent="0.25">
      <c r="A172" s="1" t="s">
        <v>125</v>
      </c>
      <c r="B172" s="1" t="s">
        <v>157</v>
      </c>
      <c r="C172" s="1" t="s">
        <v>143</v>
      </c>
      <c r="D172" s="1">
        <v>0</v>
      </c>
      <c r="E172" s="1">
        <v>-90.93</v>
      </c>
      <c r="F172" s="1">
        <v>0</v>
      </c>
      <c r="G172" s="1">
        <v>-600.15700000000004</v>
      </c>
      <c r="H172" s="1">
        <v>0</v>
      </c>
      <c r="I172" s="1">
        <v>0</v>
      </c>
    </row>
    <row r="173" spans="1:9" hidden="1" x14ac:dyDescent="0.25">
      <c r="A173" s="1" t="s">
        <v>125</v>
      </c>
      <c r="B173" s="1" t="s">
        <v>157</v>
      </c>
      <c r="C173" s="1" t="s">
        <v>3</v>
      </c>
      <c r="D173" s="1">
        <v>0</v>
      </c>
      <c r="E173" s="1">
        <v>-90.93</v>
      </c>
      <c r="F173" s="1">
        <v>0</v>
      </c>
      <c r="G173" s="1">
        <v>-600.15700000000004</v>
      </c>
      <c r="H173" s="1">
        <v>0</v>
      </c>
      <c r="I173" s="1">
        <v>-273.61</v>
      </c>
    </row>
    <row r="174" spans="1:9" hidden="1" x14ac:dyDescent="0.25">
      <c r="A174" s="1" t="s">
        <v>126</v>
      </c>
      <c r="B174" s="1" t="s">
        <v>157</v>
      </c>
      <c r="C174" s="1" t="s">
        <v>143</v>
      </c>
      <c r="D174" s="1">
        <v>0</v>
      </c>
      <c r="E174" s="1">
        <v>-174.68</v>
      </c>
      <c r="F174" s="1">
        <v>0</v>
      </c>
      <c r="G174" s="1">
        <v>-1153.7639999999999</v>
      </c>
      <c r="H174" s="1">
        <v>0</v>
      </c>
      <c r="I174" s="1">
        <v>-273.61</v>
      </c>
    </row>
    <row r="175" spans="1:9" hidden="1" x14ac:dyDescent="0.25">
      <c r="A175" s="1" t="s">
        <v>126</v>
      </c>
      <c r="B175" s="1" t="s">
        <v>157</v>
      </c>
      <c r="C175" s="1" t="s">
        <v>3</v>
      </c>
      <c r="D175" s="1">
        <v>0</v>
      </c>
      <c r="E175" s="1">
        <v>-174.68</v>
      </c>
      <c r="F175" s="1">
        <v>0</v>
      </c>
      <c r="G175" s="1">
        <v>-1153.7639999999999</v>
      </c>
      <c r="H175" s="1">
        <v>0</v>
      </c>
      <c r="I175" s="1">
        <v>-799.25400000000002</v>
      </c>
    </row>
    <row r="176" spans="1:9" hidden="1" x14ac:dyDescent="0.25">
      <c r="A176" s="1" t="s">
        <v>127</v>
      </c>
      <c r="B176" s="1" t="s">
        <v>157</v>
      </c>
      <c r="C176" s="1" t="s">
        <v>143</v>
      </c>
      <c r="D176" s="1">
        <v>0</v>
      </c>
      <c r="E176" s="1">
        <v>-243.05</v>
      </c>
      <c r="F176" s="1">
        <v>0</v>
      </c>
      <c r="G176" s="1">
        <v>-1607.0250000000001</v>
      </c>
      <c r="H176" s="1">
        <v>0</v>
      </c>
      <c r="I176" s="1">
        <v>-799.25400000000002</v>
      </c>
    </row>
    <row r="177" spans="1:9" hidden="1" x14ac:dyDescent="0.25">
      <c r="A177" s="1" t="s">
        <v>127</v>
      </c>
      <c r="B177" s="1" t="s">
        <v>157</v>
      </c>
      <c r="C177" s="1" t="s">
        <v>3</v>
      </c>
      <c r="D177" s="1">
        <v>0</v>
      </c>
      <c r="E177" s="1">
        <v>-243.05</v>
      </c>
      <c r="F177" s="1">
        <v>0</v>
      </c>
      <c r="G177" s="1">
        <v>-1607.0250000000001</v>
      </c>
      <c r="H177" s="1">
        <v>0</v>
      </c>
      <c r="I177" s="1">
        <v>-1531.492</v>
      </c>
    </row>
    <row r="178" spans="1:9" hidden="1" x14ac:dyDescent="0.25">
      <c r="A178" s="1" t="s">
        <v>9</v>
      </c>
      <c r="B178" s="1" t="s">
        <v>157</v>
      </c>
      <c r="C178" s="1" t="s">
        <v>143</v>
      </c>
      <c r="D178" s="1">
        <v>0</v>
      </c>
      <c r="E178" s="1">
        <v>-289.55</v>
      </c>
      <c r="F178" s="1">
        <v>0</v>
      </c>
      <c r="G178" s="1">
        <v>-1916.9390000000001</v>
      </c>
      <c r="H178" s="1">
        <v>0</v>
      </c>
      <c r="I178" s="1">
        <v>-1531.492</v>
      </c>
    </row>
    <row r="179" spans="1:9" hidden="1" x14ac:dyDescent="0.25">
      <c r="A179" s="1" t="s">
        <v>9</v>
      </c>
      <c r="B179" s="1" t="s">
        <v>157</v>
      </c>
      <c r="C179" s="1" t="s">
        <v>3</v>
      </c>
      <c r="D179" s="1">
        <v>0</v>
      </c>
      <c r="E179" s="1">
        <v>-289.55</v>
      </c>
      <c r="F179" s="1">
        <v>0</v>
      </c>
      <c r="G179" s="1">
        <v>-1916.9390000000001</v>
      </c>
      <c r="H179" s="1">
        <v>0</v>
      </c>
      <c r="I179" s="1">
        <v>-2412.3420000000001</v>
      </c>
    </row>
    <row r="180" spans="1:9" hidden="1" x14ac:dyDescent="0.25">
      <c r="A180" s="1" t="s">
        <v>10</v>
      </c>
      <c r="B180" s="1" t="s">
        <v>157</v>
      </c>
      <c r="C180" s="1" t="s">
        <v>143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</row>
    <row r="181" spans="1:9" hidden="1" x14ac:dyDescent="0.25">
      <c r="A181" s="1" t="s">
        <v>10</v>
      </c>
      <c r="B181" s="1" t="s">
        <v>157</v>
      </c>
      <c r="C181" s="1" t="s">
        <v>3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</row>
    <row r="182" spans="1:9" hidden="1" x14ac:dyDescent="0.25">
      <c r="A182" s="1" t="s">
        <v>125</v>
      </c>
      <c r="B182" s="1" t="s">
        <v>8</v>
      </c>
      <c r="C182" s="1" t="s">
        <v>143</v>
      </c>
      <c r="D182" s="1">
        <v>0</v>
      </c>
      <c r="E182" s="1">
        <v>0</v>
      </c>
      <c r="F182" s="1">
        <v>83.36</v>
      </c>
      <c r="G182" s="1">
        <v>550.14400000000001</v>
      </c>
      <c r="H182" s="1">
        <v>0</v>
      </c>
      <c r="I182" s="1">
        <v>0</v>
      </c>
    </row>
    <row r="183" spans="1:9" hidden="1" x14ac:dyDescent="0.25">
      <c r="A183" s="1" t="s">
        <v>125</v>
      </c>
      <c r="B183" s="1" t="s">
        <v>8</v>
      </c>
      <c r="C183" s="1" t="s">
        <v>3</v>
      </c>
      <c r="D183" s="1">
        <v>0</v>
      </c>
      <c r="E183" s="1">
        <v>0</v>
      </c>
      <c r="F183" s="1">
        <v>83.36</v>
      </c>
      <c r="G183" s="1">
        <v>550.14400000000001</v>
      </c>
      <c r="H183" s="1">
        <v>250.809</v>
      </c>
      <c r="I183" s="1">
        <v>0</v>
      </c>
    </row>
    <row r="184" spans="1:9" hidden="1" x14ac:dyDescent="0.25">
      <c r="A184" s="1" t="s">
        <v>126</v>
      </c>
      <c r="B184" s="1" t="s">
        <v>8</v>
      </c>
      <c r="C184" s="1" t="s">
        <v>143</v>
      </c>
      <c r="D184" s="1">
        <v>0</v>
      </c>
      <c r="E184" s="1">
        <v>0</v>
      </c>
      <c r="F184" s="1">
        <v>160.13</v>
      </c>
      <c r="G184" s="1">
        <v>1057.617</v>
      </c>
      <c r="H184" s="1">
        <v>250.809</v>
      </c>
      <c r="I184" s="1">
        <v>0</v>
      </c>
    </row>
    <row r="185" spans="1:9" hidden="1" x14ac:dyDescent="0.25">
      <c r="A185" s="1" t="s">
        <v>126</v>
      </c>
      <c r="B185" s="1" t="s">
        <v>8</v>
      </c>
      <c r="C185" s="1" t="s">
        <v>3</v>
      </c>
      <c r="D185" s="1">
        <v>0</v>
      </c>
      <c r="E185" s="1">
        <v>0</v>
      </c>
      <c r="F185" s="1">
        <v>160.13</v>
      </c>
      <c r="G185" s="1">
        <v>1057.617</v>
      </c>
      <c r="H185" s="1">
        <v>732.65</v>
      </c>
      <c r="I185" s="1">
        <v>0</v>
      </c>
    </row>
    <row r="186" spans="1:9" hidden="1" x14ac:dyDescent="0.25">
      <c r="A186" s="1" t="s">
        <v>127</v>
      </c>
      <c r="B186" s="1" t="s">
        <v>8</v>
      </c>
      <c r="C186" s="1" t="s">
        <v>143</v>
      </c>
      <c r="D186" s="1">
        <v>0</v>
      </c>
      <c r="E186" s="1">
        <v>0</v>
      </c>
      <c r="F186" s="1">
        <v>222.8</v>
      </c>
      <c r="G186" s="1">
        <v>1473.106</v>
      </c>
      <c r="H186" s="1">
        <v>732.65</v>
      </c>
      <c r="I186" s="1">
        <v>0</v>
      </c>
    </row>
    <row r="187" spans="1:9" hidden="1" x14ac:dyDescent="0.25">
      <c r="A187" s="1" t="s">
        <v>127</v>
      </c>
      <c r="B187" s="1" t="s">
        <v>8</v>
      </c>
      <c r="C187" s="1" t="s">
        <v>3</v>
      </c>
      <c r="D187" s="1">
        <v>0</v>
      </c>
      <c r="E187" s="1">
        <v>0</v>
      </c>
      <c r="F187" s="1">
        <v>222.8</v>
      </c>
      <c r="G187" s="1">
        <v>1473.106</v>
      </c>
      <c r="H187" s="1">
        <v>1403.867</v>
      </c>
      <c r="I187" s="1">
        <v>0</v>
      </c>
    </row>
    <row r="188" spans="1:9" hidden="1" x14ac:dyDescent="0.25">
      <c r="A188" s="1" t="s">
        <v>9</v>
      </c>
      <c r="B188" s="1" t="s">
        <v>8</v>
      </c>
      <c r="C188" s="1" t="s">
        <v>143</v>
      </c>
      <c r="D188" s="1">
        <v>0</v>
      </c>
      <c r="E188" s="1">
        <v>0</v>
      </c>
      <c r="F188" s="1">
        <v>265.42</v>
      </c>
      <c r="G188" s="1">
        <v>1757.194</v>
      </c>
      <c r="H188" s="1">
        <v>1403.867</v>
      </c>
      <c r="I188" s="1">
        <v>0</v>
      </c>
    </row>
    <row r="189" spans="1:9" x14ac:dyDescent="0.25">
      <c r="A189" s="1" t="s">
        <v>9</v>
      </c>
      <c r="B189" s="1" t="s">
        <v>8</v>
      </c>
      <c r="C189" s="1" t="s">
        <v>3</v>
      </c>
      <c r="D189" s="1">
        <v>0</v>
      </c>
      <c r="E189" s="1">
        <v>0</v>
      </c>
      <c r="F189" s="1">
        <v>265.42</v>
      </c>
      <c r="G189" s="1">
        <v>1757.194</v>
      </c>
      <c r="H189" s="1">
        <v>2211.3139999999999</v>
      </c>
      <c r="I189" s="1">
        <v>0</v>
      </c>
    </row>
    <row r="190" spans="1:9" hidden="1" x14ac:dyDescent="0.25">
      <c r="A190" s="1" t="s">
        <v>10</v>
      </c>
      <c r="B190" s="1" t="s">
        <v>8</v>
      </c>
      <c r="C190" s="1" t="s">
        <v>143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</row>
    <row r="191" spans="1:9" hidden="1" x14ac:dyDescent="0.25">
      <c r="A191" s="1" t="s">
        <v>10</v>
      </c>
      <c r="B191" s="1" t="s">
        <v>8</v>
      </c>
      <c r="C191" s="1" t="s">
        <v>3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</row>
    <row r="192" spans="1:9" hidden="1" x14ac:dyDescent="0.25">
      <c r="A192" s="1" t="s">
        <v>125</v>
      </c>
      <c r="B192" s="1" t="s">
        <v>158</v>
      </c>
      <c r="C192" s="1" t="s">
        <v>143</v>
      </c>
      <c r="D192" s="1">
        <v>0</v>
      </c>
      <c r="E192" s="1">
        <v>0</v>
      </c>
      <c r="F192" s="1">
        <v>-83.36</v>
      </c>
      <c r="G192" s="1">
        <v>-550.14400000000001</v>
      </c>
      <c r="H192" s="1">
        <v>0</v>
      </c>
      <c r="I192" s="1">
        <v>0</v>
      </c>
    </row>
    <row r="193" spans="1:9" hidden="1" x14ac:dyDescent="0.25">
      <c r="A193" s="1" t="s">
        <v>125</v>
      </c>
      <c r="B193" s="1" t="s">
        <v>158</v>
      </c>
      <c r="C193" s="1" t="s">
        <v>3</v>
      </c>
      <c r="D193" s="1">
        <v>0</v>
      </c>
      <c r="E193" s="1">
        <v>0</v>
      </c>
      <c r="F193" s="1">
        <v>-83.36</v>
      </c>
      <c r="G193" s="1">
        <v>-550.14400000000001</v>
      </c>
      <c r="H193" s="1">
        <v>-250.809</v>
      </c>
      <c r="I193" s="1">
        <v>0</v>
      </c>
    </row>
    <row r="194" spans="1:9" hidden="1" x14ac:dyDescent="0.25">
      <c r="A194" s="1" t="s">
        <v>126</v>
      </c>
      <c r="B194" s="1" t="s">
        <v>158</v>
      </c>
      <c r="C194" s="1" t="s">
        <v>143</v>
      </c>
      <c r="D194" s="1">
        <v>0</v>
      </c>
      <c r="E194" s="1">
        <v>0</v>
      </c>
      <c r="F194" s="1">
        <v>-160.13</v>
      </c>
      <c r="G194" s="1">
        <v>-1057.617</v>
      </c>
      <c r="H194" s="1">
        <v>-250.809</v>
      </c>
      <c r="I194" s="1">
        <v>0</v>
      </c>
    </row>
    <row r="195" spans="1:9" hidden="1" x14ac:dyDescent="0.25">
      <c r="A195" s="1" t="s">
        <v>126</v>
      </c>
      <c r="B195" s="1" t="s">
        <v>158</v>
      </c>
      <c r="C195" s="1" t="s">
        <v>3</v>
      </c>
      <c r="D195" s="1">
        <v>0</v>
      </c>
      <c r="E195" s="1">
        <v>0</v>
      </c>
      <c r="F195" s="1">
        <v>-160.13</v>
      </c>
      <c r="G195" s="1">
        <v>-1057.617</v>
      </c>
      <c r="H195" s="1">
        <v>-732.65</v>
      </c>
      <c r="I195" s="1">
        <v>0</v>
      </c>
    </row>
    <row r="196" spans="1:9" hidden="1" x14ac:dyDescent="0.25">
      <c r="A196" s="1" t="s">
        <v>127</v>
      </c>
      <c r="B196" s="1" t="s">
        <v>158</v>
      </c>
      <c r="C196" s="1" t="s">
        <v>143</v>
      </c>
      <c r="D196" s="1">
        <v>0</v>
      </c>
      <c r="E196" s="1">
        <v>0</v>
      </c>
      <c r="F196" s="1">
        <v>-222.8</v>
      </c>
      <c r="G196" s="1">
        <v>-1473.106</v>
      </c>
      <c r="H196" s="1">
        <v>-732.65</v>
      </c>
      <c r="I196" s="1">
        <v>0</v>
      </c>
    </row>
    <row r="197" spans="1:9" hidden="1" x14ac:dyDescent="0.25">
      <c r="A197" s="1" t="s">
        <v>127</v>
      </c>
      <c r="B197" s="1" t="s">
        <v>158</v>
      </c>
      <c r="C197" s="1" t="s">
        <v>3</v>
      </c>
      <c r="D197" s="1">
        <v>0</v>
      </c>
      <c r="E197" s="1">
        <v>0</v>
      </c>
      <c r="F197" s="1">
        <v>-222.8</v>
      </c>
      <c r="G197" s="1">
        <v>-1473.106</v>
      </c>
      <c r="H197" s="1">
        <v>-1403.867</v>
      </c>
      <c r="I197" s="1">
        <v>0</v>
      </c>
    </row>
    <row r="198" spans="1:9" hidden="1" x14ac:dyDescent="0.25">
      <c r="A198" s="1" t="s">
        <v>9</v>
      </c>
      <c r="B198" s="1" t="s">
        <v>158</v>
      </c>
      <c r="C198" s="1" t="s">
        <v>143</v>
      </c>
      <c r="D198" s="1">
        <v>0</v>
      </c>
      <c r="E198" s="1">
        <v>0</v>
      </c>
      <c r="F198" s="1">
        <v>-265.42</v>
      </c>
      <c r="G198" s="1">
        <v>-1757.194</v>
      </c>
      <c r="H198" s="1">
        <v>-1403.867</v>
      </c>
      <c r="I198" s="1">
        <v>0</v>
      </c>
    </row>
    <row r="199" spans="1:9" hidden="1" x14ac:dyDescent="0.25">
      <c r="A199" s="1" t="s">
        <v>9</v>
      </c>
      <c r="B199" s="1" t="s">
        <v>158</v>
      </c>
      <c r="C199" s="1" t="s">
        <v>3</v>
      </c>
      <c r="D199" s="1">
        <v>0</v>
      </c>
      <c r="E199" s="1">
        <v>0</v>
      </c>
      <c r="F199" s="1">
        <v>-265.42</v>
      </c>
      <c r="G199" s="1">
        <v>-1757.194</v>
      </c>
      <c r="H199" s="1">
        <v>-2211.3139999999999</v>
      </c>
      <c r="I199" s="1">
        <v>0</v>
      </c>
    </row>
    <row r="200" spans="1:9" hidden="1" x14ac:dyDescent="0.25">
      <c r="A200" s="1" t="s">
        <v>10</v>
      </c>
      <c r="B200" s="1" t="s">
        <v>158</v>
      </c>
      <c r="C200" s="1" t="s">
        <v>143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</row>
    <row r="201" spans="1:9" hidden="1" x14ac:dyDescent="0.25">
      <c r="A201" s="1" t="s">
        <v>10</v>
      </c>
      <c r="B201" s="1" t="s">
        <v>158</v>
      </c>
      <c r="C201" s="1" t="s">
        <v>3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</row>
    <row r="202" spans="1:9" hidden="1" x14ac:dyDescent="0.25">
      <c r="A202" s="1" t="s">
        <v>125</v>
      </c>
      <c r="B202" s="1" t="s">
        <v>159</v>
      </c>
      <c r="C202" s="1" t="s">
        <v>143</v>
      </c>
      <c r="D202" s="1">
        <v>311.89</v>
      </c>
      <c r="E202" s="1">
        <v>0</v>
      </c>
      <c r="F202" s="1">
        <v>0</v>
      </c>
      <c r="G202" s="1">
        <v>0</v>
      </c>
      <c r="H202" s="1">
        <v>1871.347</v>
      </c>
      <c r="I202" s="1">
        <v>-1871.347</v>
      </c>
    </row>
    <row r="203" spans="1:9" hidden="1" x14ac:dyDescent="0.25">
      <c r="A203" s="1" t="s">
        <v>125</v>
      </c>
      <c r="B203" s="1" t="s">
        <v>159</v>
      </c>
      <c r="C203" s="1" t="s">
        <v>3</v>
      </c>
      <c r="D203" s="1">
        <v>344.59</v>
      </c>
      <c r="E203" s="1">
        <v>0</v>
      </c>
      <c r="F203" s="1">
        <v>0</v>
      </c>
      <c r="G203" s="1">
        <v>0</v>
      </c>
      <c r="H203" s="1">
        <v>2067.5140000000001</v>
      </c>
      <c r="I203" s="1">
        <v>-2067.5140000000001</v>
      </c>
    </row>
    <row r="204" spans="1:9" hidden="1" x14ac:dyDescent="0.25">
      <c r="A204" s="1" t="s">
        <v>126</v>
      </c>
      <c r="B204" s="1" t="s">
        <v>159</v>
      </c>
      <c r="C204" s="1" t="s">
        <v>143</v>
      </c>
      <c r="D204" s="1">
        <v>656.48</v>
      </c>
      <c r="E204" s="1">
        <v>0</v>
      </c>
      <c r="F204" s="1">
        <v>0</v>
      </c>
      <c r="G204" s="1">
        <v>0</v>
      </c>
      <c r="H204" s="1">
        <v>3938.8609999999999</v>
      </c>
      <c r="I204" s="1">
        <v>-3938.8609999999999</v>
      </c>
    </row>
    <row r="205" spans="1:9" hidden="1" x14ac:dyDescent="0.25">
      <c r="A205" s="1" t="s">
        <v>126</v>
      </c>
      <c r="B205" s="1" t="s">
        <v>159</v>
      </c>
      <c r="C205" s="1" t="s">
        <v>3</v>
      </c>
      <c r="D205" s="1">
        <v>689.17</v>
      </c>
      <c r="E205" s="1">
        <v>0</v>
      </c>
      <c r="F205" s="1">
        <v>0</v>
      </c>
      <c r="G205" s="1">
        <v>0</v>
      </c>
      <c r="H205" s="1">
        <v>4135.0280000000002</v>
      </c>
      <c r="I205" s="1">
        <v>-4135.0280000000002</v>
      </c>
    </row>
    <row r="206" spans="1:9" hidden="1" x14ac:dyDescent="0.25">
      <c r="A206" s="1" t="s">
        <v>127</v>
      </c>
      <c r="B206" s="1" t="s">
        <v>159</v>
      </c>
      <c r="C206" s="1" t="s">
        <v>143</v>
      </c>
      <c r="D206" s="1">
        <v>1001.06</v>
      </c>
      <c r="E206" s="1">
        <v>0</v>
      </c>
      <c r="F206" s="1">
        <v>0</v>
      </c>
      <c r="G206" s="1">
        <v>0</v>
      </c>
      <c r="H206" s="1">
        <v>6006.375</v>
      </c>
      <c r="I206" s="1">
        <v>-6006.375</v>
      </c>
    </row>
    <row r="207" spans="1:9" hidden="1" x14ac:dyDescent="0.25">
      <c r="A207" s="1" t="s">
        <v>127</v>
      </c>
      <c r="B207" s="1" t="s">
        <v>159</v>
      </c>
      <c r="C207" s="1" t="s">
        <v>3</v>
      </c>
      <c r="D207" s="1">
        <v>1033.76</v>
      </c>
      <c r="E207" s="1">
        <v>0</v>
      </c>
      <c r="F207" s="1">
        <v>0</v>
      </c>
      <c r="G207" s="1">
        <v>0</v>
      </c>
      <c r="H207" s="1">
        <v>6202.5429999999997</v>
      </c>
      <c r="I207" s="1">
        <v>-6202.5429999999997</v>
      </c>
    </row>
    <row r="208" spans="1:9" hidden="1" x14ac:dyDescent="0.25">
      <c r="A208" s="1" t="s">
        <v>9</v>
      </c>
      <c r="B208" s="1" t="s">
        <v>159</v>
      </c>
      <c r="C208" s="1" t="s">
        <v>143</v>
      </c>
      <c r="D208" s="1">
        <v>1345.65</v>
      </c>
      <c r="E208" s="1">
        <v>0</v>
      </c>
      <c r="F208" s="1">
        <v>0</v>
      </c>
      <c r="G208" s="1">
        <v>0</v>
      </c>
      <c r="H208" s="1">
        <v>8073.8890000000001</v>
      </c>
      <c r="I208" s="1">
        <v>-8073.8890000000001</v>
      </c>
    </row>
    <row r="209" spans="1:9" hidden="1" x14ac:dyDescent="0.25">
      <c r="A209" s="1" t="s">
        <v>9</v>
      </c>
      <c r="B209" s="1" t="s">
        <v>159</v>
      </c>
      <c r="C209" s="1" t="s">
        <v>3</v>
      </c>
      <c r="D209" s="1">
        <v>1378.34</v>
      </c>
      <c r="E209" s="1">
        <v>0</v>
      </c>
      <c r="F209" s="1">
        <v>0</v>
      </c>
      <c r="G209" s="1">
        <v>0</v>
      </c>
      <c r="H209" s="1">
        <v>8270.0570000000007</v>
      </c>
      <c r="I209" s="1">
        <v>-8270.0570000000007</v>
      </c>
    </row>
    <row r="210" spans="1:9" hidden="1" x14ac:dyDescent="0.25">
      <c r="A210" s="1" t="s">
        <v>10</v>
      </c>
      <c r="B210" s="1" t="s">
        <v>159</v>
      </c>
      <c r="C210" s="1" t="s">
        <v>143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</row>
    <row r="211" spans="1:9" hidden="1" x14ac:dyDescent="0.25">
      <c r="A211" s="1" t="s">
        <v>10</v>
      </c>
      <c r="B211" s="1" t="s">
        <v>159</v>
      </c>
      <c r="C211" s="1" t="s">
        <v>3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</row>
    <row r="212" spans="1:9" hidden="1" x14ac:dyDescent="0.25">
      <c r="A212" s="1" t="s">
        <v>125</v>
      </c>
      <c r="B212" s="1" t="s">
        <v>160</v>
      </c>
      <c r="C212" s="1" t="s">
        <v>143</v>
      </c>
      <c r="D212" s="1">
        <v>336.46</v>
      </c>
      <c r="E212" s="1">
        <v>0</v>
      </c>
      <c r="F212" s="1">
        <v>0</v>
      </c>
      <c r="G212" s="1">
        <v>0</v>
      </c>
      <c r="H212" s="1">
        <v>2018.732</v>
      </c>
      <c r="I212" s="1">
        <v>-2018.732</v>
      </c>
    </row>
    <row r="213" spans="1:9" hidden="1" x14ac:dyDescent="0.25">
      <c r="A213" s="1" t="s">
        <v>125</v>
      </c>
      <c r="B213" s="1" t="s">
        <v>160</v>
      </c>
      <c r="C213" s="1" t="s">
        <v>3</v>
      </c>
      <c r="D213" s="1">
        <v>364.48</v>
      </c>
      <c r="E213" s="1">
        <v>0</v>
      </c>
      <c r="F213" s="1">
        <v>0</v>
      </c>
      <c r="G213" s="1">
        <v>0</v>
      </c>
      <c r="H213" s="1">
        <v>2186.875</v>
      </c>
      <c r="I213" s="1">
        <v>-2186.875</v>
      </c>
    </row>
    <row r="214" spans="1:9" hidden="1" x14ac:dyDescent="0.25">
      <c r="A214" s="1" t="s">
        <v>126</v>
      </c>
      <c r="B214" s="1" t="s">
        <v>160</v>
      </c>
      <c r="C214" s="1" t="s">
        <v>143</v>
      </c>
      <c r="D214" s="1">
        <v>700.93</v>
      </c>
      <c r="E214" s="1">
        <v>0</v>
      </c>
      <c r="F214" s="1">
        <v>0</v>
      </c>
      <c r="G214" s="1">
        <v>0</v>
      </c>
      <c r="H214" s="1">
        <v>4205.607</v>
      </c>
      <c r="I214" s="1">
        <v>-4205.607</v>
      </c>
    </row>
    <row r="215" spans="1:9" hidden="1" x14ac:dyDescent="0.25">
      <c r="A215" s="1" t="s">
        <v>126</v>
      </c>
      <c r="B215" s="1" t="s">
        <v>160</v>
      </c>
      <c r="C215" s="1" t="s">
        <v>3</v>
      </c>
      <c r="D215" s="1">
        <v>728.96</v>
      </c>
      <c r="E215" s="1">
        <v>0</v>
      </c>
      <c r="F215" s="1">
        <v>0</v>
      </c>
      <c r="G215" s="1">
        <v>0</v>
      </c>
      <c r="H215" s="1">
        <v>4373.75</v>
      </c>
      <c r="I215" s="1">
        <v>-4373.75</v>
      </c>
    </row>
    <row r="216" spans="1:9" hidden="1" x14ac:dyDescent="0.25">
      <c r="A216" s="1" t="s">
        <v>127</v>
      </c>
      <c r="B216" s="1" t="s">
        <v>160</v>
      </c>
      <c r="C216" s="1" t="s">
        <v>143</v>
      </c>
      <c r="D216" s="1">
        <v>1065.4100000000001</v>
      </c>
      <c r="E216" s="1">
        <v>0</v>
      </c>
      <c r="F216" s="1">
        <v>0</v>
      </c>
      <c r="G216" s="1">
        <v>0</v>
      </c>
      <c r="H216" s="1">
        <v>6392.482</v>
      </c>
      <c r="I216" s="1">
        <v>-6392.482</v>
      </c>
    </row>
    <row r="217" spans="1:9" hidden="1" x14ac:dyDescent="0.25">
      <c r="A217" s="1" t="s">
        <v>127</v>
      </c>
      <c r="B217" s="1" t="s">
        <v>160</v>
      </c>
      <c r="C217" s="1" t="s">
        <v>3</v>
      </c>
      <c r="D217" s="1">
        <v>1093.44</v>
      </c>
      <c r="E217" s="1">
        <v>0</v>
      </c>
      <c r="F217" s="1">
        <v>0</v>
      </c>
      <c r="G217" s="1">
        <v>0</v>
      </c>
      <c r="H217" s="1">
        <v>6560.625</v>
      </c>
      <c r="I217" s="1">
        <v>-6560.625</v>
      </c>
    </row>
    <row r="218" spans="1:9" hidden="1" x14ac:dyDescent="0.25">
      <c r="A218" s="1" t="s">
        <v>9</v>
      </c>
      <c r="B218" s="1" t="s">
        <v>160</v>
      </c>
      <c r="C218" s="1" t="s">
        <v>143</v>
      </c>
      <c r="D218" s="1">
        <v>1429.89</v>
      </c>
      <c r="E218" s="1">
        <v>0</v>
      </c>
      <c r="F218" s="1">
        <v>0</v>
      </c>
      <c r="G218" s="1">
        <v>0</v>
      </c>
      <c r="H218" s="1">
        <v>8579.357</v>
      </c>
      <c r="I218" s="1">
        <v>-8579.357</v>
      </c>
    </row>
    <row r="219" spans="1:9" hidden="1" x14ac:dyDescent="0.25">
      <c r="A219" s="1" t="s">
        <v>9</v>
      </c>
      <c r="B219" s="1" t="s">
        <v>160</v>
      </c>
      <c r="C219" s="1" t="s">
        <v>3</v>
      </c>
      <c r="D219" s="1">
        <v>1457.92</v>
      </c>
      <c r="E219" s="1">
        <v>0</v>
      </c>
      <c r="F219" s="1">
        <v>0</v>
      </c>
      <c r="G219" s="1">
        <v>0</v>
      </c>
      <c r="H219" s="1">
        <v>8747.5</v>
      </c>
      <c r="I219" s="1">
        <v>-8747.5</v>
      </c>
    </row>
    <row r="220" spans="1:9" hidden="1" x14ac:dyDescent="0.25">
      <c r="A220" s="1" t="s">
        <v>10</v>
      </c>
      <c r="B220" s="1" t="s">
        <v>160</v>
      </c>
      <c r="C220" s="1" t="s">
        <v>143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</row>
    <row r="221" spans="1:9" hidden="1" x14ac:dyDescent="0.25">
      <c r="A221" s="1" t="s">
        <v>10</v>
      </c>
      <c r="B221" s="1" t="s">
        <v>160</v>
      </c>
      <c r="C221" s="1" t="s">
        <v>3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</row>
    <row r="222" spans="1:9" hidden="1" x14ac:dyDescent="0.25">
      <c r="A222" s="1" t="s">
        <v>125</v>
      </c>
      <c r="B222" s="1" t="s">
        <v>161</v>
      </c>
      <c r="C222" s="1" t="s">
        <v>143</v>
      </c>
      <c r="D222" s="1">
        <v>288.94</v>
      </c>
      <c r="E222" s="1">
        <v>0</v>
      </c>
      <c r="F222" s="1">
        <v>0</v>
      </c>
      <c r="G222" s="1">
        <v>0</v>
      </c>
      <c r="H222" s="1">
        <v>1733.6120000000001</v>
      </c>
      <c r="I222" s="1">
        <v>-1733.6120000000001</v>
      </c>
    </row>
    <row r="223" spans="1:9" hidden="1" x14ac:dyDescent="0.25">
      <c r="A223" s="1" t="s">
        <v>125</v>
      </c>
      <c r="B223" s="1" t="s">
        <v>161</v>
      </c>
      <c r="C223" s="1" t="s">
        <v>3</v>
      </c>
      <c r="D223" s="1">
        <v>316.95999999999998</v>
      </c>
      <c r="E223" s="1">
        <v>0</v>
      </c>
      <c r="F223" s="1">
        <v>0</v>
      </c>
      <c r="G223" s="1">
        <v>0</v>
      </c>
      <c r="H223" s="1">
        <v>1901.7550000000001</v>
      </c>
      <c r="I223" s="1">
        <v>-1901.7550000000001</v>
      </c>
    </row>
    <row r="224" spans="1:9" hidden="1" x14ac:dyDescent="0.25">
      <c r="A224" s="1" t="s">
        <v>126</v>
      </c>
      <c r="B224" s="1" t="s">
        <v>161</v>
      </c>
      <c r="C224" s="1" t="s">
        <v>143</v>
      </c>
      <c r="D224" s="1">
        <v>605.89</v>
      </c>
      <c r="E224" s="1">
        <v>0</v>
      </c>
      <c r="F224" s="1">
        <v>0</v>
      </c>
      <c r="G224" s="1">
        <v>0</v>
      </c>
      <c r="H224" s="1">
        <v>3635.3670000000002</v>
      </c>
      <c r="I224" s="1">
        <v>-3635.3670000000002</v>
      </c>
    </row>
    <row r="225" spans="1:9" hidden="1" x14ac:dyDescent="0.25">
      <c r="A225" s="1" t="s">
        <v>126</v>
      </c>
      <c r="B225" s="1" t="s">
        <v>161</v>
      </c>
      <c r="C225" s="1" t="s">
        <v>3</v>
      </c>
      <c r="D225" s="1">
        <v>633.91999999999996</v>
      </c>
      <c r="E225" s="1">
        <v>0</v>
      </c>
      <c r="F225" s="1">
        <v>0</v>
      </c>
      <c r="G225" s="1">
        <v>0</v>
      </c>
      <c r="H225" s="1">
        <v>3803.51</v>
      </c>
      <c r="I225" s="1">
        <v>-3803.51</v>
      </c>
    </row>
    <row r="226" spans="1:9" hidden="1" x14ac:dyDescent="0.25">
      <c r="A226" s="1" t="s">
        <v>127</v>
      </c>
      <c r="B226" s="1" t="s">
        <v>161</v>
      </c>
      <c r="C226" s="1" t="s">
        <v>143</v>
      </c>
      <c r="D226" s="1">
        <v>922.85</v>
      </c>
      <c r="E226" s="1">
        <v>0</v>
      </c>
      <c r="F226" s="1">
        <v>0</v>
      </c>
      <c r="G226" s="1">
        <v>0</v>
      </c>
      <c r="H226" s="1">
        <v>5537.1220000000003</v>
      </c>
      <c r="I226" s="1">
        <v>-5537.1220000000003</v>
      </c>
    </row>
    <row r="227" spans="1:9" hidden="1" x14ac:dyDescent="0.25">
      <c r="A227" s="1" t="s">
        <v>127</v>
      </c>
      <c r="B227" s="1" t="s">
        <v>161</v>
      </c>
      <c r="C227" s="1" t="s">
        <v>3</v>
      </c>
      <c r="D227" s="1">
        <v>950.88</v>
      </c>
      <c r="E227" s="1">
        <v>0</v>
      </c>
      <c r="F227" s="1">
        <v>0</v>
      </c>
      <c r="G227" s="1">
        <v>0</v>
      </c>
      <c r="H227" s="1">
        <v>5705.2650000000003</v>
      </c>
      <c r="I227" s="1">
        <v>-5705.2650000000003</v>
      </c>
    </row>
    <row r="228" spans="1:9" hidden="1" x14ac:dyDescent="0.25">
      <c r="A228" s="1" t="s">
        <v>9</v>
      </c>
      <c r="B228" s="1" t="s">
        <v>161</v>
      </c>
      <c r="C228" s="1" t="s">
        <v>143</v>
      </c>
      <c r="D228" s="1">
        <v>1239.81</v>
      </c>
      <c r="E228" s="1">
        <v>0</v>
      </c>
      <c r="F228" s="1">
        <v>0</v>
      </c>
      <c r="G228" s="1">
        <v>0</v>
      </c>
      <c r="H228" s="1">
        <v>7438.8770000000004</v>
      </c>
      <c r="I228" s="1">
        <v>-7438.8770000000004</v>
      </c>
    </row>
    <row r="229" spans="1:9" hidden="1" x14ac:dyDescent="0.25">
      <c r="A229" s="1" t="s">
        <v>9</v>
      </c>
      <c r="B229" s="1" t="s">
        <v>161</v>
      </c>
      <c r="C229" s="1" t="s">
        <v>3</v>
      </c>
      <c r="D229" s="1">
        <v>1267.8399999999999</v>
      </c>
      <c r="E229" s="1">
        <v>0</v>
      </c>
      <c r="F229" s="1">
        <v>0</v>
      </c>
      <c r="G229" s="1">
        <v>0</v>
      </c>
      <c r="H229" s="1">
        <v>7607.02</v>
      </c>
      <c r="I229" s="1">
        <v>-7607.02</v>
      </c>
    </row>
    <row r="230" spans="1:9" hidden="1" x14ac:dyDescent="0.25">
      <c r="A230" s="1" t="s">
        <v>10</v>
      </c>
      <c r="B230" s="1" t="s">
        <v>161</v>
      </c>
      <c r="C230" s="1" t="s">
        <v>143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</row>
    <row r="231" spans="1:9" hidden="1" x14ac:dyDescent="0.25">
      <c r="A231" s="1" t="s">
        <v>10</v>
      </c>
      <c r="B231" s="1" t="s">
        <v>161</v>
      </c>
      <c r="C231" s="1" t="s">
        <v>3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</row>
    <row r="232" spans="1:9" hidden="1" x14ac:dyDescent="0.25">
      <c r="A232" s="1" t="s">
        <v>125</v>
      </c>
      <c r="B232" s="1" t="s">
        <v>162</v>
      </c>
      <c r="C232" s="1" t="s">
        <v>143</v>
      </c>
      <c r="D232" s="1">
        <v>298.95999999999998</v>
      </c>
      <c r="E232" s="1">
        <v>-99.4</v>
      </c>
      <c r="F232" s="1">
        <v>0</v>
      </c>
      <c r="G232" s="1">
        <v>656.06299999999999</v>
      </c>
      <c r="H232" s="1">
        <v>1793.7619999999999</v>
      </c>
      <c r="I232" s="1">
        <v>-1793.7619999999999</v>
      </c>
    </row>
    <row r="233" spans="1:9" hidden="1" x14ac:dyDescent="0.25">
      <c r="A233" s="1" t="s">
        <v>125</v>
      </c>
      <c r="B233" s="1" t="s">
        <v>162</v>
      </c>
      <c r="C233" s="1" t="s">
        <v>3</v>
      </c>
      <c r="D233" s="1">
        <v>328.04</v>
      </c>
      <c r="E233" s="1">
        <v>-99.4</v>
      </c>
      <c r="F233" s="1">
        <v>0</v>
      </c>
      <c r="G233" s="1">
        <v>656.06299999999999</v>
      </c>
      <c r="H233" s="1">
        <v>1968.211</v>
      </c>
      <c r="I233" s="1">
        <v>-2267.277</v>
      </c>
    </row>
    <row r="234" spans="1:9" hidden="1" x14ac:dyDescent="0.25">
      <c r="A234" s="1" t="s">
        <v>126</v>
      </c>
      <c r="B234" s="1" t="s">
        <v>162</v>
      </c>
      <c r="C234" s="1" t="s">
        <v>143</v>
      </c>
      <c r="D234" s="1">
        <v>627</v>
      </c>
      <c r="E234" s="1">
        <v>-177.77</v>
      </c>
      <c r="F234" s="1">
        <v>0</v>
      </c>
      <c r="G234" s="1">
        <v>1173.2660000000001</v>
      </c>
      <c r="H234" s="1">
        <v>3761.973</v>
      </c>
      <c r="I234" s="1">
        <v>-4061.0390000000002</v>
      </c>
    </row>
    <row r="235" spans="1:9" hidden="1" x14ac:dyDescent="0.25">
      <c r="A235" s="1" t="s">
        <v>126</v>
      </c>
      <c r="B235" s="1" t="s">
        <v>162</v>
      </c>
      <c r="C235" s="1" t="s">
        <v>3</v>
      </c>
      <c r="D235" s="1">
        <v>656.07</v>
      </c>
      <c r="E235" s="1">
        <v>-177.77</v>
      </c>
      <c r="F235" s="1">
        <v>0</v>
      </c>
      <c r="G235" s="1">
        <v>1173.2660000000001</v>
      </c>
      <c r="H235" s="1">
        <v>3936.422</v>
      </c>
      <c r="I235" s="1">
        <v>-4771.7290000000003</v>
      </c>
    </row>
    <row r="236" spans="1:9" hidden="1" x14ac:dyDescent="0.25">
      <c r="A236" s="1" t="s">
        <v>127</v>
      </c>
      <c r="B236" s="1" t="s">
        <v>162</v>
      </c>
      <c r="C236" s="1" t="s">
        <v>143</v>
      </c>
      <c r="D236" s="1">
        <v>955.03</v>
      </c>
      <c r="E236" s="1">
        <v>-230.01</v>
      </c>
      <c r="F236" s="1">
        <v>0</v>
      </c>
      <c r="G236" s="1">
        <v>1518.068</v>
      </c>
      <c r="H236" s="1">
        <v>5730.1840000000002</v>
      </c>
      <c r="I236" s="1">
        <v>-6565.491</v>
      </c>
    </row>
    <row r="237" spans="1:9" hidden="1" x14ac:dyDescent="0.25">
      <c r="A237" s="1" t="s">
        <v>127</v>
      </c>
      <c r="B237" s="1" t="s">
        <v>162</v>
      </c>
      <c r="C237" s="1" t="s">
        <v>3</v>
      </c>
      <c r="D237" s="1">
        <v>984.11</v>
      </c>
      <c r="E237" s="1">
        <v>-230.01</v>
      </c>
      <c r="F237" s="1">
        <v>0</v>
      </c>
      <c r="G237" s="1">
        <v>1518.068</v>
      </c>
      <c r="H237" s="1">
        <v>5904.6329999999998</v>
      </c>
      <c r="I237" s="1">
        <v>-7436.4229999999998</v>
      </c>
    </row>
    <row r="238" spans="1:9" hidden="1" x14ac:dyDescent="0.25">
      <c r="A238" s="1" t="s">
        <v>9</v>
      </c>
      <c r="B238" s="1" t="s">
        <v>162</v>
      </c>
      <c r="C238" s="1" t="s">
        <v>143</v>
      </c>
      <c r="D238" s="1">
        <v>1283.07</v>
      </c>
      <c r="E238" s="1">
        <v>-256.13</v>
      </c>
      <c r="F238" s="1">
        <v>0</v>
      </c>
      <c r="G238" s="1">
        <v>1690.4690000000001</v>
      </c>
      <c r="H238" s="1">
        <v>7698.3950000000004</v>
      </c>
      <c r="I238" s="1">
        <v>-9230.1849999999995</v>
      </c>
    </row>
    <row r="239" spans="1:9" hidden="1" x14ac:dyDescent="0.25">
      <c r="A239" s="1" t="s">
        <v>9</v>
      </c>
      <c r="B239" s="1" t="s">
        <v>162</v>
      </c>
      <c r="C239" s="1" t="s">
        <v>3</v>
      </c>
      <c r="D239" s="1">
        <v>1312.14</v>
      </c>
      <c r="E239" s="1">
        <v>-256.13</v>
      </c>
      <c r="F239" s="1">
        <v>0</v>
      </c>
      <c r="G239" s="1">
        <v>1690.4690000000001</v>
      </c>
      <c r="H239" s="1">
        <v>7872.8440000000001</v>
      </c>
      <c r="I239" s="1">
        <v>-10189.349</v>
      </c>
    </row>
    <row r="240" spans="1:9" hidden="1" x14ac:dyDescent="0.25">
      <c r="A240" s="1" t="s">
        <v>10</v>
      </c>
      <c r="B240" s="1" t="s">
        <v>162</v>
      </c>
      <c r="C240" s="1" t="s">
        <v>143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</row>
    <row r="241" spans="1:9" hidden="1" x14ac:dyDescent="0.25">
      <c r="A241" s="1" t="s">
        <v>10</v>
      </c>
      <c r="B241" s="1" t="s">
        <v>162</v>
      </c>
      <c r="C241" s="1" t="s">
        <v>3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</row>
    <row r="242" spans="1:9" hidden="1" x14ac:dyDescent="0.25">
      <c r="A242" s="1" t="s">
        <v>125</v>
      </c>
      <c r="B242" s="1" t="s">
        <v>163</v>
      </c>
      <c r="C242" s="1" t="s">
        <v>143</v>
      </c>
      <c r="D242" s="1">
        <v>298.95999999999998</v>
      </c>
      <c r="E242" s="1">
        <v>-99.4</v>
      </c>
      <c r="F242" s="1">
        <v>0</v>
      </c>
      <c r="G242" s="1">
        <v>536.779</v>
      </c>
      <c r="H242" s="1">
        <v>1793.7619999999999</v>
      </c>
      <c r="I242" s="1">
        <v>-1793.7619999999999</v>
      </c>
    </row>
    <row r="243" spans="1:9" hidden="1" x14ac:dyDescent="0.25">
      <c r="A243" s="1" t="s">
        <v>125</v>
      </c>
      <c r="B243" s="1" t="s">
        <v>163</v>
      </c>
      <c r="C243" s="1" t="s">
        <v>3</v>
      </c>
      <c r="D243" s="1">
        <v>328.04</v>
      </c>
      <c r="E243" s="1">
        <v>-99.4</v>
      </c>
      <c r="F243" s="1">
        <v>0</v>
      </c>
      <c r="G243" s="1">
        <v>536.779</v>
      </c>
      <c r="H243" s="1">
        <v>1968.211</v>
      </c>
      <c r="I243" s="1">
        <v>-2267.277</v>
      </c>
    </row>
    <row r="244" spans="1:9" hidden="1" x14ac:dyDescent="0.25">
      <c r="A244" s="1" t="s">
        <v>126</v>
      </c>
      <c r="B244" s="1" t="s">
        <v>163</v>
      </c>
      <c r="C244" s="1" t="s">
        <v>143</v>
      </c>
      <c r="D244" s="1">
        <v>627</v>
      </c>
      <c r="E244" s="1">
        <v>-177.77</v>
      </c>
      <c r="F244" s="1">
        <v>0</v>
      </c>
      <c r="G244" s="1">
        <v>959.94500000000005</v>
      </c>
      <c r="H244" s="1">
        <v>3761.973</v>
      </c>
      <c r="I244" s="1">
        <v>-4061.0390000000002</v>
      </c>
    </row>
    <row r="245" spans="1:9" hidden="1" x14ac:dyDescent="0.25">
      <c r="A245" s="1" t="s">
        <v>126</v>
      </c>
      <c r="B245" s="1" t="s">
        <v>163</v>
      </c>
      <c r="C245" s="1" t="s">
        <v>3</v>
      </c>
      <c r="D245" s="1">
        <v>656.07</v>
      </c>
      <c r="E245" s="1">
        <v>-177.77</v>
      </c>
      <c r="F245" s="1">
        <v>0</v>
      </c>
      <c r="G245" s="1">
        <v>959.94500000000005</v>
      </c>
      <c r="H245" s="1">
        <v>3936.422</v>
      </c>
      <c r="I245" s="1">
        <v>-4771.7290000000003</v>
      </c>
    </row>
    <row r="246" spans="1:9" hidden="1" x14ac:dyDescent="0.25">
      <c r="A246" s="1" t="s">
        <v>127</v>
      </c>
      <c r="B246" s="1" t="s">
        <v>163</v>
      </c>
      <c r="C246" s="1" t="s">
        <v>143</v>
      </c>
      <c r="D246" s="1">
        <v>955.03</v>
      </c>
      <c r="E246" s="1">
        <v>-230.01</v>
      </c>
      <c r="F246" s="1">
        <v>0</v>
      </c>
      <c r="G246" s="1">
        <v>1242.056</v>
      </c>
      <c r="H246" s="1">
        <v>5730.1840000000002</v>
      </c>
      <c r="I246" s="1">
        <v>-6565.491</v>
      </c>
    </row>
    <row r="247" spans="1:9" hidden="1" x14ac:dyDescent="0.25">
      <c r="A247" s="1" t="s">
        <v>127</v>
      </c>
      <c r="B247" s="1" t="s">
        <v>163</v>
      </c>
      <c r="C247" s="1" t="s">
        <v>3</v>
      </c>
      <c r="D247" s="1">
        <v>984.11</v>
      </c>
      <c r="E247" s="1">
        <v>-230.01</v>
      </c>
      <c r="F247" s="1">
        <v>0</v>
      </c>
      <c r="G247" s="1">
        <v>1242.056</v>
      </c>
      <c r="H247" s="1">
        <v>5904.6329999999998</v>
      </c>
      <c r="I247" s="1">
        <v>-7436.4229999999998</v>
      </c>
    </row>
    <row r="248" spans="1:9" hidden="1" x14ac:dyDescent="0.25">
      <c r="A248" s="1" t="s">
        <v>9</v>
      </c>
      <c r="B248" s="1" t="s">
        <v>163</v>
      </c>
      <c r="C248" s="1" t="s">
        <v>143</v>
      </c>
      <c r="D248" s="1">
        <v>1283.07</v>
      </c>
      <c r="E248" s="1">
        <v>-256.13</v>
      </c>
      <c r="F248" s="1">
        <v>0</v>
      </c>
      <c r="G248" s="1">
        <v>1383.1110000000001</v>
      </c>
      <c r="H248" s="1">
        <v>7698.3950000000004</v>
      </c>
      <c r="I248" s="1">
        <v>-9230.1849999999995</v>
      </c>
    </row>
    <row r="249" spans="1:9" hidden="1" x14ac:dyDescent="0.25">
      <c r="A249" s="1" t="s">
        <v>9</v>
      </c>
      <c r="B249" s="1" t="s">
        <v>163</v>
      </c>
      <c r="C249" s="1" t="s">
        <v>3</v>
      </c>
      <c r="D249" s="1">
        <v>1312.14</v>
      </c>
      <c r="E249" s="1">
        <v>-256.13</v>
      </c>
      <c r="F249" s="1">
        <v>0</v>
      </c>
      <c r="G249" s="1">
        <v>1383.1110000000001</v>
      </c>
      <c r="H249" s="1">
        <v>7872.8440000000001</v>
      </c>
      <c r="I249" s="1">
        <v>-10189.349</v>
      </c>
    </row>
    <row r="250" spans="1:9" hidden="1" x14ac:dyDescent="0.25">
      <c r="A250" s="1" t="s">
        <v>10</v>
      </c>
      <c r="B250" s="1" t="s">
        <v>163</v>
      </c>
      <c r="C250" s="1" t="s">
        <v>143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</row>
    <row r="251" spans="1:9" hidden="1" x14ac:dyDescent="0.25">
      <c r="A251" s="1" t="s">
        <v>10</v>
      </c>
      <c r="B251" s="1" t="s">
        <v>163</v>
      </c>
      <c r="C251" s="1" t="s">
        <v>3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</row>
    <row r="252" spans="1:9" hidden="1" x14ac:dyDescent="0.25">
      <c r="A252" s="1" t="s">
        <v>125</v>
      </c>
      <c r="B252" s="1" t="s">
        <v>164</v>
      </c>
      <c r="C252" s="1" t="s">
        <v>143</v>
      </c>
      <c r="D252" s="1">
        <v>298.95999999999998</v>
      </c>
      <c r="E252" s="1">
        <v>99.4</v>
      </c>
      <c r="F252" s="1">
        <v>0</v>
      </c>
      <c r="G252" s="1">
        <v>-656.06299999999999</v>
      </c>
      <c r="H252" s="1">
        <v>1793.7619999999999</v>
      </c>
      <c r="I252" s="1">
        <v>-1793.7619999999999</v>
      </c>
    </row>
    <row r="253" spans="1:9" hidden="1" x14ac:dyDescent="0.25">
      <c r="A253" s="1" t="s">
        <v>125</v>
      </c>
      <c r="B253" s="1" t="s">
        <v>164</v>
      </c>
      <c r="C253" s="1" t="s">
        <v>3</v>
      </c>
      <c r="D253" s="1">
        <v>328.04</v>
      </c>
      <c r="E253" s="1">
        <v>99.4</v>
      </c>
      <c r="F253" s="1">
        <v>0</v>
      </c>
      <c r="G253" s="1">
        <v>-656.06299999999999</v>
      </c>
      <c r="H253" s="1">
        <v>1968.211</v>
      </c>
      <c r="I253" s="1">
        <v>-1669.144</v>
      </c>
    </row>
    <row r="254" spans="1:9" hidden="1" x14ac:dyDescent="0.25">
      <c r="A254" s="1" t="s">
        <v>126</v>
      </c>
      <c r="B254" s="1" t="s">
        <v>164</v>
      </c>
      <c r="C254" s="1" t="s">
        <v>143</v>
      </c>
      <c r="D254" s="1">
        <v>627</v>
      </c>
      <c r="E254" s="1">
        <v>177.77</v>
      </c>
      <c r="F254" s="1">
        <v>0</v>
      </c>
      <c r="G254" s="1">
        <v>-1173.2660000000001</v>
      </c>
      <c r="H254" s="1">
        <v>3761.973</v>
      </c>
      <c r="I254" s="1">
        <v>-3462.9059999999999</v>
      </c>
    </row>
    <row r="255" spans="1:9" hidden="1" x14ac:dyDescent="0.25">
      <c r="A255" s="1" t="s">
        <v>126</v>
      </c>
      <c r="B255" s="1" t="s">
        <v>164</v>
      </c>
      <c r="C255" s="1" t="s">
        <v>3</v>
      </c>
      <c r="D255" s="1">
        <v>656.07</v>
      </c>
      <c r="E255" s="1">
        <v>177.77</v>
      </c>
      <c r="F255" s="1">
        <v>0</v>
      </c>
      <c r="G255" s="1">
        <v>-1173.2660000000001</v>
      </c>
      <c r="H255" s="1">
        <v>3936.422</v>
      </c>
      <c r="I255" s="1">
        <v>-3101.114</v>
      </c>
    </row>
    <row r="256" spans="1:9" hidden="1" x14ac:dyDescent="0.25">
      <c r="A256" s="1" t="s">
        <v>127</v>
      </c>
      <c r="B256" s="1" t="s">
        <v>164</v>
      </c>
      <c r="C256" s="1" t="s">
        <v>143</v>
      </c>
      <c r="D256" s="1">
        <v>955.03</v>
      </c>
      <c r="E256" s="1">
        <v>230.01</v>
      </c>
      <c r="F256" s="1">
        <v>0</v>
      </c>
      <c r="G256" s="1">
        <v>-1518.068</v>
      </c>
      <c r="H256" s="1">
        <v>5730.1840000000002</v>
      </c>
      <c r="I256" s="1">
        <v>-4894.8760000000002</v>
      </c>
    </row>
    <row r="257" spans="1:9" hidden="1" x14ac:dyDescent="0.25">
      <c r="A257" s="1" t="s">
        <v>127</v>
      </c>
      <c r="B257" s="1" t="s">
        <v>164</v>
      </c>
      <c r="C257" s="1" t="s">
        <v>3</v>
      </c>
      <c r="D257" s="1">
        <v>984.11</v>
      </c>
      <c r="E257" s="1">
        <v>230.01</v>
      </c>
      <c r="F257" s="1">
        <v>0</v>
      </c>
      <c r="G257" s="1">
        <v>-1518.068</v>
      </c>
      <c r="H257" s="1">
        <v>5904.6329999999998</v>
      </c>
      <c r="I257" s="1">
        <v>-4372.8419999999996</v>
      </c>
    </row>
    <row r="258" spans="1:9" hidden="1" x14ac:dyDescent="0.25">
      <c r="A258" s="1" t="s">
        <v>9</v>
      </c>
      <c r="B258" s="1" t="s">
        <v>164</v>
      </c>
      <c r="C258" s="1" t="s">
        <v>143</v>
      </c>
      <c r="D258" s="1">
        <v>1283.07</v>
      </c>
      <c r="E258" s="1">
        <v>256.13</v>
      </c>
      <c r="F258" s="1">
        <v>0</v>
      </c>
      <c r="G258" s="1">
        <v>-1690.4690000000001</v>
      </c>
      <c r="H258" s="1">
        <v>7698.3950000000004</v>
      </c>
      <c r="I258" s="1">
        <v>-6166.6040000000003</v>
      </c>
    </row>
    <row r="259" spans="1:9" hidden="1" x14ac:dyDescent="0.25">
      <c r="A259" s="1" t="s">
        <v>9</v>
      </c>
      <c r="B259" s="1" t="s">
        <v>164</v>
      </c>
      <c r="C259" s="1" t="s">
        <v>3</v>
      </c>
      <c r="D259" s="1">
        <v>1312.14</v>
      </c>
      <c r="E259" s="1">
        <v>256.13</v>
      </c>
      <c r="F259" s="1">
        <v>0</v>
      </c>
      <c r="G259" s="1">
        <v>-1690.4690000000001</v>
      </c>
      <c r="H259" s="1">
        <v>7872.8440000000001</v>
      </c>
      <c r="I259" s="1">
        <v>-5556.3379999999997</v>
      </c>
    </row>
    <row r="260" spans="1:9" hidden="1" x14ac:dyDescent="0.25">
      <c r="A260" s="1" t="s">
        <v>10</v>
      </c>
      <c r="B260" s="1" t="s">
        <v>164</v>
      </c>
      <c r="C260" s="1" t="s">
        <v>143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</row>
    <row r="261" spans="1:9" hidden="1" x14ac:dyDescent="0.25">
      <c r="A261" s="1" t="s">
        <v>10</v>
      </c>
      <c r="B261" s="1" t="s">
        <v>164</v>
      </c>
      <c r="C261" s="1" t="s">
        <v>3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</row>
    <row r="262" spans="1:9" hidden="1" x14ac:dyDescent="0.25">
      <c r="A262" s="1" t="s">
        <v>125</v>
      </c>
      <c r="B262" s="1" t="s">
        <v>165</v>
      </c>
      <c r="C262" s="1" t="s">
        <v>143</v>
      </c>
      <c r="D262" s="1">
        <v>298.95999999999998</v>
      </c>
      <c r="E262" s="1">
        <v>99.4</v>
      </c>
      <c r="F262" s="1">
        <v>0</v>
      </c>
      <c r="G262" s="1">
        <v>-536.779</v>
      </c>
      <c r="H262" s="1">
        <v>1793.7619999999999</v>
      </c>
      <c r="I262" s="1">
        <v>-1793.7619999999999</v>
      </c>
    </row>
    <row r="263" spans="1:9" hidden="1" x14ac:dyDescent="0.25">
      <c r="A263" s="1" t="s">
        <v>125</v>
      </c>
      <c r="B263" s="1" t="s">
        <v>165</v>
      </c>
      <c r="C263" s="1" t="s">
        <v>3</v>
      </c>
      <c r="D263" s="1">
        <v>328.04</v>
      </c>
      <c r="E263" s="1">
        <v>99.4</v>
      </c>
      <c r="F263" s="1">
        <v>0</v>
      </c>
      <c r="G263" s="1">
        <v>-536.779</v>
      </c>
      <c r="H263" s="1">
        <v>1968.211</v>
      </c>
      <c r="I263" s="1">
        <v>-1669.144</v>
      </c>
    </row>
    <row r="264" spans="1:9" hidden="1" x14ac:dyDescent="0.25">
      <c r="A264" s="1" t="s">
        <v>126</v>
      </c>
      <c r="B264" s="1" t="s">
        <v>165</v>
      </c>
      <c r="C264" s="1" t="s">
        <v>143</v>
      </c>
      <c r="D264" s="1">
        <v>627</v>
      </c>
      <c r="E264" s="1">
        <v>177.77</v>
      </c>
      <c r="F264" s="1">
        <v>0</v>
      </c>
      <c r="G264" s="1">
        <v>-959.94500000000005</v>
      </c>
      <c r="H264" s="1">
        <v>3761.973</v>
      </c>
      <c r="I264" s="1">
        <v>-3462.9059999999999</v>
      </c>
    </row>
    <row r="265" spans="1:9" hidden="1" x14ac:dyDescent="0.25">
      <c r="A265" s="1" t="s">
        <v>126</v>
      </c>
      <c r="B265" s="1" t="s">
        <v>165</v>
      </c>
      <c r="C265" s="1" t="s">
        <v>3</v>
      </c>
      <c r="D265" s="1">
        <v>656.07</v>
      </c>
      <c r="E265" s="1">
        <v>177.77</v>
      </c>
      <c r="F265" s="1">
        <v>0</v>
      </c>
      <c r="G265" s="1">
        <v>-959.94500000000005</v>
      </c>
      <c r="H265" s="1">
        <v>3936.422</v>
      </c>
      <c r="I265" s="1">
        <v>-3101.114</v>
      </c>
    </row>
    <row r="266" spans="1:9" hidden="1" x14ac:dyDescent="0.25">
      <c r="A266" s="1" t="s">
        <v>127</v>
      </c>
      <c r="B266" s="1" t="s">
        <v>165</v>
      </c>
      <c r="C266" s="1" t="s">
        <v>143</v>
      </c>
      <c r="D266" s="1">
        <v>955.03</v>
      </c>
      <c r="E266" s="1">
        <v>230.01</v>
      </c>
      <c r="F266" s="1">
        <v>0</v>
      </c>
      <c r="G266" s="1">
        <v>-1242.056</v>
      </c>
      <c r="H266" s="1">
        <v>5730.1840000000002</v>
      </c>
      <c r="I266" s="1">
        <v>-4894.8760000000002</v>
      </c>
    </row>
    <row r="267" spans="1:9" hidden="1" x14ac:dyDescent="0.25">
      <c r="A267" s="1" t="s">
        <v>127</v>
      </c>
      <c r="B267" s="1" t="s">
        <v>165</v>
      </c>
      <c r="C267" s="1" t="s">
        <v>3</v>
      </c>
      <c r="D267" s="1">
        <v>984.11</v>
      </c>
      <c r="E267" s="1">
        <v>230.01</v>
      </c>
      <c r="F267" s="1">
        <v>0</v>
      </c>
      <c r="G267" s="1">
        <v>-1242.056</v>
      </c>
      <c r="H267" s="1">
        <v>5904.6329999999998</v>
      </c>
      <c r="I267" s="1">
        <v>-4372.8419999999996</v>
      </c>
    </row>
    <row r="268" spans="1:9" hidden="1" x14ac:dyDescent="0.25">
      <c r="A268" s="1" t="s">
        <v>9</v>
      </c>
      <c r="B268" s="1" t="s">
        <v>165</v>
      </c>
      <c r="C268" s="1" t="s">
        <v>143</v>
      </c>
      <c r="D268" s="1">
        <v>1283.07</v>
      </c>
      <c r="E268" s="1">
        <v>256.13</v>
      </c>
      <c r="F268" s="1">
        <v>0</v>
      </c>
      <c r="G268" s="1">
        <v>-1383.1110000000001</v>
      </c>
      <c r="H268" s="1">
        <v>7698.3950000000004</v>
      </c>
      <c r="I268" s="1">
        <v>-6166.6040000000003</v>
      </c>
    </row>
    <row r="269" spans="1:9" hidden="1" x14ac:dyDescent="0.25">
      <c r="A269" s="1" t="s">
        <v>9</v>
      </c>
      <c r="B269" s="1" t="s">
        <v>165</v>
      </c>
      <c r="C269" s="1" t="s">
        <v>3</v>
      </c>
      <c r="D269" s="1">
        <v>1312.14</v>
      </c>
      <c r="E269" s="1">
        <v>256.13</v>
      </c>
      <c r="F269" s="1">
        <v>0</v>
      </c>
      <c r="G269" s="1">
        <v>-1383.1110000000001</v>
      </c>
      <c r="H269" s="1">
        <v>7872.8440000000001</v>
      </c>
      <c r="I269" s="1">
        <v>-5556.3379999999997</v>
      </c>
    </row>
    <row r="270" spans="1:9" hidden="1" x14ac:dyDescent="0.25">
      <c r="A270" s="1" t="s">
        <v>10</v>
      </c>
      <c r="B270" s="1" t="s">
        <v>165</v>
      </c>
      <c r="C270" s="1" t="s">
        <v>143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</row>
    <row r="271" spans="1:9" hidden="1" x14ac:dyDescent="0.25">
      <c r="A271" s="1" t="s">
        <v>10</v>
      </c>
      <c r="B271" s="1" t="s">
        <v>165</v>
      </c>
      <c r="C271" s="1" t="s">
        <v>3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</row>
    <row r="272" spans="1:9" hidden="1" x14ac:dyDescent="0.25">
      <c r="A272" s="1" t="s">
        <v>125</v>
      </c>
      <c r="B272" s="1" t="s">
        <v>166</v>
      </c>
      <c r="C272" s="1" t="s">
        <v>143</v>
      </c>
      <c r="D272" s="1">
        <v>298.95999999999998</v>
      </c>
      <c r="E272" s="1">
        <v>0</v>
      </c>
      <c r="F272" s="1">
        <v>-99.4</v>
      </c>
      <c r="G272" s="1">
        <v>-656.06299999999999</v>
      </c>
      <c r="H272" s="1">
        <v>1793.7619999999999</v>
      </c>
      <c r="I272" s="1">
        <v>-1793.7619999999999</v>
      </c>
    </row>
    <row r="273" spans="1:9" hidden="1" x14ac:dyDescent="0.25">
      <c r="A273" s="1" t="s">
        <v>125</v>
      </c>
      <c r="B273" s="1" t="s">
        <v>166</v>
      </c>
      <c r="C273" s="1" t="s">
        <v>3</v>
      </c>
      <c r="D273" s="1">
        <v>328.04</v>
      </c>
      <c r="E273" s="1">
        <v>0</v>
      </c>
      <c r="F273" s="1">
        <v>-99.4</v>
      </c>
      <c r="G273" s="1">
        <v>-656.06299999999999</v>
      </c>
      <c r="H273" s="1">
        <v>2267.277</v>
      </c>
      <c r="I273" s="1">
        <v>-1968.211</v>
      </c>
    </row>
    <row r="274" spans="1:9" hidden="1" x14ac:dyDescent="0.25">
      <c r="A274" s="1" t="s">
        <v>126</v>
      </c>
      <c r="B274" s="1" t="s">
        <v>166</v>
      </c>
      <c r="C274" s="1" t="s">
        <v>143</v>
      </c>
      <c r="D274" s="1">
        <v>627</v>
      </c>
      <c r="E274" s="1">
        <v>0</v>
      </c>
      <c r="F274" s="1">
        <v>-177.77</v>
      </c>
      <c r="G274" s="1">
        <v>-1173.2660000000001</v>
      </c>
      <c r="H274" s="1">
        <v>4061.0390000000002</v>
      </c>
      <c r="I274" s="1">
        <v>-3761.973</v>
      </c>
    </row>
    <row r="275" spans="1:9" hidden="1" x14ac:dyDescent="0.25">
      <c r="A275" s="1" t="s">
        <v>126</v>
      </c>
      <c r="B275" s="1" t="s">
        <v>166</v>
      </c>
      <c r="C275" s="1" t="s">
        <v>3</v>
      </c>
      <c r="D275" s="1">
        <v>656.07</v>
      </c>
      <c r="E275" s="1">
        <v>0</v>
      </c>
      <c r="F275" s="1">
        <v>-177.77</v>
      </c>
      <c r="G275" s="1">
        <v>-1173.2660000000001</v>
      </c>
      <c r="H275" s="1">
        <v>4771.7290000000003</v>
      </c>
      <c r="I275" s="1">
        <v>-3936.422</v>
      </c>
    </row>
    <row r="276" spans="1:9" hidden="1" x14ac:dyDescent="0.25">
      <c r="A276" s="1" t="s">
        <v>127</v>
      </c>
      <c r="B276" s="1" t="s">
        <v>166</v>
      </c>
      <c r="C276" s="1" t="s">
        <v>143</v>
      </c>
      <c r="D276" s="1">
        <v>955.03</v>
      </c>
      <c r="E276" s="1">
        <v>0</v>
      </c>
      <c r="F276" s="1">
        <v>-230.01</v>
      </c>
      <c r="G276" s="1">
        <v>-1518.068</v>
      </c>
      <c r="H276" s="1">
        <v>6565.491</v>
      </c>
      <c r="I276" s="1">
        <v>-5730.1840000000002</v>
      </c>
    </row>
    <row r="277" spans="1:9" hidden="1" x14ac:dyDescent="0.25">
      <c r="A277" s="1" t="s">
        <v>127</v>
      </c>
      <c r="B277" s="1" t="s">
        <v>166</v>
      </c>
      <c r="C277" s="1" t="s">
        <v>3</v>
      </c>
      <c r="D277" s="1">
        <v>984.11</v>
      </c>
      <c r="E277" s="1">
        <v>0</v>
      </c>
      <c r="F277" s="1">
        <v>-230.01</v>
      </c>
      <c r="G277" s="1">
        <v>-1518.068</v>
      </c>
      <c r="H277" s="1">
        <v>7436.4229999999998</v>
      </c>
      <c r="I277" s="1">
        <v>-5904.6329999999998</v>
      </c>
    </row>
    <row r="278" spans="1:9" hidden="1" x14ac:dyDescent="0.25">
      <c r="A278" s="1" t="s">
        <v>9</v>
      </c>
      <c r="B278" s="1" t="s">
        <v>166</v>
      </c>
      <c r="C278" s="1" t="s">
        <v>143</v>
      </c>
      <c r="D278" s="1">
        <v>1283.07</v>
      </c>
      <c r="E278" s="1">
        <v>0</v>
      </c>
      <c r="F278" s="1">
        <v>-256.13</v>
      </c>
      <c r="G278" s="1">
        <v>-1690.4690000000001</v>
      </c>
      <c r="H278" s="1">
        <v>9230.1849999999995</v>
      </c>
      <c r="I278" s="1">
        <v>-7698.3950000000004</v>
      </c>
    </row>
    <row r="279" spans="1:9" hidden="1" x14ac:dyDescent="0.25">
      <c r="A279" s="1" t="s">
        <v>9</v>
      </c>
      <c r="B279" s="1" t="s">
        <v>166</v>
      </c>
      <c r="C279" s="1" t="s">
        <v>3</v>
      </c>
      <c r="D279" s="1">
        <v>1312.14</v>
      </c>
      <c r="E279" s="1">
        <v>0</v>
      </c>
      <c r="F279" s="1">
        <v>-256.13</v>
      </c>
      <c r="G279" s="1">
        <v>-1690.4690000000001</v>
      </c>
      <c r="H279" s="1">
        <v>10189.349</v>
      </c>
      <c r="I279" s="1">
        <v>-7872.8440000000001</v>
      </c>
    </row>
    <row r="280" spans="1:9" hidden="1" x14ac:dyDescent="0.25">
      <c r="A280" s="1" t="s">
        <v>10</v>
      </c>
      <c r="B280" s="1" t="s">
        <v>166</v>
      </c>
      <c r="C280" s="1" t="s">
        <v>143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</row>
    <row r="281" spans="1:9" hidden="1" x14ac:dyDescent="0.25">
      <c r="A281" s="1" t="s">
        <v>10</v>
      </c>
      <c r="B281" s="1" t="s">
        <v>166</v>
      </c>
      <c r="C281" s="1" t="s">
        <v>3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</row>
    <row r="282" spans="1:9" hidden="1" x14ac:dyDescent="0.25">
      <c r="A282" s="1" t="s">
        <v>125</v>
      </c>
      <c r="B282" s="1" t="s">
        <v>167</v>
      </c>
      <c r="C282" s="1" t="s">
        <v>143</v>
      </c>
      <c r="D282" s="1">
        <v>298.95999999999998</v>
      </c>
      <c r="E282" s="1">
        <v>0</v>
      </c>
      <c r="F282" s="1">
        <v>-99.4</v>
      </c>
      <c r="G282" s="1">
        <v>-536.779</v>
      </c>
      <c r="H282" s="1">
        <v>1793.7619999999999</v>
      </c>
      <c r="I282" s="1">
        <v>-1793.7619999999999</v>
      </c>
    </row>
    <row r="283" spans="1:9" hidden="1" x14ac:dyDescent="0.25">
      <c r="A283" s="1" t="s">
        <v>125</v>
      </c>
      <c r="B283" s="1" t="s">
        <v>167</v>
      </c>
      <c r="C283" s="1" t="s">
        <v>3</v>
      </c>
      <c r="D283" s="1">
        <v>328.04</v>
      </c>
      <c r="E283" s="1">
        <v>0</v>
      </c>
      <c r="F283" s="1">
        <v>-99.4</v>
      </c>
      <c r="G283" s="1">
        <v>-536.779</v>
      </c>
      <c r="H283" s="1">
        <v>2267.277</v>
      </c>
      <c r="I283" s="1">
        <v>-1968.211</v>
      </c>
    </row>
    <row r="284" spans="1:9" hidden="1" x14ac:dyDescent="0.25">
      <c r="A284" s="1" t="s">
        <v>126</v>
      </c>
      <c r="B284" s="1" t="s">
        <v>167</v>
      </c>
      <c r="C284" s="1" t="s">
        <v>143</v>
      </c>
      <c r="D284" s="1">
        <v>627</v>
      </c>
      <c r="E284" s="1">
        <v>0</v>
      </c>
      <c r="F284" s="1">
        <v>-177.77</v>
      </c>
      <c r="G284" s="1">
        <v>-959.94500000000005</v>
      </c>
      <c r="H284" s="1">
        <v>4061.0390000000002</v>
      </c>
      <c r="I284" s="1">
        <v>-3761.973</v>
      </c>
    </row>
    <row r="285" spans="1:9" hidden="1" x14ac:dyDescent="0.25">
      <c r="A285" s="1" t="s">
        <v>126</v>
      </c>
      <c r="B285" s="1" t="s">
        <v>167</v>
      </c>
      <c r="C285" s="1" t="s">
        <v>3</v>
      </c>
      <c r="D285" s="1">
        <v>656.07</v>
      </c>
      <c r="E285" s="1">
        <v>0</v>
      </c>
      <c r="F285" s="1">
        <v>-177.77</v>
      </c>
      <c r="G285" s="1">
        <v>-959.94500000000005</v>
      </c>
      <c r="H285" s="1">
        <v>4771.7290000000003</v>
      </c>
      <c r="I285" s="1">
        <v>-3936.422</v>
      </c>
    </row>
    <row r="286" spans="1:9" hidden="1" x14ac:dyDescent="0.25">
      <c r="A286" s="1" t="s">
        <v>127</v>
      </c>
      <c r="B286" s="1" t="s">
        <v>167</v>
      </c>
      <c r="C286" s="1" t="s">
        <v>143</v>
      </c>
      <c r="D286" s="1">
        <v>955.03</v>
      </c>
      <c r="E286" s="1">
        <v>0</v>
      </c>
      <c r="F286" s="1">
        <v>-230.01</v>
      </c>
      <c r="G286" s="1">
        <v>-1242.056</v>
      </c>
      <c r="H286" s="1">
        <v>6565.491</v>
      </c>
      <c r="I286" s="1">
        <v>-5730.1840000000002</v>
      </c>
    </row>
    <row r="287" spans="1:9" hidden="1" x14ac:dyDescent="0.25">
      <c r="A287" s="1" t="s">
        <v>127</v>
      </c>
      <c r="B287" s="1" t="s">
        <v>167</v>
      </c>
      <c r="C287" s="1" t="s">
        <v>3</v>
      </c>
      <c r="D287" s="1">
        <v>984.11</v>
      </c>
      <c r="E287" s="1">
        <v>0</v>
      </c>
      <c r="F287" s="1">
        <v>-230.01</v>
      </c>
      <c r="G287" s="1">
        <v>-1242.056</v>
      </c>
      <c r="H287" s="1">
        <v>7436.4229999999998</v>
      </c>
      <c r="I287" s="1">
        <v>-5904.6329999999998</v>
      </c>
    </row>
    <row r="288" spans="1:9" hidden="1" x14ac:dyDescent="0.25">
      <c r="A288" s="1" t="s">
        <v>9</v>
      </c>
      <c r="B288" s="1" t="s">
        <v>167</v>
      </c>
      <c r="C288" s="1" t="s">
        <v>143</v>
      </c>
      <c r="D288" s="1">
        <v>1283.07</v>
      </c>
      <c r="E288" s="1">
        <v>0</v>
      </c>
      <c r="F288" s="1">
        <v>-256.13</v>
      </c>
      <c r="G288" s="1">
        <v>-1383.1110000000001</v>
      </c>
      <c r="H288" s="1">
        <v>9230.1849999999995</v>
      </c>
      <c r="I288" s="1">
        <v>-7698.3950000000004</v>
      </c>
    </row>
    <row r="289" spans="1:9" hidden="1" x14ac:dyDescent="0.25">
      <c r="A289" s="1" t="s">
        <v>9</v>
      </c>
      <c r="B289" s="1" t="s">
        <v>167</v>
      </c>
      <c r="C289" s="1" t="s">
        <v>3</v>
      </c>
      <c r="D289" s="1">
        <v>1312.14</v>
      </c>
      <c r="E289" s="1">
        <v>0</v>
      </c>
      <c r="F289" s="1">
        <v>-256.13</v>
      </c>
      <c r="G289" s="1">
        <v>-1383.1110000000001</v>
      </c>
      <c r="H289" s="1">
        <v>10189.349</v>
      </c>
      <c r="I289" s="1">
        <v>-7872.8440000000001</v>
      </c>
    </row>
    <row r="290" spans="1:9" hidden="1" x14ac:dyDescent="0.25">
      <c r="A290" s="1" t="s">
        <v>10</v>
      </c>
      <c r="B290" s="1" t="s">
        <v>167</v>
      </c>
      <c r="C290" s="1" t="s">
        <v>143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</row>
    <row r="291" spans="1:9" hidden="1" x14ac:dyDescent="0.25">
      <c r="A291" s="1" t="s">
        <v>10</v>
      </c>
      <c r="B291" s="1" t="s">
        <v>167</v>
      </c>
      <c r="C291" s="1" t="s">
        <v>3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</row>
    <row r="292" spans="1:9" hidden="1" x14ac:dyDescent="0.25">
      <c r="A292" s="1" t="s">
        <v>125</v>
      </c>
      <c r="B292" s="1" t="s">
        <v>168</v>
      </c>
      <c r="C292" s="1" t="s">
        <v>143</v>
      </c>
      <c r="D292" s="1">
        <v>298.95999999999998</v>
      </c>
      <c r="E292" s="1">
        <v>0</v>
      </c>
      <c r="F292" s="1">
        <v>99.4</v>
      </c>
      <c r="G292" s="1">
        <v>656.06299999999999</v>
      </c>
      <c r="H292" s="1">
        <v>1793.7619999999999</v>
      </c>
      <c r="I292" s="1">
        <v>-1793.7619999999999</v>
      </c>
    </row>
    <row r="293" spans="1:9" hidden="1" x14ac:dyDescent="0.25">
      <c r="A293" s="1" t="s">
        <v>125</v>
      </c>
      <c r="B293" s="1" t="s">
        <v>168</v>
      </c>
      <c r="C293" s="1" t="s">
        <v>3</v>
      </c>
      <c r="D293" s="1">
        <v>328.04</v>
      </c>
      <c r="E293" s="1">
        <v>0</v>
      </c>
      <c r="F293" s="1">
        <v>99.4</v>
      </c>
      <c r="G293" s="1">
        <v>656.06299999999999</v>
      </c>
      <c r="H293" s="1">
        <v>1669.144</v>
      </c>
      <c r="I293" s="1">
        <v>-1968.211</v>
      </c>
    </row>
    <row r="294" spans="1:9" hidden="1" x14ac:dyDescent="0.25">
      <c r="A294" s="1" t="s">
        <v>126</v>
      </c>
      <c r="B294" s="1" t="s">
        <v>168</v>
      </c>
      <c r="C294" s="1" t="s">
        <v>143</v>
      </c>
      <c r="D294" s="1">
        <v>627</v>
      </c>
      <c r="E294" s="1">
        <v>0</v>
      </c>
      <c r="F294" s="1">
        <v>177.77</v>
      </c>
      <c r="G294" s="1">
        <v>1173.2660000000001</v>
      </c>
      <c r="H294" s="1">
        <v>3462.9059999999999</v>
      </c>
      <c r="I294" s="1">
        <v>-3761.973</v>
      </c>
    </row>
    <row r="295" spans="1:9" hidden="1" x14ac:dyDescent="0.25">
      <c r="A295" s="1" t="s">
        <v>126</v>
      </c>
      <c r="B295" s="1" t="s">
        <v>168</v>
      </c>
      <c r="C295" s="1" t="s">
        <v>3</v>
      </c>
      <c r="D295" s="1">
        <v>656.07</v>
      </c>
      <c r="E295" s="1">
        <v>0</v>
      </c>
      <c r="F295" s="1">
        <v>177.77</v>
      </c>
      <c r="G295" s="1">
        <v>1173.2660000000001</v>
      </c>
      <c r="H295" s="1">
        <v>3101.114</v>
      </c>
      <c r="I295" s="1">
        <v>-3936.422</v>
      </c>
    </row>
    <row r="296" spans="1:9" hidden="1" x14ac:dyDescent="0.25">
      <c r="A296" s="1" t="s">
        <v>127</v>
      </c>
      <c r="B296" s="1" t="s">
        <v>168</v>
      </c>
      <c r="C296" s="1" t="s">
        <v>143</v>
      </c>
      <c r="D296" s="1">
        <v>955.03</v>
      </c>
      <c r="E296" s="1">
        <v>0</v>
      </c>
      <c r="F296" s="1">
        <v>230.01</v>
      </c>
      <c r="G296" s="1">
        <v>1518.068</v>
      </c>
      <c r="H296" s="1">
        <v>4894.8760000000002</v>
      </c>
      <c r="I296" s="1">
        <v>-5730.1840000000002</v>
      </c>
    </row>
    <row r="297" spans="1:9" hidden="1" x14ac:dyDescent="0.25">
      <c r="A297" s="1" t="s">
        <v>127</v>
      </c>
      <c r="B297" s="1" t="s">
        <v>168</v>
      </c>
      <c r="C297" s="1" t="s">
        <v>3</v>
      </c>
      <c r="D297" s="1">
        <v>984.11</v>
      </c>
      <c r="E297" s="1">
        <v>0</v>
      </c>
      <c r="F297" s="1">
        <v>230.01</v>
      </c>
      <c r="G297" s="1">
        <v>1518.068</v>
      </c>
      <c r="H297" s="1">
        <v>4372.8419999999996</v>
      </c>
      <c r="I297" s="1">
        <v>-5904.6329999999998</v>
      </c>
    </row>
    <row r="298" spans="1:9" hidden="1" x14ac:dyDescent="0.25">
      <c r="A298" s="1" t="s">
        <v>9</v>
      </c>
      <c r="B298" s="1" t="s">
        <v>168</v>
      </c>
      <c r="C298" s="1" t="s">
        <v>143</v>
      </c>
      <c r="D298" s="1">
        <v>1283.07</v>
      </c>
      <c r="E298" s="1">
        <v>0</v>
      </c>
      <c r="F298" s="1">
        <v>256.13</v>
      </c>
      <c r="G298" s="1">
        <v>1690.4690000000001</v>
      </c>
      <c r="H298" s="1">
        <v>6166.6040000000003</v>
      </c>
      <c r="I298" s="1">
        <v>-7698.3950000000004</v>
      </c>
    </row>
    <row r="299" spans="1:9" hidden="1" x14ac:dyDescent="0.25">
      <c r="A299" s="1" t="s">
        <v>9</v>
      </c>
      <c r="B299" s="1" t="s">
        <v>168</v>
      </c>
      <c r="C299" s="1" t="s">
        <v>3</v>
      </c>
      <c r="D299" s="1">
        <v>1312.14</v>
      </c>
      <c r="E299" s="1">
        <v>0</v>
      </c>
      <c r="F299" s="1">
        <v>256.13</v>
      </c>
      <c r="G299" s="1">
        <v>1690.4690000000001</v>
      </c>
      <c r="H299" s="1">
        <v>5556.3379999999997</v>
      </c>
      <c r="I299" s="1">
        <v>-7872.8440000000001</v>
      </c>
    </row>
    <row r="300" spans="1:9" hidden="1" x14ac:dyDescent="0.25">
      <c r="A300" s="1" t="s">
        <v>10</v>
      </c>
      <c r="B300" s="1" t="s">
        <v>168</v>
      </c>
      <c r="C300" s="1" t="s">
        <v>143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</row>
    <row r="301" spans="1:9" hidden="1" x14ac:dyDescent="0.25">
      <c r="A301" s="1" t="s">
        <v>10</v>
      </c>
      <c r="B301" s="1" t="s">
        <v>168</v>
      </c>
      <c r="C301" s="1" t="s">
        <v>3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</row>
    <row r="302" spans="1:9" hidden="1" x14ac:dyDescent="0.25">
      <c r="A302" s="1" t="s">
        <v>125</v>
      </c>
      <c r="B302" s="1" t="s">
        <v>169</v>
      </c>
      <c r="C302" s="1" t="s">
        <v>143</v>
      </c>
      <c r="D302" s="1">
        <v>298.95999999999998</v>
      </c>
      <c r="E302" s="1">
        <v>0</v>
      </c>
      <c r="F302" s="1">
        <v>99.4</v>
      </c>
      <c r="G302" s="1">
        <v>536.779</v>
      </c>
      <c r="H302" s="1">
        <v>1793.7619999999999</v>
      </c>
      <c r="I302" s="1">
        <v>-1793.7619999999999</v>
      </c>
    </row>
    <row r="303" spans="1:9" hidden="1" x14ac:dyDescent="0.25">
      <c r="A303" s="1" t="s">
        <v>125</v>
      </c>
      <c r="B303" s="1" t="s">
        <v>169</v>
      </c>
      <c r="C303" s="1" t="s">
        <v>3</v>
      </c>
      <c r="D303" s="1">
        <v>328.04</v>
      </c>
      <c r="E303" s="1">
        <v>0</v>
      </c>
      <c r="F303" s="1">
        <v>99.4</v>
      </c>
      <c r="G303" s="1">
        <v>536.779</v>
      </c>
      <c r="H303" s="1">
        <v>1669.144</v>
      </c>
      <c r="I303" s="1">
        <v>-1968.211</v>
      </c>
    </row>
    <row r="304" spans="1:9" hidden="1" x14ac:dyDescent="0.25">
      <c r="A304" s="1" t="s">
        <v>126</v>
      </c>
      <c r="B304" s="1" t="s">
        <v>169</v>
      </c>
      <c r="C304" s="1" t="s">
        <v>143</v>
      </c>
      <c r="D304" s="1">
        <v>627</v>
      </c>
      <c r="E304" s="1">
        <v>0</v>
      </c>
      <c r="F304" s="1">
        <v>177.77</v>
      </c>
      <c r="G304" s="1">
        <v>959.94500000000005</v>
      </c>
      <c r="H304" s="1">
        <v>3462.9059999999999</v>
      </c>
      <c r="I304" s="1">
        <v>-3761.973</v>
      </c>
    </row>
    <row r="305" spans="1:9" hidden="1" x14ac:dyDescent="0.25">
      <c r="A305" s="1" t="s">
        <v>126</v>
      </c>
      <c r="B305" s="1" t="s">
        <v>169</v>
      </c>
      <c r="C305" s="1" t="s">
        <v>3</v>
      </c>
      <c r="D305" s="1">
        <v>656.07</v>
      </c>
      <c r="E305" s="1">
        <v>0</v>
      </c>
      <c r="F305" s="1">
        <v>177.77</v>
      </c>
      <c r="G305" s="1">
        <v>959.94500000000005</v>
      </c>
      <c r="H305" s="1">
        <v>3101.114</v>
      </c>
      <c r="I305" s="1">
        <v>-3936.422</v>
      </c>
    </row>
    <row r="306" spans="1:9" hidden="1" x14ac:dyDescent="0.25">
      <c r="A306" s="1" t="s">
        <v>127</v>
      </c>
      <c r="B306" s="1" t="s">
        <v>169</v>
      </c>
      <c r="C306" s="1" t="s">
        <v>143</v>
      </c>
      <c r="D306" s="1">
        <v>955.03</v>
      </c>
      <c r="E306" s="1">
        <v>0</v>
      </c>
      <c r="F306" s="1">
        <v>230.01</v>
      </c>
      <c r="G306" s="1">
        <v>1242.056</v>
      </c>
      <c r="H306" s="1">
        <v>4894.8760000000002</v>
      </c>
      <c r="I306" s="1">
        <v>-5730.1840000000002</v>
      </c>
    </row>
    <row r="307" spans="1:9" hidden="1" x14ac:dyDescent="0.25">
      <c r="A307" s="1" t="s">
        <v>127</v>
      </c>
      <c r="B307" s="1" t="s">
        <v>169</v>
      </c>
      <c r="C307" s="1" t="s">
        <v>3</v>
      </c>
      <c r="D307" s="1">
        <v>984.11</v>
      </c>
      <c r="E307" s="1">
        <v>0</v>
      </c>
      <c r="F307" s="1">
        <v>230.01</v>
      </c>
      <c r="G307" s="1">
        <v>1242.056</v>
      </c>
      <c r="H307" s="1">
        <v>4372.8419999999996</v>
      </c>
      <c r="I307" s="1">
        <v>-5904.6329999999998</v>
      </c>
    </row>
    <row r="308" spans="1:9" hidden="1" x14ac:dyDescent="0.25">
      <c r="A308" s="1" t="s">
        <v>9</v>
      </c>
      <c r="B308" s="1" t="s">
        <v>169</v>
      </c>
      <c r="C308" s="1" t="s">
        <v>143</v>
      </c>
      <c r="D308" s="1">
        <v>1283.07</v>
      </c>
      <c r="E308" s="1">
        <v>0</v>
      </c>
      <c r="F308" s="1">
        <v>256.13</v>
      </c>
      <c r="G308" s="1">
        <v>1383.1110000000001</v>
      </c>
      <c r="H308" s="1">
        <v>6166.6040000000003</v>
      </c>
      <c r="I308" s="1">
        <v>-7698.3950000000004</v>
      </c>
    </row>
    <row r="309" spans="1:9" hidden="1" x14ac:dyDescent="0.25">
      <c r="A309" s="1" t="s">
        <v>9</v>
      </c>
      <c r="B309" s="1" t="s">
        <v>169</v>
      </c>
      <c r="C309" s="1" t="s">
        <v>3</v>
      </c>
      <c r="D309" s="1">
        <v>1312.14</v>
      </c>
      <c r="E309" s="1">
        <v>0</v>
      </c>
      <c r="F309" s="1">
        <v>256.13</v>
      </c>
      <c r="G309" s="1">
        <v>1383.1110000000001</v>
      </c>
      <c r="H309" s="1">
        <v>5556.3379999999997</v>
      </c>
      <c r="I309" s="1">
        <v>-7872.8440000000001</v>
      </c>
    </row>
    <row r="310" spans="1:9" hidden="1" x14ac:dyDescent="0.25">
      <c r="A310" s="1" t="s">
        <v>10</v>
      </c>
      <c r="B310" s="1" t="s">
        <v>169</v>
      </c>
      <c r="C310" s="1" t="s">
        <v>143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</row>
    <row r="311" spans="1:9" hidden="1" x14ac:dyDescent="0.25">
      <c r="A311" s="1" t="s">
        <v>10</v>
      </c>
      <c r="B311" s="1" t="s">
        <v>169</v>
      </c>
      <c r="C311" s="1" t="s">
        <v>3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</row>
    <row r="312" spans="1:9" hidden="1" x14ac:dyDescent="0.25">
      <c r="A312" s="1" t="s">
        <v>125</v>
      </c>
      <c r="B312" s="1" t="s">
        <v>170</v>
      </c>
      <c r="C312" s="1" t="s">
        <v>143</v>
      </c>
      <c r="D312" s="1">
        <v>278.91000000000003</v>
      </c>
      <c r="E312" s="1">
        <v>-99.4</v>
      </c>
      <c r="F312" s="1">
        <v>0</v>
      </c>
      <c r="G312" s="1">
        <v>656.06299999999999</v>
      </c>
      <c r="H312" s="1">
        <v>1673.461</v>
      </c>
      <c r="I312" s="1">
        <v>-1673.461</v>
      </c>
    </row>
    <row r="313" spans="1:9" hidden="1" x14ac:dyDescent="0.25">
      <c r="A313" s="1" t="s">
        <v>125</v>
      </c>
      <c r="B313" s="1" t="s">
        <v>170</v>
      </c>
      <c r="C313" s="1" t="s">
        <v>3</v>
      </c>
      <c r="D313" s="1">
        <v>305.88</v>
      </c>
      <c r="E313" s="1">
        <v>-99.4</v>
      </c>
      <c r="F313" s="1">
        <v>0</v>
      </c>
      <c r="G313" s="1">
        <v>656.06299999999999</v>
      </c>
      <c r="H313" s="1">
        <v>1835.299</v>
      </c>
      <c r="I313" s="1">
        <v>-2134.366</v>
      </c>
    </row>
    <row r="314" spans="1:9" hidden="1" x14ac:dyDescent="0.25">
      <c r="A314" s="1" t="s">
        <v>126</v>
      </c>
      <c r="B314" s="1" t="s">
        <v>170</v>
      </c>
      <c r="C314" s="1" t="s">
        <v>143</v>
      </c>
      <c r="D314" s="1">
        <v>584.79</v>
      </c>
      <c r="E314" s="1">
        <v>-177.77</v>
      </c>
      <c r="F314" s="1">
        <v>0</v>
      </c>
      <c r="G314" s="1">
        <v>1173.2660000000001</v>
      </c>
      <c r="H314" s="1">
        <v>3508.76</v>
      </c>
      <c r="I314" s="1">
        <v>-3807.8270000000002</v>
      </c>
    </row>
    <row r="315" spans="1:9" hidden="1" x14ac:dyDescent="0.25">
      <c r="A315" s="1" t="s">
        <v>126</v>
      </c>
      <c r="B315" s="1" t="s">
        <v>170</v>
      </c>
      <c r="C315" s="1" t="s">
        <v>3</v>
      </c>
      <c r="D315" s="1">
        <v>611.77</v>
      </c>
      <c r="E315" s="1">
        <v>-177.77</v>
      </c>
      <c r="F315" s="1">
        <v>0</v>
      </c>
      <c r="G315" s="1">
        <v>1173.2660000000001</v>
      </c>
      <c r="H315" s="1">
        <v>3670.5990000000002</v>
      </c>
      <c r="I315" s="1">
        <v>-4505.9059999999999</v>
      </c>
    </row>
    <row r="316" spans="1:9" hidden="1" x14ac:dyDescent="0.25">
      <c r="A316" s="1" t="s">
        <v>127</v>
      </c>
      <c r="B316" s="1" t="s">
        <v>170</v>
      </c>
      <c r="C316" s="1" t="s">
        <v>143</v>
      </c>
      <c r="D316" s="1">
        <v>890.68</v>
      </c>
      <c r="E316" s="1">
        <v>-230.01</v>
      </c>
      <c r="F316" s="1">
        <v>0</v>
      </c>
      <c r="G316" s="1">
        <v>1518.068</v>
      </c>
      <c r="H316" s="1">
        <v>5344.06</v>
      </c>
      <c r="I316" s="1">
        <v>-6179.3670000000002</v>
      </c>
    </row>
    <row r="317" spans="1:9" hidden="1" x14ac:dyDescent="0.25">
      <c r="A317" s="1" t="s">
        <v>127</v>
      </c>
      <c r="B317" s="1" t="s">
        <v>170</v>
      </c>
      <c r="C317" s="1" t="s">
        <v>3</v>
      </c>
      <c r="D317" s="1">
        <v>917.65</v>
      </c>
      <c r="E317" s="1">
        <v>-230.01</v>
      </c>
      <c r="F317" s="1">
        <v>0</v>
      </c>
      <c r="G317" s="1">
        <v>1518.068</v>
      </c>
      <c r="H317" s="1">
        <v>5505.8980000000001</v>
      </c>
      <c r="I317" s="1">
        <v>-7037.6880000000001</v>
      </c>
    </row>
    <row r="318" spans="1:9" hidden="1" x14ac:dyDescent="0.25">
      <c r="A318" s="1" t="s">
        <v>9</v>
      </c>
      <c r="B318" s="1" t="s">
        <v>170</v>
      </c>
      <c r="C318" s="1" t="s">
        <v>143</v>
      </c>
      <c r="D318" s="1">
        <v>1196.56</v>
      </c>
      <c r="E318" s="1">
        <v>-256.13</v>
      </c>
      <c r="F318" s="1">
        <v>0</v>
      </c>
      <c r="G318" s="1">
        <v>1690.4690000000001</v>
      </c>
      <c r="H318" s="1">
        <v>7179.3590000000004</v>
      </c>
      <c r="I318" s="1">
        <v>-8711.1489999999994</v>
      </c>
    </row>
    <row r="319" spans="1:9" hidden="1" x14ac:dyDescent="0.25">
      <c r="A319" s="1" t="s">
        <v>9</v>
      </c>
      <c r="B319" s="1" t="s">
        <v>170</v>
      </c>
      <c r="C319" s="1" t="s">
        <v>3</v>
      </c>
      <c r="D319" s="1">
        <v>1223.53</v>
      </c>
      <c r="E319" s="1">
        <v>-256.13</v>
      </c>
      <c r="F319" s="1">
        <v>0</v>
      </c>
      <c r="G319" s="1">
        <v>1690.4690000000001</v>
      </c>
      <c r="H319" s="1">
        <v>7341.1970000000001</v>
      </c>
      <c r="I319" s="1">
        <v>-9657.7029999999995</v>
      </c>
    </row>
    <row r="320" spans="1:9" hidden="1" x14ac:dyDescent="0.25">
      <c r="A320" s="1" t="s">
        <v>10</v>
      </c>
      <c r="B320" s="1" t="s">
        <v>170</v>
      </c>
      <c r="C320" s="1" t="s">
        <v>143</v>
      </c>
      <c r="D320" s="1">
        <v>0</v>
      </c>
      <c r="E320" s="1">
        <v>0</v>
      </c>
      <c r="F320" s="1">
        <v>0</v>
      </c>
      <c r="G320" s="1">
        <v>0</v>
      </c>
      <c r="H320" s="1">
        <v>0</v>
      </c>
      <c r="I320" s="1">
        <v>0</v>
      </c>
    </row>
    <row r="321" spans="1:9" hidden="1" x14ac:dyDescent="0.25">
      <c r="A321" s="1" t="s">
        <v>10</v>
      </c>
      <c r="B321" s="1" t="s">
        <v>170</v>
      </c>
      <c r="C321" s="1" t="s">
        <v>3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</row>
    <row r="322" spans="1:9" hidden="1" x14ac:dyDescent="0.25">
      <c r="A322" s="1" t="s">
        <v>125</v>
      </c>
      <c r="B322" s="1" t="s">
        <v>171</v>
      </c>
      <c r="C322" s="1" t="s">
        <v>143</v>
      </c>
      <c r="D322" s="1">
        <v>278.91000000000003</v>
      </c>
      <c r="E322" s="1">
        <v>-99.4</v>
      </c>
      <c r="F322" s="1">
        <v>0</v>
      </c>
      <c r="G322" s="1">
        <v>536.779</v>
      </c>
      <c r="H322" s="1">
        <v>1673.461</v>
      </c>
      <c r="I322" s="1">
        <v>-1673.461</v>
      </c>
    </row>
    <row r="323" spans="1:9" hidden="1" x14ac:dyDescent="0.25">
      <c r="A323" s="1" t="s">
        <v>125</v>
      </c>
      <c r="B323" s="1" t="s">
        <v>171</v>
      </c>
      <c r="C323" s="1" t="s">
        <v>3</v>
      </c>
      <c r="D323" s="1">
        <v>305.88</v>
      </c>
      <c r="E323" s="1">
        <v>-99.4</v>
      </c>
      <c r="F323" s="1">
        <v>0</v>
      </c>
      <c r="G323" s="1">
        <v>536.779</v>
      </c>
      <c r="H323" s="1">
        <v>1835.299</v>
      </c>
      <c r="I323" s="1">
        <v>-2134.366</v>
      </c>
    </row>
    <row r="324" spans="1:9" hidden="1" x14ac:dyDescent="0.25">
      <c r="A324" s="1" t="s">
        <v>126</v>
      </c>
      <c r="B324" s="1" t="s">
        <v>171</v>
      </c>
      <c r="C324" s="1" t="s">
        <v>143</v>
      </c>
      <c r="D324" s="1">
        <v>584.79</v>
      </c>
      <c r="E324" s="1">
        <v>-177.77</v>
      </c>
      <c r="F324" s="1">
        <v>0</v>
      </c>
      <c r="G324" s="1">
        <v>959.94500000000005</v>
      </c>
      <c r="H324" s="1">
        <v>3508.76</v>
      </c>
      <c r="I324" s="1">
        <v>-3807.8270000000002</v>
      </c>
    </row>
    <row r="325" spans="1:9" hidden="1" x14ac:dyDescent="0.25">
      <c r="A325" s="1" t="s">
        <v>126</v>
      </c>
      <c r="B325" s="1" t="s">
        <v>171</v>
      </c>
      <c r="C325" s="1" t="s">
        <v>3</v>
      </c>
      <c r="D325" s="1">
        <v>611.77</v>
      </c>
      <c r="E325" s="1">
        <v>-177.77</v>
      </c>
      <c r="F325" s="1">
        <v>0</v>
      </c>
      <c r="G325" s="1">
        <v>959.94500000000005</v>
      </c>
      <c r="H325" s="1">
        <v>3670.5990000000002</v>
      </c>
      <c r="I325" s="1">
        <v>-4505.9059999999999</v>
      </c>
    </row>
    <row r="326" spans="1:9" hidden="1" x14ac:dyDescent="0.25">
      <c r="A326" s="1" t="s">
        <v>127</v>
      </c>
      <c r="B326" s="1" t="s">
        <v>171</v>
      </c>
      <c r="C326" s="1" t="s">
        <v>143</v>
      </c>
      <c r="D326" s="1">
        <v>890.68</v>
      </c>
      <c r="E326" s="1">
        <v>-230.01</v>
      </c>
      <c r="F326" s="1">
        <v>0</v>
      </c>
      <c r="G326" s="1">
        <v>1242.056</v>
      </c>
      <c r="H326" s="1">
        <v>5344.06</v>
      </c>
      <c r="I326" s="1">
        <v>-6179.3670000000002</v>
      </c>
    </row>
    <row r="327" spans="1:9" hidden="1" x14ac:dyDescent="0.25">
      <c r="A327" s="1" t="s">
        <v>127</v>
      </c>
      <c r="B327" s="1" t="s">
        <v>171</v>
      </c>
      <c r="C327" s="1" t="s">
        <v>3</v>
      </c>
      <c r="D327" s="1">
        <v>917.65</v>
      </c>
      <c r="E327" s="1">
        <v>-230.01</v>
      </c>
      <c r="F327" s="1">
        <v>0</v>
      </c>
      <c r="G327" s="1">
        <v>1242.056</v>
      </c>
      <c r="H327" s="1">
        <v>5505.8980000000001</v>
      </c>
      <c r="I327" s="1">
        <v>-7037.6880000000001</v>
      </c>
    </row>
    <row r="328" spans="1:9" hidden="1" x14ac:dyDescent="0.25">
      <c r="A328" s="1" t="s">
        <v>9</v>
      </c>
      <c r="B328" s="1" t="s">
        <v>171</v>
      </c>
      <c r="C328" s="1" t="s">
        <v>143</v>
      </c>
      <c r="D328" s="1">
        <v>1196.56</v>
      </c>
      <c r="E328" s="1">
        <v>-256.13</v>
      </c>
      <c r="F328" s="1">
        <v>0</v>
      </c>
      <c r="G328" s="1">
        <v>1383.1110000000001</v>
      </c>
      <c r="H328" s="1">
        <v>7179.3590000000004</v>
      </c>
      <c r="I328" s="1">
        <v>-8711.1489999999994</v>
      </c>
    </row>
    <row r="329" spans="1:9" hidden="1" x14ac:dyDescent="0.25">
      <c r="A329" s="1" t="s">
        <v>9</v>
      </c>
      <c r="B329" s="1" t="s">
        <v>171</v>
      </c>
      <c r="C329" s="1" t="s">
        <v>3</v>
      </c>
      <c r="D329" s="1">
        <v>1223.53</v>
      </c>
      <c r="E329" s="1">
        <v>-256.13</v>
      </c>
      <c r="F329" s="1">
        <v>0</v>
      </c>
      <c r="G329" s="1">
        <v>1383.1110000000001</v>
      </c>
      <c r="H329" s="1">
        <v>7341.1970000000001</v>
      </c>
      <c r="I329" s="1">
        <v>-9657.7029999999995</v>
      </c>
    </row>
    <row r="330" spans="1:9" hidden="1" x14ac:dyDescent="0.25">
      <c r="A330" s="1" t="s">
        <v>10</v>
      </c>
      <c r="B330" s="1" t="s">
        <v>171</v>
      </c>
      <c r="C330" s="1" t="s">
        <v>143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</row>
    <row r="331" spans="1:9" hidden="1" x14ac:dyDescent="0.25">
      <c r="A331" s="1" t="s">
        <v>10</v>
      </c>
      <c r="B331" s="1" t="s">
        <v>171</v>
      </c>
      <c r="C331" s="1" t="s">
        <v>3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</row>
    <row r="332" spans="1:9" hidden="1" x14ac:dyDescent="0.25">
      <c r="A332" s="1" t="s">
        <v>125</v>
      </c>
      <c r="B332" s="1" t="s">
        <v>172</v>
      </c>
      <c r="C332" s="1" t="s">
        <v>143</v>
      </c>
      <c r="D332" s="1">
        <v>278.91000000000003</v>
      </c>
      <c r="E332" s="1">
        <v>99.4</v>
      </c>
      <c r="F332" s="1">
        <v>0</v>
      </c>
      <c r="G332" s="1">
        <v>-656.06299999999999</v>
      </c>
      <c r="H332" s="1">
        <v>1673.461</v>
      </c>
      <c r="I332" s="1">
        <v>-1673.461</v>
      </c>
    </row>
    <row r="333" spans="1:9" hidden="1" x14ac:dyDescent="0.25">
      <c r="A333" s="1" t="s">
        <v>125</v>
      </c>
      <c r="B333" s="1" t="s">
        <v>172</v>
      </c>
      <c r="C333" s="1" t="s">
        <v>3</v>
      </c>
      <c r="D333" s="1">
        <v>305.88</v>
      </c>
      <c r="E333" s="1">
        <v>99.4</v>
      </c>
      <c r="F333" s="1">
        <v>0</v>
      </c>
      <c r="G333" s="1">
        <v>-656.06299999999999</v>
      </c>
      <c r="H333" s="1">
        <v>1835.299</v>
      </c>
      <c r="I333" s="1">
        <v>-1536.2329999999999</v>
      </c>
    </row>
    <row r="334" spans="1:9" hidden="1" x14ac:dyDescent="0.25">
      <c r="A334" s="1" t="s">
        <v>126</v>
      </c>
      <c r="B334" s="1" t="s">
        <v>172</v>
      </c>
      <c r="C334" s="1" t="s">
        <v>143</v>
      </c>
      <c r="D334" s="1">
        <v>584.79</v>
      </c>
      <c r="E334" s="1">
        <v>177.77</v>
      </c>
      <c r="F334" s="1">
        <v>0</v>
      </c>
      <c r="G334" s="1">
        <v>-1173.2660000000001</v>
      </c>
      <c r="H334" s="1">
        <v>3508.76</v>
      </c>
      <c r="I334" s="1">
        <v>-3209.694</v>
      </c>
    </row>
    <row r="335" spans="1:9" hidden="1" x14ac:dyDescent="0.25">
      <c r="A335" s="1" t="s">
        <v>126</v>
      </c>
      <c r="B335" s="1" t="s">
        <v>172</v>
      </c>
      <c r="C335" s="1" t="s">
        <v>3</v>
      </c>
      <c r="D335" s="1">
        <v>611.77</v>
      </c>
      <c r="E335" s="1">
        <v>177.77</v>
      </c>
      <c r="F335" s="1">
        <v>0</v>
      </c>
      <c r="G335" s="1">
        <v>-1173.2660000000001</v>
      </c>
      <c r="H335" s="1">
        <v>3670.5990000000002</v>
      </c>
      <c r="I335" s="1">
        <v>-2835.2910000000002</v>
      </c>
    </row>
    <row r="336" spans="1:9" hidden="1" x14ac:dyDescent="0.25">
      <c r="A336" s="1" t="s">
        <v>127</v>
      </c>
      <c r="B336" s="1" t="s">
        <v>172</v>
      </c>
      <c r="C336" s="1" t="s">
        <v>143</v>
      </c>
      <c r="D336" s="1">
        <v>890.68</v>
      </c>
      <c r="E336" s="1">
        <v>230.01</v>
      </c>
      <c r="F336" s="1">
        <v>0</v>
      </c>
      <c r="G336" s="1">
        <v>-1518.068</v>
      </c>
      <c r="H336" s="1">
        <v>5344.06</v>
      </c>
      <c r="I336" s="1">
        <v>-4508.7520000000004</v>
      </c>
    </row>
    <row r="337" spans="1:9" hidden="1" x14ac:dyDescent="0.25">
      <c r="A337" s="1" t="s">
        <v>127</v>
      </c>
      <c r="B337" s="1" t="s">
        <v>172</v>
      </c>
      <c r="C337" s="1" t="s">
        <v>3</v>
      </c>
      <c r="D337" s="1">
        <v>917.65</v>
      </c>
      <c r="E337" s="1">
        <v>230.01</v>
      </c>
      <c r="F337" s="1">
        <v>0</v>
      </c>
      <c r="G337" s="1">
        <v>-1518.068</v>
      </c>
      <c r="H337" s="1">
        <v>5505.8980000000001</v>
      </c>
      <c r="I337" s="1">
        <v>-3974.107</v>
      </c>
    </row>
    <row r="338" spans="1:9" hidden="1" x14ac:dyDescent="0.25">
      <c r="A338" s="1" t="s">
        <v>9</v>
      </c>
      <c r="B338" s="1" t="s">
        <v>172</v>
      </c>
      <c r="C338" s="1" t="s">
        <v>143</v>
      </c>
      <c r="D338" s="1">
        <v>1196.56</v>
      </c>
      <c r="E338" s="1">
        <v>256.13</v>
      </c>
      <c r="F338" s="1">
        <v>0</v>
      </c>
      <c r="G338" s="1">
        <v>-1690.4690000000001</v>
      </c>
      <c r="H338" s="1">
        <v>7179.3590000000004</v>
      </c>
      <c r="I338" s="1">
        <v>-5647.5680000000002</v>
      </c>
    </row>
    <row r="339" spans="1:9" hidden="1" x14ac:dyDescent="0.25">
      <c r="A339" s="1" t="s">
        <v>9</v>
      </c>
      <c r="B339" s="1" t="s">
        <v>172</v>
      </c>
      <c r="C339" s="1" t="s">
        <v>3</v>
      </c>
      <c r="D339" s="1">
        <v>1223.53</v>
      </c>
      <c r="E339" s="1">
        <v>256.13</v>
      </c>
      <c r="F339" s="1">
        <v>0</v>
      </c>
      <c r="G339" s="1">
        <v>-1690.4690000000001</v>
      </c>
      <c r="H339" s="1">
        <v>7341.1970000000001</v>
      </c>
      <c r="I339" s="1">
        <v>-5024.6909999999998</v>
      </c>
    </row>
    <row r="340" spans="1:9" hidden="1" x14ac:dyDescent="0.25">
      <c r="A340" s="1" t="s">
        <v>10</v>
      </c>
      <c r="B340" s="1" t="s">
        <v>172</v>
      </c>
      <c r="C340" s="1" t="s">
        <v>143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</row>
    <row r="341" spans="1:9" hidden="1" x14ac:dyDescent="0.25">
      <c r="A341" s="1" t="s">
        <v>10</v>
      </c>
      <c r="B341" s="1" t="s">
        <v>172</v>
      </c>
      <c r="C341" s="1" t="s">
        <v>3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</row>
    <row r="342" spans="1:9" hidden="1" x14ac:dyDescent="0.25">
      <c r="A342" s="1" t="s">
        <v>125</v>
      </c>
      <c r="B342" s="1" t="s">
        <v>173</v>
      </c>
      <c r="C342" s="1" t="s">
        <v>143</v>
      </c>
      <c r="D342" s="1">
        <v>278.91000000000003</v>
      </c>
      <c r="E342" s="1">
        <v>99.4</v>
      </c>
      <c r="F342" s="1">
        <v>0</v>
      </c>
      <c r="G342" s="1">
        <v>-536.779</v>
      </c>
      <c r="H342" s="1">
        <v>1673.461</v>
      </c>
      <c r="I342" s="1">
        <v>-1673.461</v>
      </c>
    </row>
    <row r="343" spans="1:9" hidden="1" x14ac:dyDescent="0.25">
      <c r="A343" s="1" t="s">
        <v>125</v>
      </c>
      <c r="B343" s="1" t="s">
        <v>173</v>
      </c>
      <c r="C343" s="1" t="s">
        <v>3</v>
      </c>
      <c r="D343" s="1">
        <v>305.88</v>
      </c>
      <c r="E343" s="1">
        <v>99.4</v>
      </c>
      <c r="F343" s="1">
        <v>0</v>
      </c>
      <c r="G343" s="1">
        <v>-536.779</v>
      </c>
      <c r="H343" s="1">
        <v>1835.299</v>
      </c>
      <c r="I343" s="1">
        <v>-1536.2329999999999</v>
      </c>
    </row>
    <row r="344" spans="1:9" hidden="1" x14ac:dyDescent="0.25">
      <c r="A344" s="1" t="s">
        <v>126</v>
      </c>
      <c r="B344" s="1" t="s">
        <v>173</v>
      </c>
      <c r="C344" s="1" t="s">
        <v>143</v>
      </c>
      <c r="D344" s="1">
        <v>584.79</v>
      </c>
      <c r="E344" s="1">
        <v>177.77</v>
      </c>
      <c r="F344" s="1">
        <v>0</v>
      </c>
      <c r="G344" s="1">
        <v>-959.94500000000005</v>
      </c>
      <c r="H344" s="1">
        <v>3508.76</v>
      </c>
      <c r="I344" s="1">
        <v>-3209.694</v>
      </c>
    </row>
    <row r="345" spans="1:9" hidden="1" x14ac:dyDescent="0.25">
      <c r="A345" s="1" t="s">
        <v>126</v>
      </c>
      <c r="B345" s="1" t="s">
        <v>173</v>
      </c>
      <c r="C345" s="1" t="s">
        <v>3</v>
      </c>
      <c r="D345" s="1">
        <v>611.77</v>
      </c>
      <c r="E345" s="1">
        <v>177.77</v>
      </c>
      <c r="F345" s="1">
        <v>0</v>
      </c>
      <c r="G345" s="1">
        <v>-959.94500000000005</v>
      </c>
      <c r="H345" s="1">
        <v>3670.5990000000002</v>
      </c>
      <c r="I345" s="1">
        <v>-2835.2910000000002</v>
      </c>
    </row>
    <row r="346" spans="1:9" hidden="1" x14ac:dyDescent="0.25">
      <c r="A346" s="1" t="s">
        <v>127</v>
      </c>
      <c r="B346" s="1" t="s">
        <v>173</v>
      </c>
      <c r="C346" s="1" t="s">
        <v>143</v>
      </c>
      <c r="D346" s="1">
        <v>890.68</v>
      </c>
      <c r="E346" s="1">
        <v>230.01</v>
      </c>
      <c r="F346" s="1">
        <v>0</v>
      </c>
      <c r="G346" s="1">
        <v>-1242.056</v>
      </c>
      <c r="H346" s="1">
        <v>5344.06</v>
      </c>
      <c r="I346" s="1">
        <v>-4508.7520000000004</v>
      </c>
    </row>
    <row r="347" spans="1:9" hidden="1" x14ac:dyDescent="0.25">
      <c r="A347" s="1" t="s">
        <v>127</v>
      </c>
      <c r="B347" s="1" t="s">
        <v>173</v>
      </c>
      <c r="C347" s="1" t="s">
        <v>3</v>
      </c>
      <c r="D347" s="1">
        <v>917.65</v>
      </c>
      <c r="E347" s="1">
        <v>230.01</v>
      </c>
      <c r="F347" s="1">
        <v>0</v>
      </c>
      <c r="G347" s="1">
        <v>-1242.056</v>
      </c>
      <c r="H347" s="1">
        <v>5505.8980000000001</v>
      </c>
      <c r="I347" s="1">
        <v>-3974.107</v>
      </c>
    </row>
    <row r="348" spans="1:9" hidden="1" x14ac:dyDescent="0.25">
      <c r="A348" s="1" t="s">
        <v>9</v>
      </c>
      <c r="B348" s="1" t="s">
        <v>173</v>
      </c>
      <c r="C348" s="1" t="s">
        <v>143</v>
      </c>
      <c r="D348" s="1">
        <v>1196.56</v>
      </c>
      <c r="E348" s="1">
        <v>256.13</v>
      </c>
      <c r="F348" s="1">
        <v>0</v>
      </c>
      <c r="G348" s="1">
        <v>-1383.1110000000001</v>
      </c>
      <c r="H348" s="1">
        <v>7179.3590000000004</v>
      </c>
      <c r="I348" s="1">
        <v>-5647.5680000000002</v>
      </c>
    </row>
    <row r="349" spans="1:9" hidden="1" x14ac:dyDescent="0.25">
      <c r="A349" s="1" t="s">
        <v>9</v>
      </c>
      <c r="B349" s="1" t="s">
        <v>173</v>
      </c>
      <c r="C349" s="1" t="s">
        <v>3</v>
      </c>
      <c r="D349" s="1">
        <v>1223.53</v>
      </c>
      <c r="E349" s="1">
        <v>256.13</v>
      </c>
      <c r="F349" s="1">
        <v>0</v>
      </c>
      <c r="G349" s="1">
        <v>-1383.1110000000001</v>
      </c>
      <c r="H349" s="1">
        <v>7341.1970000000001</v>
      </c>
      <c r="I349" s="1">
        <v>-5024.6909999999998</v>
      </c>
    </row>
    <row r="350" spans="1:9" hidden="1" x14ac:dyDescent="0.25">
      <c r="A350" s="1" t="s">
        <v>10</v>
      </c>
      <c r="B350" s="1" t="s">
        <v>173</v>
      </c>
      <c r="C350" s="1" t="s">
        <v>143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</row>
    <row r="351" spans="1:9" hidden="1" x14ac:dyDescent="0.25">
      <c r="A351" s="1" t="s">
        <v>10</v>
      </c>
      <c r="B351" s="1" t="s">
        <v>173</v>
      </c>
      <c r="C351" s="1" t="s">
        <v>3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</row>
    <row r="352" spans="1:9" hidden="1" x14ac:dyDescent="0.25">
      <c r="A352" s="1" t="s">
        <v>125</v>
      </c>
      <c r="B352" s="1" t="s">
        <v>174</v>
      </c>
      <c r="C352" s="1" t="s">
        <v>143</v>
      </c>
      <c r="D352" s="1">
        <v>278.91000000000003</v>
      </c>
      <c r="E352" s="1">
        <v>0</v>
      </c>
      <c r="F352" s="1">
        <v>-99.4</v>
      </c>
      <c r="G352" s="1">
        <v>-656.06299999999999</v>
      </c>
      <c r="H352" s="1">
        <v>1673.461</v>
      </c>
      <c r="I352" s="1">
        <v>-1673.461</v>
      </c>
    </row>
    <row r="353" spans="1:9" hidden="1" x14ac:dyDescent="0.25">
      <c r="A353" s="1" t="s">
        <v>125</v>
      </c>
      <c r="B353" s="1" t="s">
        <v>174</v>
      </c>
      <c r="C353" s="1" t="s">
        <v>3</v>
      </c>
      <c r="D353" s="1">
        <v>305.88</v>
      </c>
      <c r="E353" s="1">
        <v>0</v>
      </c>
      <c r="F353" s="1">
        <v>-99.4</v>
      </c>
      <c r="G353" s="1">
        <v>-656.06299999999999</v>
      </c>
      <c r="H353" s="1">
        <v>2134.366</v>
      </c>
      <c r="I353" s="1">
        <v>-1835.299</v>
      </c>
    </row>
    <row r="354" spans="1:9" hidden="1" x14ac:dyDescent="0.25">
      <c r="A354" s="1" t="s">
        <v>126</v>
      </c>
      <c r="B354" s="1" t="s">
        <v>174</v>
      </c>
      <c r="C354" s="1" t="s">
        <v>143</v>
      </c>
      <c r="D354" s="1">
        <v>584.79</v>
      </c>
      <c r="E354" s="1">
        <v>0</v>
      </c>
      <c r="F354" s="1">
        <v>-177.77</v>
      </c>
      <c r="G354" s="1">
        <v>-1173.2660000000001</v>
      </c>
      <c r="H354" s="1">
        <v>3807.8270000000002</v>
      </c>
      <c r="I354" s="1">
        <v>-3508.76</v>
      </c>
    </row>
    <row r="355" spans="1:9" hidden="1" x14ac:dyDescent="0.25">
      <c r="A355" s="1" t="s">
        <v>126</v>
      </c>
      <c r="B355" s="1" t="s">
        <v>174</v>
      </c>
      <c r="C355" s="1" t="s">
        <v>3</v>
      </c>
      <c r="D355" s="1">
        <v>611.77</v>
      </c>
      <c r="E355" s="1">
        <v>0</v>
      </c>
      <c r="F355" s="1">
        <v>-177.77</v>
      </c>
      <c r="G355" s="1">
        <v>-1173.2660000000001</v>
      </c>
      <c r="H355" s="1">
        <v>4505.9059999999999</v>
      </c>
      <c r="I355" s="1">
        <v>-3670.5990000000002</v>
      </c>
    </row>
    <row r="356" spans="1:9" hidden="1" x14ac:dyDescent="0.25">
      <c r="A356" s="1" t="s">
        <v>127</v>
      </c>
      <c r="B356" s="1" t="s">
        <v>174</v>
      </c>
      <c r="C356" s="1" t="s">
        <v>143</v>
      </c>
      <c r="D356" s="1">
        <v>890.68</v>
      </c>
      <c r="E356" s="1">
        <v>0</v>
      </c>
      <c r="F356" s="1">
        <v>-230.01</v>
      </c>
      <c r="G356" s="1">
        <v>-1518.068</v>
      </c>
      <c r="H356" s="1">
        <v>6179.3670000000002</v>
      </c>
      <c r="I356" s="1">
        <v>-5344.06</v>
      </c>
    </row>
    <row r="357" spans="1:9" hidden="1" x14ac:dyDescent="0.25">
      <c r="A357" s="1" t="s">
        <v>127</v>
      </c>
      <c r="B357" s="1" t="s">
        <v>174</v>
      </c>
      <c r="C357" s="1" t="s">
        <v>3</v>
      </c>
      <c r="D357" s="1">
        <v>917.65</v>
      </c>
      <c r="E357" s="1">
        <v>0</v>
      </c>
      <c r="F357" s="1">
        <v>-230.01</v>
      </c>
      <c r="G357" s="1">
        <v>-1518.068</v>
      </c>
      <c r="H357" s="1">
        <v>7037.6880000000001</v>
      </c>
      <c r="I357" s="1">
        <v>-5505.8980000000001</v>
      </c>
    </row>
    <row r="358" spans="1:9" hidden="1" x14ac:dyDescent="0.25">
      <c r="A358" s="1" t="s">
        <v>9</v>
      </c>
      <c r="B358" s="1" t="s">
        <v>174</v>
      </c>
      <c r="C358" s="1" t="s">
        <v>143</v>
      </c>
      <c r="D358" s="1">
        <v>1196.56</v>
      </c>
      <c r="E358" s="1">
        <v>0</v>
      </c>
      <c r="F358" s="1">
        <v>-256.13</v>
      </c>
      <c r="G358" s="1">
        <v>-1690.4690000000001</v>
      </c>
      <c r="H358" s="1">
        <v>8711.1489999999994</v>
      </c>
      <c r="I358" s="1">
        <v>-7179.3590000000004</v>
      </c>
    </row>
    <row r="359" spans="1:9" hidden="1" x14ac:dyDescent="0.25">
      <c r="A359" s="1" t="s">
        <v>9</v>
      </c>
      <c r="B359" s="1" t="s">
        <v>174</v>
      </c>
      <c r="C359" s="1" t="s">
        <v>3</v>
      </c>
      <c r="D359" s="1">
        <v>1223.53</v>
      </c>
      <c r="E359" s="1">
        <v>0</v>
      </c>
      <c r="F359" s="1">
        <v>-256.13</v>
      </c>
      <c r="G359" s="1">
        <v>-1690.4690000000001</v>
      </c>
      <c r="H359" s="1">
        <v>9657.7029999999995</v>
      </c>
      <c r="I359" s="1">
        <v>-7341.1970000000001</v>
      </c>
    </row>
    <row r="360" spans="1:9" hidden="1" x14ac:dyDescent="0.25">
      <c r="A360" s="1" t="s">
        <v>10</v>
      </c>
      <c r="B360" s="1" t="s">
        <v>174</v>
      </c>
      <c r="C360" s="1" t="s">
        <v>143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</row>
    <row r="361" spans="1:9" hidden="1" x14ac:dyDescent="0.25">
      <c r="A361" s="1" t="s">
        <v>10</v>
      </c>
      <c r="B361" s="1" t="s">
        <v>174</v>
      </c>
      <c r="C361" s="1" t="s">
        <v>3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</row>
    <row r="362" spans="1:9" hidden="1" x14ac:dyDescent="0.25">
      <c r="A362" s="1" t="s">
        <v>125</v>
      </c>
      <c r="B362" s="1" t="s">
        <v>175</v>
      </c>
      <c r="C362" s="1" t="s">
        <v>143</v>
      </c>
      <c r="D362" s="1">
        <v>278.91000000000003</v>
      </c>
      <c r="E362" s="1">
        <v>0</v>
      </c>
      <c r="F362" s="1">
        <v>-99.4</v>
      </c>
      <c r="G362" s="1">
        <v>-536.779</v>
      </c>
      <c r="H362" s="1">
        <v>1673.461</v>
      </c>
      <c r="I362" s="1">
        <v>-1673.461</v>
      </c>
    </row>
    <row r="363" spans="1:9" hidden="1" x14ac:dyDescent="0.25">
      <c r="A363" s="1" t="s">
        <v>125</v>
      </c>
      <c r="B363" s="1" t="s">
        <v>175</v>
      </c>
      <c r="C363" s="1" t="s">
        <v>3</v>
      </c>
      <c r="D363" s="1">
        <v>305.88</v>
      </c>
      <c r="E363" s="1">
        <v>0</v>
      </c>
      <c r="F363" s="1">
        <v>-99.4</v>
      </c>
      <c r="G363" s="1">
        <v>-536.779</v>
      </c>
      <c r="H363" s="1">
        <v>2134.366</v>
      </c>
      <c r="I363" s="1">
        <v>-1835.299</v>
      </c>
    </row>
    <row r="364" spans="1:9" hidden="1" x14ac:dyDescent="0.25">
      <c r="A364" s="1" t="s">
        <v>126</v>
      </c>
      <c r="B364" s="1" t="s">
        <v>175</v>
      </c>
      <c r="C364" s="1" t="s">
        <v>143</v>
      </c>
      <c r="D364" s="1">
        <v>584.79</v>
      </c>
      <c r="E364" s="1">
        <v>0</v>
      </c>
      <c r="F364" s="1">
        <v>-177.77</v>
      </c>
      <c r="G364" s="1">
        <v>-959.94500000000005</v>
      </c>
      <c r="H364" s="1">
        <v>3807.8270000000002</v>
      </c>
      <c r="I364" s="1">
        <v>-3508.76</v>
      </c>
    </row>
    <row r="365" spans="1:9" hidden="1" x14ac:dyDescent="0.25">
      <c r="A365" s="1" t="s">
        <v>126</v>
      </c>
      <c r="B365" s="1" t="s">
        <v>175</v>
      </c>
      <c r="C365" s="1" t="s">
        <v>3</v>
      </c>
      <c r="D365" s="1">
        <v>611.77</v>
      </c>
      <c r="E365" s="1">
        <v>0</v>
      </c>
      <c r="F365" s="1">
        <v>-177.77</v>
      </c>
      <c r="G365" s="1">
        <v>-959.94500000000005</v>
      </c>
      <c r="H365" s="1">
        <v>4505.9059999999999</v>
      </c>
      <c r="I365" s="1">
        <v>-3670.5990000000002</v>
      </c>
    </row>
    <row r="366" spans="1:9" hidden="1" x14ac:dyDescent="0.25">
      <c r="A366" s="1" t="s">
        <v>127</v>
      </c>
      <c r="B366" s="1" t="s">
        <v>175</v>
      </c>
      <c r="C366" s="1" t="s">
        <v>143</v>
      </c>
      <c r="D366" s="1">
        <v>890.68</v>
      </c>
      <c r="E366" s="1">
        <v>0</v>
      </c>
      <c r="F366" s="1">
        <v>-230.01</v>
      </c>
      <c r="G366" s="1">
        <v>-1242.056</v>
      </c>
      <c r="H366" s="1">
        <v>6179.3670000000002</v>
      </c>
      <c r="I366" s="1">
        <v>-5344.06</v>
      </c>
    </row>
    <row r="367" spans="1:9" hidden="1" x14ac:dyDescent="0.25">
      <c r="A367" s="1" t="s">
        <v>127</v>
      </c>
      <c r="B367" s="1" t="s">
        <v>175</v>
      </c>
      <c r="C367" s="1" t="s">
        <v>3</v>
      </c>
      <c r="D367" s="1">
        <v>917.65</v>
      </c>
      <c r="E367" s="1">
        <v>0</v>
      </c>
      <c r="F367" s="1">
        <v>-230.01</v>
      </c>
      <c r="G367" s="1">
        <v>-1242.056</v>
      </c>
      <c r="H367" s="1">
        <v>7037.6880000000001</v>
      </c>
      <c r="I367" s="1">
        <v>-5505.8980000000001</v>
      </c>
    </row>
    <row r="368" spans="1:9" hidden="1" x14ac:dyDescent="0.25">
      <c r="A368" s="1" t="s">
        <v>9</v>
      </c>
      <c r="B368" s="1" t="s">
        <v>175</v>
      </c>
      <c r="C368" s="1" t="s">
        <v>143</v>
      </c>
      <c r="D368" s="1">
        <v>1196.56</v>
      </c>
      <c r="E368" s="1">
        <v>0</v>
      </c>
      <c r="F368" s="1">
        <v>-256.13</v>
      </c>
      <c r="G368" s="1">
        <v>-1383.1110000000001</v>
      </c>
      <c r="H368" s="1">
        <v>8711.1489999999994</v>
      </c>
      <c r="I368" s="1">
        <v>-7179.3590000000004</v>
      </c>
    </row>
    <row r="369" spans="1:9" hidden="1" x14ac:dyDescent="0.25">
      <c r="A369" s="1" t="s">
        <v>9</v>
      </c>
      <c r="B369" s="1" t="s">
        <v>175</v>
      </c>
      <c r="C369" s="1" t="s">
        <v>3</v>
      </c>
      <c r="D369" s="1">
        <v>1223.53</v>
      </c>
      <c r="E369" s="1">
        <v>0</v>
      </c>
      <c r="F369" s="1">
        <v>-256.13</v>
      </c>
      <c r="G369" s="1">
        <v>-1383.1110000000001</v>
      </c>
      <c r="H369" s="1">
        <v>9657.7029999999995</v>
      </c>
      <c r="I369" s="1">
        <v>-7341.1970000000001</v>
      </c>
    </row>
    <row r="370" spans="1:9" hidden="1" x14ac:dyDescent="0.25">
      <c r="A370" s="1" t="s">
        <v>10</v>
      </c>
      <c r="B370" s="1" t="s">
        <v>175</v>
      </c>
      <c r="C370" s="1" t="s">
        <v>143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</row>
    <row r="371" spans="1:9" hidden="1" x14ac:dyDescent="0.25">
      <c r="A371" s="1" t="s">
        <v>10</v>
      </c>
      <c r="B371" s="1" t="s">
        <v>175</v>
      </c>
      <c r="C371" s="1" t="s">
        <v>3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</row>
    <row r="372" spans="1:9" hidden="1" x14ac:dyDescent="0.25">
      <c r="A372" s="1" t="s">
        <v>125</v>
      </c>
      <c r="B372" s="1" t="s">
        <v>176</v>
      </c>
      <c r="C372" s="1" t="s">
        <v>143</v>
      </c>
      <c r="D372" s="1">
        <v>278.91000000000003</v>
      </c>
      <c r="E372" s="1">
        <v>0</v>
      </c>
      <c r="F372" s="1">
        <v>99.4</v>
      </c>
      <c r="G372" s="1">
        <v>656.06299999999999</v>
      </c>
      <c r="H372" s="1">
        <v>1673.461</v>
      </c>
      <c r="I372" s="1">
        <v>-1673.461</v>
      </c>
    </row>
    <row r="373" spans="1:9" hidden="1" x14ac:dyDescent="0.25">
      <c r="A373" s="1" t="s">
        <v>125</v>
      </c>
      <c r="B373" s="1" t="s">
        <v>176</v>
      </c>
      <c r="C373" s="1" t="s">
        <v>3</v>
      </c>
      <c r="D373" s="1">
        <v>305.88</v>
      </c>
      <c r="E373" s="1">
        <v>0</v>
      </c>
      <c r="F373" s="1">
        <v>99.4</v>
      </c>
      <c r="G373" s="1">
        <v>656.06299999999999</v>
      </c>
      <c r="H373" s="1">
        <v>1536.2329999999999</v>
      </c>
      <c r="I373" s="1">
        <v>-1835.299</v>
      </c>
    </row>
    <row r="374" spans="1:9" hidden="1" x14ac:dyDescent="0.25">
      <c r="A374" s="1" t="s">
        <v>126</v>
      </c>
      <c r="B374" s="1" t="s">
        <v>176</v>
      </c>
      <c r="C374" s="1" t="s">
        <v>143</v>
      </c>
      <c r="D374" s="1">
        <v>584.79</v>
      </c>
      <c r="E374" s="1">
        <v>0</v>
      </c>
      <c r="F374" s="1">
        <v>177.77</v>
      </c>
      <c r="G374" s="1">
        <v>1173.2660000000001</v>
      </c>
      <c r="H374" s="1">
        <v>3209.694</v>
      </c>
      <c r="I374" s="1">
        <v>-3508.76</v>
      </c>
    </row>
    <row r="375" spans="1:9" hidden="1" x14ac:dyDescent="0.25">
      <c r="A375" s="1" t="s">
        <v>126</v>
      </c>
      <c r="B375" s="1" t="s">
        <v>176</v>
      </c>
      <c r="C375" s="1" t="s">
        <v>3</v>
      </c>
      <c r="D375" s="1">
        <v>611.77</v>
      </c>
      <c r="E375" s="1">
        <v>0</v>
      </c>
      <c r="F375" s="1">
        <v>177.77</v>
      </c>
      <c r="G375" s="1">
        <v>1173.2660000000001</v>
      </c>
      <c r="H375" s="1">
        <v>2835.2910000000002</v>
      </c>
      <c r="I375" s="1">
        <v>-3670.5990000000002</v>
      </c>
    </row>
    <row r="376" spans="1:9" hidden="1" x14ac:dyDescent="0.25">
      <c r="A376" s="1" t="s">
        <v>127</v>
      </c>
      <c r="B376" s="1" t="s">
        <v>176</v>
      </c>
      <c r="C376" s="1" t="s">
        <v>143</v>
      </c>
      <c r="D376" s="1">
        <v>890.68</v>
      </c>
      <c r="E376" s="1">
        <v>0</v>
      </c>
      <c r="F376" s="1">
        <v>230.01</v>
      </c>
      <c r="G376" s="1">
        <v>1518.068</v>
      </c>
      <c r="H376" s="1">
        <v>4508.7520000000004</v>
      </c>
      <c r="I376" s="1">
        <v>-5344.06</v>
      </c>
    </row>
    <row r="377" spans="1:9" hidden="1" x14ac:dyDescent="0.25">
      <c r="A377" s="1" t="s">
        <v>127</v>
      </c>
      <c r="B377" s="1" t="s">
        <v>176</v>
      </c>
      <c r="C377" s="1" t="s">
        <v>3</v>
      </c>
      <c r="D377" s="1">
        <v>917.65</v>
      </c>
      <c r="E377" s="1">
        <v>0</v>
      </c>
      <c r="F377" s="1">
        <v>230.01</v>
      </c>
      <c r="G377" s="1">
        <v>1518.068</v>
      </c>
      <c r="H377" s="1">
        <v>3974.107</v>
      </c>
      <c r="I377" s="1">
        <v>-5505.8980000000001</v>
      </c>
    </row>
    <row r="378" spans="1:9" hidden="1" x14ac:dyDescent="0.25">
      <c r="A378" s="1" t="s">
        <v>9</v>
      </c>
      <c r="B378" s="1" t="s">
        <v>176</v>
      </c>
      <c r="C378" s="1" t="s">
        <v>143</v>
      </c>
      <c r="D378" s="1">
        <v>1196.56</v>
      </c>
      <c r="E378" s="1">
        <v>0</v>
      </c>
      <c r="F378" s="1">
        <v>256.13</v>
      </c>
      <c r="G378" s="1">
        <v>1690.4690000000001</v>
      </c>
      <c r="H378" s="1">
        <v>5647.5680000000002</v>
      </c>
      <c r="I378" s="1">
        <v>-7179.3590000000004</v>
      </c>
    </row>
    <row r="379" spans="1:9" hidden="1" x14ac:dyDescent="0.25">
      <c r="A379" s="1" t="s">
        <v>9</v>
      </c>
      <c r="B379" s="1" t="s">
        <v>176</v>
      </c>
      <c r="C379" s="1" t="s">
        <v>3</v>
      </c>
      <c r="D379" s="1">
        <v>1223.53</v>
      </c>
      <c r="E379" s="1">
        <v>0</v>
      </c>
      <c r="F379" s="1">
        <v>256.13</v>
      </c>
      <c r="G379" s="1">
        <v>1690.4690000000001</v>
      </c>
      <c r="H379" s="1">
        <v>5024.6909999999998</v>
      </c>
      <c r="I379" s="1">
        <v>-7341.1970000000001</v>
      </c>
    </row>
    <row r="380" spans="1:9" hidden="1" x14ac:dyDescent="0.25">
      <c r="A380" s="1" t="s">
        <v>10</v>
      </c>
      <c r="B380" s="1" t="s">
        <v>176</v>
      </c>
      <c r="C380" s="1" t="s">
        <v>143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</row>
    <row r="381" spans="1:9" hidden="1" x14ac:dyDescent="0.25">
      <c r="A381" s="1" t="s">
        <v>10</v>
      </c>
      <c r="B381" s="1" t="s">
        <v>176</v>
      </c>
      <c r="C381" s="1" t="s">
        <v>3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</row>
    <row r="382" spans="1:9" hidden="1" x14ac:dyDescent="0.25">
      <c r="A382" s="1" t="s">
        <v>125</v>
      </c>
      <c r="B382" s="1" t="s">
        <v>177</v>
      </c>
      <c r="C382" s="1" t="s">
        <v>143</v>
      </c>
      <c r="D382" s="1">
        <v>278.91000000000003</v>
      </c>
      <c r="E382" s="1">
        <v>0</v>
      </c>
      <c r="F382" s="1">
        <v>99.4</v>
      </c>
      <c r="G382" s="1">
        <v>536.779</v>
      </c>
      <c r="H382" s="1">
        <v>1673.461</v>
      </c>
      <c r="I382" s="1">
        <v>-1673.461</v>
      </c>
    </row>
    <row r="383" spans="1:9" hidden="1" x14ac:dyDescent="0.25">
      <c r="A383" s="1" t="s">
        <v>125</v>
      </c>
      <c r="B383" s="1" t="s">
        <v>177</v>
      </c>
      <c r="C383" s="1" t="s">
        <v>3</v>
      </c>
      <c r="D383" s="1">
        <v>305.88</v>
      </c>
      <c r="E383" s="1">
        <v>0</v>
      </c>
      <c r="F383" s="1">
        <v>99.4</v>
      </c>
      <c r="G383" s="1">
        <v>536.779</v>
      </c>
      <c r="H383" s="1">
        <v>1536.2329999999999</v>
      </c>
      <c r="I383" s="1">
        <v>-1835.299</v>
      </c>
    </row>
    <row r="384" spans="1:9" hidden="1" x14ac:dyDescent="0.25">
      <c r="A384" s="1" t="s">
        <v>126</v>
      </c>
      <c r="B384" s="1" t="s">
        <v>177</v>
      </c>
      <c r="C384" s="1" t="s">
        <v>143</v>
      </c>
      <c r="D384" s="1">
        <v>584.79</v>
      </c>
      <c r="E384" s="1">
        <v>0</v>
      </c>
      <c r="F384" s="1">
        <v>177.77</v>
      </c>
      <c r="G384" s="1">
        <v>959.94500000000005</v>
      </c>
      <c r="H384" s="1">
        <v>3209.694</v>
      </c>
      <c r="I384" s="1">
        <v>-3508.76</v>
      </c>
    </row>
    <row r="385" spans="1:9" hidden="1" x14ac:dyDescent="0.25">
      <c r="A385" s="1" t="s">
        <v>126</v>
      </c>
      <c r="B385" s="1" t="s">
        <v>177</v>
      </c>
      <c r="C385" s="1" t="s">
        <v>3</v>
      </c>
      <c r="D385" s="1">
        <v>611.77</v>
      </c>
      <c r="E385" s="1">
        <v>0</v>
      </c>
      <c r="F385" s="1">
        <v>177.77</v>
      </c>
      <c r="G385" s="1">
        <v>959.94500000000005</v>
      </c>
      <c r="H385" s="1">
        <v>2835.2910000000002</v>
      </c>
      <c r="I385" s="1">
        <v>-3670.5990000000002</v>
      </c>
    </row>
    <row r="386" spans="1:9" hidden="1" x14ac:dyDescent="0.25">
      <c r="A386" s="1" t="s">
        <v>127</v>
      </c>
      <c r="B386" s="1" t="s">
        <v>177</v>
      </c>
      <c r="C386" s="1" t="s">
        <v>143</v>
      </c>
      <c r="D386" s="1">
        <v>890.68</v>
      </c>
      <c r="E386" s="1">
        <v>0</v>
      </c>
      <c r="F386" s="1">
        <v>230.01</v>
      </c>
      <c r="G386" s="1">
        <v>1242.056</v>
      </c>
      <c r="H386" s="1">
        <v>4508.7520000000004</v>
      </c>
      <c r="I386" s="1">
        <v>-5344.06</v>
      </c>
    </row>
    <row r="387" spans="1:9" hidden="1" x14ac:dyDescent="0.25">
      <c r="A387" s="1" t="s">
        <v>127</v>
      </c>
      <c r="B387" s="1" t="s">
        <v>177</v>
      </c>
      <c r="C387" s="1" t="s">
        <v>3</v>
      </c>
      <c r="D387" s="1">
        <v>917.65</v>
      </c>
      <c r="E387" s="1">
        <v>0</v>
      </c>
      <c r="F387" s="1">
        <v>230.01</v>
      </c>
      <c r="G387" s="1">
        <v>1242.056</v>
      </c>
      <c r="H387" s="1">
        <v>3974.107</v>
      </c>
      <c r="I387" s="1">
        <v>-5505.8980000000001</v>
      </c>
    </row>
    <row r="388" spans="1:9" hidden="1" x14ac:dyDescent="0.25">
      <c r="A388" s="1" t="s">
        <v>9</v>
      </c>
      <c r="B388" s="1" t="s">
        <v>177</v>
      </c>
      <c r="C388" s="1" t="s">
        <v>143</v>
      </c>
      <c r="D388" s="1">
        <v>1196.56</v>
      </c>
      <c r="E388" s="1">
        <v>0</v>
      </c>
      <c r="F388" s="1">
        <v>256.13</v>
      </c>
      <c r="G388" s="1">
        <v>1383.1110000000001</v>
      </c>
      <c r="H388" s="1">
        <v>5647.5680000000002</v>
      </c>
      <c r="I388" s="1">
        <v>-7179.3590000000004</v>
      </c>
    </row>
    <row r="389" spans="1:9" hidden="1" x14ac:dyDescent="0.25">
      <c r="A389" s="1" t="s">
        <v>9</v>
      </c>
      <c r="B389" s="1" t="s">
        <v>177</v>
      </c>
      <c r="C389" s="1" t="s">
        <v>3</v>
      </c>
      <c r="D389" s="1">
        <v>1223.53</v>
      </c>
      <c r="E389" s="1">
        <v>0</v>
      </c>
      <c r="F389" s="1">
        <v>256.13</v>
      </c>
      <c r="G389" s="1">
        <v>1383.1110000000001</v>
      </c>
      <c r="H389" s="1">
        <v>5024.6909999999998</v>
      </c>
      <c r="I389" s="1">
        <v>-7341.1970000000001</v>
      </c>
    </row>
    <row r="390" spans="1:9" hidden="1" x14ac:dyDescent="0.25">
      <c r="A390" s="1" t="s">
        <v>10</v>
      </c>
      <c r="B390" s="1" t="s">
        <v>177</v>
      </c>
      <c r="C390" s="1" t="s">
        <v>143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</row>
    <row r="391" spans="1:9" hidden="1" x14ac:dyDescent="0.25">
      <c r="A391" s="1" t="s">
        <v>10</v>
      </c>
      <c r="B391" s="1" t="s">
        <v>177</v>
      </c>
      <c r="C391" s="1" t="s">
        <v>3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</row>
    <row r="392" spans="1:9" hidden="1" x14ac:dyDescent="0.25">
      <c r="A392" s="1" t="s">
        <v>125</v>
      </c>
      <c r="B392" s="1" t="s">
        <v>178</v>
      </c>
      <c r="C392" s="1" t="s">
        <v>143</v>
      </c>
      <c r="D392" s="1">
        <v>322.35000000000002</v>
      </c>
      <c r="E392" s="1">
        <v>-29.82</v>
      </c>
      <c r="F392" s="1">
        <v>0</v>
      </c>
      <c r="G392" s="1">
        <v>196.81899999999999</v>
      </c>
      <c r="H392" s="1">
        <v>1934.1130000000001</v>
      </c>
      <c r="I392" s="1">
        <v>-1934.1130000000001</v>
      </c>
    </row>
    <row r="393" spans="1:9" hidden="1" x14ac:dyDescent="0.25">
      <c r="A393" s="1" t="s">
        <v>125</v>
      </c>
      <c r="B393" s="1" t="s">
        <v>178</v>
      </c>
      <c r="C393" s="1" t="s">
        <v>3</v>
      </c>
      <c r="D393" s="1">
        <v>353.88</v>
      </c>
      <c r="E393" s="1">
        <v>-29.82</v>
      </c>
      <c r="F393" s="1">
        <v>0</v>
      </c>
      <c r="G393" s="1">
        <v>196.81899999999999</v>
      </c>
      <c r="H393" s="1">
        <v>2123.2739999999999</v>
      </c>
      <c r="I393" s="1">
        <v>-2212.9940000000001</v>
      </c>
    </row>
    <row r="394" spans="1:9" hidden="1" x14ac:dyDescent="0.25">
      <c r="A394" s="1" t="s">
        <v>126</v>
      </c>
      <c r="B394" s="1" t="s">
        <v>178</v>
      </c>
      <c r="C394" s="1" t="s">
        <v>143</v>
      </c>
      <c r="D394" s="1">
        <v>676.23</v>
      </c>
      <c r="E394" s="1">
        <v>-53.33</v>
      </c>
      <c r="F394" s="1">
        <v>0</v>
      </c>
      <c r="G394" s="1">
        <v>351.98</v>
      </c>
      <c r="H394" s="1">
        <v>4057.3870000000002</v>
      </c>
      <c r="I394" s="1">
        <v>-4147.107</v>
      </c>
    </row>
    <row r="395" spans="1:9" hidden="1" x14ac:dyDescent="0.25">
      <c r="A395" s="1" t="s">
        <v>126</v>
      </c>
      <c r="B395" s="1" t="s">
        <v>178</v>
      </c>
      <c r="C395" s="1" t="s">
        <v>3</v>
      </c>
      <c r="D395" s="1">
        <v>707.76</v>
      </c>
      <c r="E395" s="1">
        <v>-53.33</v>
      </c>
      <c r="F395" s="1">
        <v>0</v>
      </c>
      <c r="G395" s="1">
        <v>351.98</v>
      </c>
      <c r="H395" s="1">
        <v>4246.549</v>
      </c>
      <c r="I395" s="1">
        <v>-4497.1409999999996</v>
      </c>
    </row>
    <row r="396" spans="1:9" hidden="1" x14ac:dyDescent="0.25">
      <c r="A396" s="1" t="s">
        <v>127</v>
      </c>
      <c r="B396" s="1" t="s">
        <v>178</v>
      </c>
      <c r="C396" s="1" t="s">
        <v>143</v>
      </c>
      <c r="D396" s="1">
        <v>1030.1099999999999</v>
      </c>
      <c r="E396" s="1">
        <v>-69</v>
      </c>
      <c r="F396" s="1">
        <v>0</v>
      </c>
      <c r="G396" s="1">
        <v>455.42</v>
      </c>
      <c r="H396" s="1">
        <v>6180.6620000000003</v>
      </c>
      <c r="I396" s="1">
        <v>-6431.2539999999999</v>
      </c>
    </row>
    <row r="397" spans="1:9" hidden="1" x14ac:dyDescent="0.25">
      <c r="A397" s="1" t="s">
        <v>127</v>
      </c>
      <c r="B397" s="1" t="s">
        <v>178</v>
      </c>
      <c r="C397" s="1" t="s">
        <v>3</v>
      </c>
      <c r="D397" s="1">
        <v>1061.6400000000001</v>
      </c>
      <c r="E397" s="1">
        <v>-69</v>
      </c>
      <c r="F397" s="1">
        <v>0</v>
      </c>
      <c r="G397" s="1">
        <v>455.42</v>
      </c>
      <c r="H397" s="1">
        <v>6369.8230000000003</v>
      </c>
      <c r="I397" s="1">
        <v>-6829.3609999999999</v>
      </c>
    </row>
    <row r="398" spans="1:9" hidden="1" x14ac:dyDescent="0.25">
      <c r="A398" s="1" t="s">
        <v>9</v>
      </c>
      <c r="B398" s="1" t="s">
        <v>178</v>
      </c>
      <c r="C398" s="1" t="s">
        <v>143</v>
      </c>
      <c r="D398" s="1">
        <v>1383.99</v>
      </c>
      <c r="E398" s="1">
        <v>-76.84</v>
      </c>
      <c r="F398" s="1">
        <v>0</v>
      </c>
      <c r="G398" s="1">
        <v>507.14100000000002</v>
      </c>
      <c r="H398" s="1">
        <v>8303.9359999999997</v>
      </c>
      <c r="I398" s="1">
        <v>-8763.473</v>
      </c>
    </row>
    <row r="399" spans="1:9" hidden="1" x14ac:dyDescent="0.25">
      <c r="A399" s="1" t="s">
        <v>9</v>
      </c>
      <c r="B399" s="1" t="s">
        <v>178</v>
      </c>
      <c r="C399" s="1" t="s">
        <v>3</v>
      </c>
      <c r="D399" s="1">
        <v>1415.52</v>
      </c>
      <c r="E399" s="1">
        <v>-76.84</v>
      </c>
      <c r="F399" s="1">
        <v>0</v>
      </c>
      <c r="G399" s="1">
        <v>507.14100000000002</v>
      </c>
      <c r="H399" s="1">
        <v>8493.098</v>
      </c>
      <c r="I399" s="1">
        <v>-9188.0499999999993</v>
      </c>
    </row>
    <row r="400" spans="1:9" hidden="1" x14ac:dyDescent="0.25">
      <c r="A400" s="1" t="s">
        <v>10</v>
      </c>
      <c r="B400" s="1" t="s">
        <v>178</v>
      </c>
      <c r="C400" s="1" t="s">
        <v>143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</row>
    <row r="401" spans="1:9" hidden="1" x14ac:dyDescent="0.25">
      <c r="A401" s="1" t="s">
        <v>10</v>
      </c>
      <c r="B401" s="1" t="s">
        <v>178</v>
      </c>
      <c r="C401" s="1" t="s">
        <v>3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</row>
    <row r="402" spans="1:9" hidden="1" x14ac:dyDescent="0.25">
      <c r="A402" s="1" t="s">
        <v>125</v>
      </c>
      <c r="B402" s="1" t="s">
        <v>179</v>
      </c>
      <c r="C402" s="1" t="s">
        <v>143</v>
      </c>
      <c r="D402" s="1">
        <v>322.35000000000002</v>
      </c>
      <c r="E402" s="1">
        <v>-29.82</v>
      </c>
      <c r="F402" s="1">
        <v>0</v>
      </c>
      <c r="G402" s="1">
        <v>161.03399999999999</v>
      </c>
      <c r="H402" s="1">
        <v>1934.1130000000001</v>
      </c>
      <c r="I402" s="1">
        <v>-1934.1130000000001</v>
      </c>
    </row>
    <row r="403" spans="1:9" hidden="1" x14ac:dyDescent="0.25">
      <c r="A403" s="1" t="s">
        <v>125</v>
      </c>
      <c r="B403" s="1" t="s">
        <v>179</v>
      </c>
      <c r="C403" s="1" t="s">
        <v>3</v>
      </c>
      <c r="D403" s="1">
        <v>353.88</v>
      </c>
      <c r="E403" s="1">
        <v>-29.82</v>
      </c>
      <c r="F403" s="1">
        <v>0</v>
      </c>
      <c r="G403" s="1">
        <v>161.03399999999999</v>
      </c>
      <c r="H403" s="1">
        <v>2123.2739999999999</v>
      </c>
      <c r="I403" s="1">
        <v>-2212.9940000000001</v>
      </c>
    </row>
    <row r="404" spans="1:9" hidden="1" x14ac:dyDescent="0.25">
      <c r="A404" s="1" t="s">
        <v>126</v>
      </c>
      <c r="B404" s="1" t="s">
        <v>179</v>
      </c>
      <c r="C404" s="1" t="s">
        <v>143</v>
      </c>
      <c r="D404" s="1">
        <v>676.23</v>
      </c>
      <c r="E404" s="1">
        <v>-53.33</v>
      </c>
      <c r="F404" s="1">
        <v>0</v>
      </c>
      <c r="G404" s="1">
        <v>287.98399999999998</v>
      </c>
      <c r="H404" s="1">
        <v>4057.3870000000002</v>
      </c>
      <c r="I404" s="1">
        <v>-4147.107</v>
      </c>
    </row>
    <row r="405" spans="1:9" hidden="1" x14ac:dyDescent="0.25">
      <c r="A405" s="1" t="s">
        <v>126</v>
      </c>
      <c r="B405" s="1" t="s">
        <v>179</v>
      </c>
      <c r="C405" s="1" t="s">
        <v>3</v>
      </c>
      <c r="D405" s="1">
        <v>707.76</v>
      </c>
      <c r="E405" s="1">
        <v>-53.33</v>
      </c>
      <c r="F405" s="1">
        <v>0</v>
      </c>
      <c r="G405" s="1">
        <v>287.98399999999998</v>
      </c>
      <c r="H405" s="1">
        <v>4246.549</v>
      </c>
      <c r="I405" s="1">
        <v>-4497.1409999999996</v>
      </c>
    </row>
    <row r="406" spans="1:9" hidden="1" x14ac:dyDescent="0.25">
      <c r="A406" s="1" t="s">
        <v>127</v>
      </c>
      <c r="B406" s="1" t="s">
        <v>179</v>
      </c>
      <c r="C406" s="1" t="s">
        <v>143</v>
      </c>
      <c r="D406" s="1">
        <v>1030.1099999999999</v>
      </c>
      <c r="E406" s="1">
        <v>-69</v>
      </c>
      <c r="F406" s="1">
        <v>0</v>
      </c>
      <c r="G406" s="1">
        <v>372.61700000000002</v>
      </c>
      <c r="H406" s="1">
        <v>6180.6620000000003</v>
      </c>
      <c r="I406" s="1">
        <v>-6431.2539999999999</v>
      </c>
    </row>
    <row r="407" spans="1:9" hidden="1" x14ac:dyDescent="0.25">
      <c r="A407" s="1" t="s">
        <v>127</v>
      </c>
      <c r="B407" s="1" t="s">
        <v>179</v>
      </c>
      <c r="C407" s="1" t="s">
        <v>3</v>
      </c>
      <c r="D407" s="1">
        <v>1061.6400000000001</v>
      </c>
      <c r="E407" s="1">
        <v>-69</v>
      </c>
      <c r="F407" s="1">
        <v>0</v>
      </c>
      <c r="G407" s="1">
        <v>372.61700000000002</v>
      </c>
      <c r="H407" s="1">
        <v>6369.8230000000003</v>
      </c>
      <c r="I407" s="1">
        <v>-6829.3609999999999</v>
      </c>
    </row>
    <row r="408" spans="1:9" hidden="1" x14ac:dyDescent="0.25">
      <c r="A408" s="1" t="s">
        <v>9</v>
      </c>
      <c r="B408" s="1" t="s">
        <v>179</v>
      </c>
      <c r="C408" s="1" t="s">
        <v>143</v>
      </c>
      <c r="D408" s="1">
        <v>1383.99</v>
      </c>
      <c r="E408" s="1">
        <v>-76.84</v>
      </c>
      <c r="F408" s="1">
        <v>0</v>
      </c>
      <c r="G408" s="1">
        <v>414.93299999999999</v>
      </c>
      <c r="H408" s="1">
        <v>8303.9359999999997</v>
      </c>
      <c r="I408" s="1">
        <v>-8763.473</v>
      </c>
    </row>
    <row r="409" spans="1:9" hidden="1" x14ac:dyDescent="0.25">
      <c r="A409" s="1" t="s">
        <v>9</v>
      </c>
      <c r="B409" s="1" t="s">
        <v>179</v>
      </c>
      <c r="C409" s="1" t="s">
        <v>3</v>
      </c>
      <c r="D409" s="1">
        <v>1415.52</v>
      </c>
      <c r="E409" s="1">
        <v>-76.84</v>
      </c>
      <c r="F409" s="1">
        <v>0</v>
      </c>
      <c r="G409" s="1">
        <v>414.93299999999999</v>
      </c>
      <c r="H409" s="1">
        <v>8493.098</v>
      </c>
      <c r="I409" s="1">
        <v>-9188.0499999999993</v>
      </c>
    </row>
    <row r="410" spans="1:9" hidden="1" x14ac:dyDescent="0.25">
      <c r="A410" s="1" t="s">
        <v>10</v>
      </c>
      <c r="B410" s="1" t="s">
        <v>179</v>
      </c>
      <c r="C410" s="1" t="s">
        <v>143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</row>
    <row r="411" spans="1:9" hidden="1" x14ac:dyDescent="0.25">
      <c r="A411" s="1" t="s">
        <v>10</v>
      </c>
      <c r="B411" s="1" t="s">
        <v>179</v>
      </c>
      <c r="C411" s="1" t="s">
        <v>3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</row>
    <row r="412" spans="1:9" hidden="1" x14ac:dyDescent="0.25">
      <c r="A412" s="1" t="s">
        <v>125</v>
      </c>
      <c r="B412" s="1" t="s">
        <v>180</v>
      </c>
      <c r="C412" s="1" t="s">
        <v>143</v>
      </c>
      <c r="D412" s="1">
        <v>322.35000000000002</v>
      </c>
      <c r="E412" s="1">
        <v>29.82</v>
      </c>
      <c r="F412" s="1">
        <v>0</v>
      </c>
      <c r="G412" s="1">
        <v>-196.81899999999999</v>
      </c>
      <c r="H412" s="1">
        <v>1934.1130000000001</v>
      </c>
      <c r="I412" s="1">
        <v>-1934.1130000000001</v>
      </c>
    </row>
    <row r="413" spans="1:9" hidden="1" x14ac:dyDescent="0.25">
      <c r="A413" s="1" t="s">
        <v>125</v>
      </c>
      <c r="B413" s="1" t="s">
        <v>180</v>
      </c>
      <c r="C413" s="1" t="s">
        <v>3</v>
      </c>
      <c r="D413" s="1">
        <v>353.88</v>
      </c>
      <c r="E413" s="1">
        <v>29.82</v>
      </c>
      <c r="F413" s="1">
        <v>0</v>
      </c>
      <c r="G413" s="1">
        <v>-196.81899999999999</v>
      </c>
      <c r="H413" s="1">
        <v>2123.2739999999999</v>
      </c>
      <c r="I413" s="1">
        <v>-2033.5540000000001</v>
      </c>
    </row>
    <row r="414" spans="1:9" hidden="1" x14ac:dyDescent="0.25">
      <c r="A414" s="1" t="s">
        <v>126</v>
      </c>
      <c r="B414" s="1" t="s">
        <v>180</v>
      </c>
      <c r="C414" s="1" t="s">
        <v>143</v>
      </c>
      <c r="D414" s="1">
        <v>676.23</v>
      </c>
      <c r="E414" s="1">
        <v>53.33</v>
      </c>
      <c r="F414" s="1">
        <v>0</v>
      </c>
      <c r="G414" s="1">
        <v>-351.98</v>
      </c>
      <c r="H414" s="1">
        <v>4057.3870000000002</v>
      </c>
      <c r="I414" s="1">
        <v>-3967.6669999999999</v>
      </c>
    </row>
    <row r="415" spans="1:9" hidden="1" x14ac:dyDescent="0.25">
      <c r="A415" s="1" t="s">
        <v>126</v>
      </c>
      <c r="B415" s="1" t="s">
        <v>180</v>
      </c>
      <c r="C415" s="1" t="s">
        <v>3</v>
      </c>
      <c r="D415" s="1">
        <v>707.76</v>
      </c>
      <c r="E415" s="1">
        <v>53.33</v>
      </c>
      <c r="F415" s="1">
        <v>0</v>
      </c>
      <c r="G415" s="1">
        <v>-351.98</v>
      </c>
      <c r="H415" s="1">
        <v>4246.549</v>
      </c>
      <c r="I415" s="1">
        <v>-3995.9569999999999</v>
      </c>
    </row>
    <row r="416" spans="1:9" hidden="1" x14ac:dyDescent="0.25">
      <c r="A416" s="1" t="s">
        <v>127</v>
      </c>
      <c r="B416" s="1" t="s">
        <v>180</v>
      </c>
      <c r="C416" s="1" t="s">
        <v>143</v>
      </c>
      <c r="D416" s="1">
        <v>1030.1099999999999</v>
      </c>
      <c r="E416" s="1">
        <v>69</v>
      </c>
      <c r="F416" s="1">
        <v>0</v>
      </c>
      <c r="G416" s="1">
        <v>-455.42</v>
      </c>
      <c r="H416" s="1">
        <v>6180.6620000000003</v>
      </c>
      <c r="I416" s="1">
        <v>-5930.07</v>
      </c>
    </row>
    <row r="417" spans="1:9" hidden="1" x14ac:dyDescent="0.25">
      <c r="A417" s="1" t="s">
        <v>127</v>
      </c>
      <c r="B417" s="1" t="s">
        <v>180</v>
      </c>
      <c r="C417" s="1" t="s">
        <v>3</v>
      </c>
      <c r="D417" s="1">
        <v>1061.6400000000001</v>
      </c>
      <c r="E417" s="1">
        <v>69</v>
      </c>
      <c r="F417" s="1">
        <v>0</v>
      </c>
      <c r="G417" s="1">
        <v>-455.42</v>
      </c>
      <c r="H417" s="1">
        <v>6369.8230000000003</v>
      </c>
      <c r="I417" s="1">
        <v>-5910.2860000000001</v>
      </c>
    </row>
    <row r="418" spans="1:9" hidden="1" x14ac:dyDescent="0.25">
      <c r="A418" s="1" t="s">
        <v>9</v>
      </c>
      <c r="B418" s="1" t="s">
        <v>180</v>
      </c>
      <c r="C418" s="1" t="s">
        <v>143</v>
      </c>
      <c r="D418" s="1">
        <v>1383.99</v>
      </c>
      <c r="E418" s="1">
        <v>76.84</v>
      </c>
      <c r="F418" s="1">
        <v>0</v>
      </c>
      <c r="G418" s="1">
        <v>-507.14100000000002</v>
      </c>
      <c r="H418" s="1">
        <v>8303.9359999999997</v>
      </c>
      <c r="I418" s="1">
        <v>-7844.3990000000003</v>
      </c>
    </row>
    <row r="419" spans="1:9" hidden="1" x14ac:dyDescent="0.25">
      <c r="A419" s="1" t="s">
        <v>9</v>
      </c>
      <c r="B419" s="1" t="s">
        <v>180</v>
      </c>
      <c r="C419" s="1" t="s">
        <v>3</v>
      </c>
      <c r="D419" s="1">
        <v>1415.52</v>
      </c>
      <c r="E419" s="1">
        <v>76.84</v>
      </c>
      <c r="F419" s="1">
        <v>0</v>
      </c>
      <c r="G419" s="1">
        <v>-507.14100000000002</v>
      </c>
      <c r="H419" s="1">
        <v>8493.098</v>
      </c>
      <c r="I419" s="1">
        <v>-7798.1459999999997</v>
      </c>
    </row>
    <row r="420" spans="1:9" hidden="1" x14ac:dyDescent="0.25">
      <c r="A420" s="1" t="s">
        <v>10</v>
      </c>
      <c r="B420" s="1" t="s">
        <v>180</v>
      </c>
      <c r="C420" s="1" t="s">
        <v>143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</row>
    <row r="421" spans="1:9" hidden="1" x14ac:dyDescent="0.25">
      <c r="A421" s="1" t="s">
        <v>10</v>
      </c>
      <c r="B421" s="1" t="s">
        <v>180</v>
      </c>
      <c r="C421" s="1" t="s">
        <v>3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</row>
    <row r="422" spans="1:9" hidden="1" x14ac:dyDescent="0.25">
      <c r="A422" s="1" t="s">
        <v>125</v>
      </c>
      <c r="B422" s="1" t="s">
        <v>181</v>
      </c>
      <c r="C422" s="1" t="s">
        <v>143</v>
      </c>
      <c r="D422" s="1">
        <v>322.35000000000002</v>
      </c>
      <c r="E422" s="1">
        <v>29.82</v>
      </c>
      <c r="F422" s="1">
        <v>0</v>
      </c>
      <c r="G422" s="1">
        <v>-161.03399999999999</v>
      </c>
      <c r="H422" s="1">
        <v>1934.1130000000001</v>
      </c>
      <c r="I422" s="1">
        <v>-1934.1130000000001</v>
      </c>
    </row>
    <row r="423" spans="1:9" hidden="1" x14ac:dyDescent="0.25">
      <c r="A423" s="1" t="s">
        <v>125</v>
      </c>
      <c r="B423" s="1" t="s">
        <v>181</v>
      </c>
      <c r="C423" s="1" t="s">
        <v>3</v>
      </c>
      <c r="D423" s="1">
        <v>353.88</v>
      </c>
      <c r="E423" s="1">
        <v>29.82</v>
      </c>
      <c r="F423" s="1">
        <v>0</v>
      </c>
      <c r="G423" s="1">
        <v>-161.03399999999999</v>
      </c>
      <c r="H423" s="1">
        <v>2123.2739999999999</v>
      </c>
      <c r="I423" s="1">
        <v>-2033.5540000000001</v>
      </c>
    </row>
    <row r="424" spans="1:9" hidden="1" x14ac:dyDescent="0.25">
      <c r="A424" s="1" t="s">
        <v>126</v>
      </c>
      <c r="B424" s="1" t="s">
        <v>181</v>
      </c>
      <c r="C424" s="1" t="s">
        <v>143</v>
      </c>
      <c r="D424" s="1">
        <v>676.23</v>
      </c>
      <c r="E424" s="1">
        <v>53.33</v>
      </c>
      <c r="F424" s="1">
        <v>0</v>
      </c>
      <c r="G424" s="1">
        <v>-287.98399999999998</v>
      </c>
      <c r="H424" s="1">
        <v>4057.3870000000002</v>
      </c>
      <c r="I424" s="1">
        <v>-3967.6669999999999</v>
      </c>
    </row>
    <row r="425" spans="1:9" hidden="1" x14ac:dyDescent="0.25">
      <c r="A425" s="1" t="s">
        <v>126</v>
      </c>
      <c r="B425" s="1" t="s">
        <v>181</v>
      </c>
      <c r="C425" s="1" t="s">
        <v>3</v>
      </c>
      <c r="D425" s="1">
        <v>707.76</v>
      </c>
      <c r="E425" s="1">
        <v>53.33</v>
      </c>
      <c r="F425" s="1">
        <v>0</v>
      </c>
      <c r="G425" s="1">
        <v>-287.98399999999998</v>
      </c>
      <c r="H425" s="1">
        <v>4246.549</v>
      </c>
      <c r="I425" s="1">
        <v>-3995.9569999999999</v>
      </c>
    </row>
    <row r="426" spans="1:9" hidden="1" x14ac:dyDescent="0.25">
      <c r="A426" s="1" t="s">
        <v>127</v>
      </c>
      <c r="B426" s="1" t="s">
        <v>181</v>
      </c>
      <c r="C426" s="1" t="s">
        <v>143</v>
      </c>
      <c r="D426" s="1">
        <v>1030.1099999999999</v>
      </c>
      <c r="E426" s="1">
        <v>69</v>
      </c>
      <c r="F426" s="1">
        <v>0</v>
      </c>
      <c r="G426" s="1">
        <v>-372.61700000000002</v>
      </c>
      <c r="H426" s="1">
        <v>6180.6620000000003</v>
      </c>
      <c r="I426" s="1">
        <v>-5930.07</v>
      </c>
    </row>
    <row r="427" spans="1:9" hidden="1" x14ac:dyDescent="0.25">
      <c r="A427" s="1" t="s">
        <v>127</v>
      </c>
      <c r="B427" s="1" t="s">
        <v>181</v>
      </c>
      <c r="C427" s="1" t="s">
        <v>3</v>
      </c>
      <c r="D427" s="1">
        <v>1061.6400000000001</v>
      </c>
      <c r="E427" s="1">
        <v>69</v>
      </c>
      <c r="F427" s="1">
        <v>0</v>
      </c>
      <c r="G427" s="1">
        <v>-372.61700000000002</v>
      </c>
      <c r="H427" s="1">
        <v>6369.8230000000003</v>
      </c>
      <c r="I427" s="1">
        <v>-5910.2860000000001</v>
      </c>
    </row>
    <row r="428" spans="1:9" hidden="1" x14ac:dyDescent="0.25">
      <c r="A428" s="1" t="s">
        <v>9</v>
      </c>
      <c r="B428" s="1" t="s">
        <v>181</v>
      </c>
      <c r="C428" s="1" t="s">
        <v>143</v>
      </c>
      <c r="D428" s="1">
        <v>1383.99</v>
      </c>
      <c r="E428" s="1">
        <v>76.84</v>
      </c>
      <c r="F428" s="1">
        <v>0</v>
      </c>
      <c r="G428" s="1">
        <v>-414.93299999999999</v>
      </c>
      <c r="H428" s="1">
        <v>8303.9359999999997</v>
      </c>
      <c r="I428" s="1">
        <v>-7844.3990000000003</v>
      </c>
    </row>
    <row r="429" spans="1:9" hidden="1" x14ac:dyDescent="0.25">
      <c r="A429" s="1" t="s">
        <v>9</v>
      </c>
      <c r="B429" s="1" t="s">
        <v>181</v>
      </c>
      <c r="C429" s="1" t="s">
        <v>3</v>
      </c>
      <c r="D429" s="1">
        <v>1415.52</v>
      </c>
      <c r="E429" s="1">
        <v>76.84</v>
      </c>
      <c r="F429" s="1">
        <v>0</v>
      </c>
      <c r="G429" s="1">
        <v>-414.93299999999999</v>
      </c>
      <c r="H429" s="1">
        <v>8493.098</v>
      </c>
      <c r="I429" s="1">
        <v>-7798.1459999999997</v>
      </c>
    </row>
    <row r="430" spans="1:9" hidden="1" x14ac:dyDescent="0.25">
      <c r="A430" s="1" t="s">
        <v>10</v>
      </c>
      <c r="B430" s="1" t="s">
        <v>181</v>
      </c>
      <c r="C430" s="1" t="s">
        <v>143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10</v>
      </c>
      <c r="B431" s="1" t="s">
        <v>181</v>
      </c>
      <c r="C431" s="1" t="s">
        <v>3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125</v>
      </c>
      <c r="B432" s="1" t="s">
        <v>182</v>
      </c>
      <c r="C432" s="1" t="s">
        <v>143</v>
      </c>
      <c r="D432" s="1">
        <v>322.35000000000002</v>
      </c>
      <c r="E432" s="1">
        <v>0</v>
      </c>
      <c r="F432" s="1">
        <v>-29.82</v>
      </c>
      <c r="G432" s="1">
        <v>-196.81899999999999</v>
      </c>
      <c r="H432" s="1">
        <v>1934.1130000000001</v>
      </c>
      <c r="I432" s="1">
        <v>-1934.1130000000001</v>
      </c>
    </row>
    <row r="433" spans="1:9" hidden="1" x14ac:dyDescent="0.25">
      <c r="A433" s="1" t="s">
        <v>125</v>
      </c>
      <c r="B433" s="1" t="s">
        <v>182</v>
      </c>
      <c r="C433" s="1" t="s">
        <v>3</v>
      </c>
      <c r="D433" s="1">
        <v>353.88</v>
      </c>
      <c r="E433" s="1">
        <v>0</v>
      </c>
      <c r="F433" s="1">
        <v>-29.82</v>
      </c>
      <c r="G433" s="1">
        <v>-196.81899999999999</v>
      </c>
      <c r="H433" s="1">
        <v>2212.9940000000001</v>
      </c>
      <c r="I433" s="1">
        <v>-2123.2739999999999</v>
      </c>
    </row>
    <row r="434" spans="1:9" hidden="1" x14ac:dyDescent="0.25">
      <c r="A434" s="1" t="s">
        <v>126</v>
      </c>
      <c r="B434" s="1" t="s">
        <v>182</v>
      </c>
      <c r="C434" s="1" t="s">
        <v>143</v>
      </c>
      <c r="D434" s="1">
        <v>676.23</v>
      </c>
      <c r="E434" s="1">
        <v>0</v>
      </c>
      <c r="F434" s="1">
        <v>-53.33</v>
      </c>
      <c r="G434" s="1">
        <v>-351.98</v>
      </c>
      <c r="H434" s="1">
        <v>4147.107</v>
      </c>
      <c r="I434" s="1">
        <v>-4057.3870000000002</v>
      </c>
    </row>
    <row r="435" spans="1:9" hidden="1" x14ac:dyDescent="0.25">
      <c r="A435" s="1" t="s">
        <v>126</v>
      </c>
      <c r="B435" s="1" t="s">
        <v>182</v>
      </c>
      <c r="C435" s="1" t="s">
        <v>3</v>
      </c>
      <c r="D435" s="1">
        <v>707.76</v>
      </c>
      <c r="E435" s="1">
        <v>0</v>
      </c>
      <c r="F435" s="1">
        <v>-53.33</v>
      </c>
      <c r="G435" s="1">
        <v>-351.98</v>
      </c>
      <c r="H435" s="1">
        <v>4497.1409999999996</v>
      </c>
      <c r="I435" s="1">
        <v>-4246.549</v>
      </c>
    </row>
    <row r="436" spans="1:9" hidden="1" x14ac:dyDescent="0.25">
      <c r="A436" s="1" t="s">
        <v>127</v>
      </c>
      <c r="B436" s="1" t="s">
        <v>182</v>
      </c>
      <c r="C436" s="1" t="s">
        <v>143</v>
      </c>
      <c r="D436" s="1">
        <v>1030.1099999999999</v>
      </c>
      <c r="E436" s="1">
        <v>0</v>
      </c>
      <c r="F436" s="1">
        <v>-69</v>
      </c>
      <c r="G436" s="1">
        <v>-455.42</v>
      </c>
      <c r="H436" s="1">
        <v>6431.2539999999999</v>
      </c>
      <c r="I436" s="1">
        <v>-6180.6620000000003</v>
      </c>
    </row>
    <row r="437" spans="1:9" hidden="1" x14ac:dyDescent="0.25">
      <c r="A437" s="1" t="s">
        <v>127</v>
      </c>
      <c r="B437" s="1" t="s">
        <v>182</v>
      </c>
      <c r="C437" s="1" t="s">
        <v>3</v>
      </c>
      <c r="D437" s="1">
        <v>1061.6400000000001</v>
      </c>
      <c r="E437" s="1">
        <v>0</v>
      </c>
      <c r="F437" s="1">
        <v>-69</v>
      </c>
      <c r="G437" s="1">
        <v>-455.42</v>
      </c>
      <c r="H437" s="1">
        <v>6829.3609999999999</v>
      </c>
      <c r="I437" s="1">
        <v>-6369.8230000000003</v>
      </c>
    </row>
    <row r="438" spans="1:9" hidden="1" x14ac:dyDescent="0.25">
      <c r="A438" s="1" t="s">
        <v>9</v>
      </c>
      <c r="B438" s="1" t="s">
        <v>182</v>
      </c>
      <c r="C438" s="1" t="s">
        <v>143</v>
      </c>
      <c r="D438" s="1">
        <v>1383.99</v>
      </c>
      <c r="E438" s="1">
        <v>0</v>
      </c>
      <c r="F438" s="1">
        <v>-76.84</v>
      </c>
      <c r="G438" s="1">
        <v>-507.14100000000002</v>
      </c>
      <c r="H438" s="1">
        <v>8763.473</v>
      </c>
      <c r="I438" s="1">
        <v>-8303.9359999999997</v>
      </c>
    </row>
    <row r="439" spans="1:9" hidden="1" x14ac:dyDescent="0.25">
      <c r="A439" s="1" t="s">
        <v>9</v>
      </c>
      <c r="B439" s="1" t="s">
        <v>182</v>
      </c>
      <c r="C439" s="1" t="s">
        <v>3</v>
      </c>
      <c r="D439" s="1">
        <v>1415.52</v>
      </c>
      <c r="E439" s="1">
        <v>0</v>
      </c>
      <c r="F439" s="1">
        <v>-76.84</v>
      </c>
      <c r="G439" s="1">
        <v>-507.14100000000002</v>
      </c>
      <c r="H439" s="1">
        <v>9188.0499999999993</v>
      </c>
      <c r="I439" s="1">
        <v>-8493.098</v>
      </c>
    </row>
    <row r="440" spans="1:9" hidden="1" x14ac:dyDescent="0.25">
      <c r="A440" s="1" t="s">
        <v>10</v>
      </c>
      <c r="B440" s="1" t="s">
        <v>182</v>
      </c>
      <c r="C440" s="1" t="s">
        <v>143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10</v>
      </c>
      <c r="B441" s="1" t="s">
        <v>182</v>
      </c>
      <c r="C441" s="1" t="s">
        <v>3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125</v>
      </c>
      <c r="B442" s="1" t="s">
        <v>183</v>
      </c>
      <c r="C442" s="1" t="s">
        <v>143</v>
      </c>
      <c r="D442" s="1">
        <v>322.35000000000002</v>
      </c>
      <c r="E442" s="1">
        <v>0</v>
      </c>
      <c r="F442" s="1">
        <v>-29.82</v>
      </c>
      <c r="G442" s="1">
        <v>-161.03399999999999</v>
      </c>
      <c r="H442" s="1">
        <v>1934.1130000000001</v>
      </c>
      <c r="I442" s="1">
        <v>-1934.1130000000001</v>
      </c>
    </row>
    <row r="443" spans="1:9" hidden="1" x14ac:dyDescent="0.25">
      <c r="A443" s="1" t="s">
        <v>125</v>
      </c>
      <c r="B443" s="1" t="s">
        <v>183</v>
      </c>
      <c r="C443" s="1" t="s">
        <v>3</v>
      </c>
      <c r="D443" s="1">
        <v>353.88</v>
      </c>
      <c r="E443" s="1">
        <v>0</v>
      </c>
      <c r="F443" s="1">
        <v>-29.82</v>
      </c>
      <c r="G443" s="1">
        <v>-161.03399999999999</v>
      </c>
      <c r="H443" s="1">
        <v>2212.9940000000001</v>
      </c>
      <c r="I443" s="1">
        <v>-2123.2739999999999</v>
      </c>
    </row>
    <row r="444" spans="1:9" hidden="1" x14ac:dyDescent="0.25">
      <c r="A444" s="1" t="s">
        <v>126</v>
      </c>
      <c r="B444" s="1" t="s">
        <v>183</v>
      </c>
      <c r="C444" s="1" t="s">
        <v>143</v>
      </c>
      <c r="D444" s="1">
        <v>676.23</v>
      </c>
      <c r="E444" s="1">
        <v>0</v>
      </c>
      <c r="F444" s="1">
        <v>-53.33</v>
      </c>
      <c r="G444" s="1">
        <v>-287.98399999999998</v>
      </c>
      <c r="H444" s="1">
        <v>4147.107</v>
      </c>
      <c r="I444" s="1">
        <v>-4057.3870000000002</v>
      </c>
    </row>
    <row r="445" spans="1:9" hidden="1" x14ac:dyDescent="0.25">
      <c r="A445" s="1" t="s">
        <v>126</v>
      </c>
      <c r="B445" s="1" t="s">
        <v>183</v>
      </c>
      <c r="C445" s="1" t="s">
        <v>3</v>
      </c>
      <c r="D445" s="1">
        <v>707.76</v>
      </c>
      <c r="E445" s="1">
        <v>0</v>
      </c>
      <c r="F445" s="1">
        <v>-53.33</v>
      </c>
      <c r="G445" s="1">
        <v>-287.98399999999998</v>
      </c>
      <c r="H445" s="1">
        <v>4497.1409999999996</v>
      </c>
      <c r="I445" s="1">
        <v>-4246.549</v>
      </c>
    </row>
    <row r="446" spans="1:9" hidden="1" x14ac:dyDescent="0.25">
      <c r="A446" s="1" t="s">
        <v>127</v>
      </c>
      <c r="B446" s="1" t="s">
        <v>183</v>
      </c>
      <c r="C446" s="1" t="s">
        <v>143</v>
      </c>
      <c r="D446" s="1">
        <v>1030.1099999999999</v>
      </c>
      <c r="E446" s="1">
        <v>0</v>
      </c>
      <c r="F446" s="1">
        <v>-69</v>
      </c>
      <c r="G446" s="1">
        <v>-372.61700000000002</v>
      </c>
      <c r="H446" s="1">
        <v>6431.2539999999999</v>
      </c>
      <c r="I446" s="1">
        <v>-6180.6620000000003</v>
      </c>
    </row>
    <row r="447" spans="1:9" hidden="1" x14ac:dyDescent="0.25">
      <c r="A447" s="1" t="s">
        <v>127</v>
      </c>
      <c r="B447" s="1" t="s">
        <v>183</v>
      </c>
      <c r="C447" s="1" t="s">
        <v>3</v>
      </c>
      <c r="D447" s="1">
        <v>1061.6400000000001</v>
      </c>
      <c r="E447" s="1">
        <v>0</v>
      </c>
      <c r="F447" s="1">
        <v>-69</v>
      </c>
      <c r="G447" s="1">
        <v>-372.61700000000002</v>
      </c>
      <c r="H447" s="1">
        <v>6829.3609999999999</v>
      </c>
      <c r="I447" s="1">
        <v>-6369.8230000000003</v>
      </c>
    </row>
    <row r="448" spans="1:9" hidden="1" x14ac:dyDescent="0.25">
      <c r="A448" s="1" t="s">
        <v>9</v>
      </c>
      <c r="B448" s="1" t="s">
        <v>183</v>
      </c>
      <c r="C448" s="1" t="s">
        <v>143</v>
      </c>
      <c r="D448" s="1">
        <v>1383.99</v>
      </c>
      <c r="E448" s="1">
        <v>0</v>
      </c>
      <c r="F448" s="1">
        <v>-76.84</v>
      </c>
      <c r="G448" s="1">
        <v>-414.93299999999999</v>
      </c>
      <c r="H448" s="1">
        <v>8763.473</v>
      </c>
      <c r="I448" s="1">
        <v>-8303.9359999999997</v>
      </c>
    </row>
    <row r="449" spans="1:9" hidden="1" x14ac:dyDescent="0.25">
      <c r="A449" s="1" t="s">
        <v>9</v>
      </c>
      <c r="B449" s="1" t="s">
        <v>183</v>
      </c>
      <c r="C449" s="1" t="s">
        <v>3</v>
      </c>
      <c r="D449" s="1">
        <v>1415.52</v>
      </c>
      <c r="E449" s="1">
        <v>0</v>
      </c>
      <c r="F449" s="1">
        <v>-76.84</v>
      </c>
      <c r="G449" s="1">
        <v>-414.93299999999999</v>
      </c>
      <c r="H449" s="1">
        <v>9188.0499999999993</v>
      </c>
      <c r="I449" s="1">
        <v>-8493.098</v>
      </c>
    </row>
    <row r="450" spans="1:9" hidden="1" x14ac:dyDescent="0.25">
      <c r="A450" s="1" t="s">
        <v>10</v>
      </c>
      <c r="B450" s="1" t="s">
        <v>183</v>
      </c>
      <c r="C450" s="1" t="s">
        <v>143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10</v>
      </c>
      <c r="B451" s="1" t="s">
        <v>183</v>
      </c>
      <c r="C451" s="1" t="s">
        <v>3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125</v>
      </c>
      <c r="B452" s="1" t="s">
        <v>184</v>
      </c>
      <c r="C452" s="1" t="s">
        <v>143</v>
      </c>
      <c r="D452" s="1">
        <v>322.35000000000002</v>
      </c>
      <c r="E452" s="1">
        <v>0</v>
      </c>
      <c r="F452" s="1">
        <v>29.82</v>
      </c>
      <c r="G452" s="1">
        <v>196.81899999999999</v>
      </c>
      <c r="H452" s="1">
        <v>1934.1130000000001</v>
      </c>
      <c r="I452" s="1">
        <v>-1934.1130000000001</v>
      </c>
    </row>
    <row r="453" spans="1:9" hidden="1" x14ac:dyDescent="0.25">
      <c r="A453" s="1" t="s">
        <v>125</v>
      </c>
      <c r="B453" s="1" t="s">
        <v>184</v>
      </c>
      <c r="C453" s="1" t="s">
        <v>3</v>
      </c>
      <c r="D453" s="1">
        <v>353.88</v>
      </c>
      <c r="E453" s="1">
        <v>0</v>
      </c>
      <c r="F453" s="1">
        <v>29.82</v>
      </c>
      <c r="G453" s="1">
        <v>196.81899999999999</v>
      </c>
      <c r="H453" s="1">
        <v>2033.5540000000001</v>
      </c>
      <c r="I453" s="1">
        <v>-2123.2739999999999</v>
      </c>
    </row>
    <row r="454" spans="1:9" hidden="1" x14ac:dyDescent="0.25">
      <c r="A454" s="1" t="s">
        <v>126</v>
      </c>
      <c r="B454" s="1" t="s">
        <v>184</v>
      </c>
      <c r="C454" s="1" t="s">
        <v>143</v>
      </c>
      <c r="D454" s="1">
        <v>676.23</v>
      </c>
      <c r="E454" s="1">
        <v>0</v>
      </c>
      <c r="F454" s="1">
        <v>53.33</v>
      </c>
      <c r="G454" s="1">
        <v>351.98</v>
      </c>
      <c r="H454" s="1">
        <v>3967.6669999999999</v>
      </c>
      <c r="I454" s="1">
        <v>-4057.3870000000002</v>
      </c>
    </row>
    <row r="455" spans="1:9" hidden="1" x14ac:dyDescent="0.25">
      <c r="A455" s="1" t="s">
        <v>126</v>
      </c>
      <c r="B455" s="1" t="s">
        <v>184</v>
      </c>
      <c r="C455" s="1" t="s">
        <v>3</v>
      </c>
      <c r="D455" s="1">
        <v>707.76</v>
      </c>
      <c r="E455" s="1">
        <v>0</v>
      </c>
      <c r="F455" s="1">
        <v>53.33</v>
      </c>
      <c r="G455" s="1">
        <v>351.98</v>
      </c>
      <c r="H455" s="1">
        <v>3995.9569999999999</v>
      </c>
      <c r="I455" s="1">
        <v>-4246.549</v>
      </c>
    </row>
    <row r="456" spans="1:9" hidden="1" x14ac:dyDescent="0.25">
      <c r="A456" s="1" t="s">
        <v>127</v>
      </c>
      <c r="B456" s="1" t="s">
        <v>184</v>
      </c>
      <c r="C456" s="1" t="s">
        <v>143</v>
      </c>
      <c r="D456" s="1">
        <v>1030.1099999999999</v>
      </c>
      <c r="E456" s="1">
        <v>0</v>
      </c>
      <c r="F456" s="1">
        <v>69</v>
      </c>
      <c r="G456" s="1">
        <v>455.42</v>
      </c>
      <c r="H456" s="1">
        <v>5930.07</v>
      </c>
      <c r="I456" s="1">
        <v>-6180.6620000000003</v>
      </c>
    </row>
    <row r="457" spans="1:9" hidden="1" x14ac:dyDescent="0.25">
      <c r="A457" s="1" t="s">
        <v>127</v>
      </c>
      <c r="B457" s="1" t="s">
        <v>184</v>
      </c>
      <c r="C457" s="1" t="s">
        <v>3</v>
      </c>
      <c r="D457" s="1">
        <v>1061.6400000000001</v>
      </c>
      <c r="E457" s="1">
        <v>0</v>
      </c>
      <c r="F457" s="1">
        <v>69</v>
      </c>
      <c r="G457" s="1">
        <v>455.42</v>
      </c>
      <c r="H457" s="1">
        <v>5910.2860000000001</v>
      </c>
      <c r="I457" s="1">
        <v>-6369.8230000000003</v>
      </c>
    </row>
    <row r="458" spans="1:9" hidden="1" x14ac:dyDescent="0.25">
      <c r="A458" s="1" t="s">
        <v>9</v>
      </c>
      <c r="B458" s="1" t="s">
        <v>184</v>
      </c>
      <c r="C458" s="1" t="s">
        <v>143</v>
      </c>
      <c r="D458" s="1">
        <v>1383.99</v>
      </c>
      <c r="E458" s="1">
        <v>0</v>
      </c>
      <c r="F458" s="1">
        <v>76.84</v>
      </c>
      <c r="G458" s="1">
        <v>507.14100000000002</v>
      </c>
      <c r="H458" s="1">
        <v>7844.3990000000003</v>
      </c>
      <c r="I458" s="1">
        <v>-8303.9359999999997</v>
      </c>
    </row>
    <row r="459" spans="1:9" hidden="1" x14ac:dyDescent="0.25">
      <c r="A459" s="1" t="s">
        <v>9</v>
      </c>
      <c r="B459" s="1" t="s">
        <v>184</v>
      </c>
      <c r="C459" s="1" t="s">
        <v>3</v>
      </c>
      <c r="D459" s="1">
        <v>1415.52</v>
      </c>
      <c r="E459" s="1">
        <v>0</v>
      </c>
      <c r="F459" s="1">
        <v>76.84</v>
      </c>
      <c r="G459" s="1">
        <v>507.14100000000002</v>
      </c>
      <c r="H459" s="1">
        <v>7798.1459999999997</v>
      </c>
      <c r="I459" s="1">
        <v>-8493.098</v>
      </c>
    </row>
    <row r="460" spans="1:9" hidden="1" x14ac:dyDescent="0.25">
      <c r="A460" s="1" t="s">
        <v>10</v>
      </c>
      <c r="B460" s="1" t="s">
        <v>184</v>
      </c>
      <c r="C460" s="1" t="s">
        <v>143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10</v>
      </c>
      <c r="B461" s="1" t="s">
        <v>184</v>
      </c>
      <c r="C461" s="1" t="s">
        <v>3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125</v>
      </c>
      <c r="B462" s="1" t="s">
        <v>185</v>
      </c>
      <c r="C462" s="1" t="s">
        <v>143</v>
      </c>
      <c r="D462" s="1">
        <v>322.35000000000002</v>
      </c>
      <c r="E462" s="1">
        <v>0</v>
      </c>
      <c r="F462" s="1">
        <v>29.82</v>
      </c>
      <c r="G462" s="1">
        <v>161.03399999999999</v>
      </c>
      <c r="H462" s="1">
        <v>1934.1130000000001</v>
      </c>
      <c r="I462" s="1">
        <v>-1934.1130000000001</v>
      </c>
    </row>
    <row r="463" spans="1:9" hidden="1" x14ac:dyDescent="0.25">
      <c r="A463" s="1" t="s">
        <v>125</v>
      </c>
      <c r="B463" s="1" t="s">
        <v>185</v>
      </c>
      <c r="C463" s="1" t="s">
        <v>3</v>
      </c>
      <c r="D463" s="1">
        <v>353.88</v>
      </c>
      <c r="E463" s="1">
        <v>0</v>
      </c>
      <c r="F463" s="1">
        <v>29.82</v>
      </c>
      <c r="G463" s="1">
        <v>161.03399999999999</v>
      </c>
      <c r="H463" s="1">
        <v>2033.5540000000001</v>
      </c>
      <c r="I463" s="1">
        <v>-2123.2739999999999</v>
      </c>
    </row>
    <row r="464" spans="1:9" hidden="1" x14ac:dyDescent="0.25">
      <c r="A464" s="1" t="s">
        <v>126</v>
      </c>
      <c r="B464" s="1" t="s">
        <v>185</v>
      </c>
      <c r="C464" s="1" t="s">
        <v>143</v>
      </c>
      <c r="D464" s="1">
        <v>676.23</v>
      </c>
      <c r="E464" s="1">
        <v>0</v>
      </c>
      <c r="F464" s="1">
        <v>53.33</v>
      </c>
      <c r="G464" s="1">
        <v>287.98399999999998</v>
      </c>
      <c r="H464" s="1">
        <v>3967.6669999999999</v>
      </c>
      <c r="I464" s="1">
        <v>-4057.3870000000002</v>
      </c>
    </row>
    <row r="465" spans="1:9" hidden="1" x14ac:dyDescent="0.25">
      <c r="A465" s="1" t="s">
        <v>126</v>
      </c>
      <c r="B465" s="1" t="s">
        <v>185</v>
      </c>
      <c r="C465" s="1" t="s">
        <v>3</v>
      </c>
      <c r="D465" s="1">
        <v>707.76</v>
      </c>
      <c r="E465" s="1">
        <v>0</v>
      </c>
      <c r="F465" s="1">
        <v>53.33</v>
      </c>
      <c r="G465" s="1">
        <v>287.98399999999998</v>
      </c>
      <c r="H465" s="1">
        <v>3995.9569999999999</v>
      </c>
      <c r="I465" s="1">
        <v>-4246.549</v>
      </c>
    </row>
    <row r="466" spans="1:9" hidden="1" x14ac:dyDescent="0.25">
      <c r="A466" s="1" t="s">
        <v>127</v>
      </c>
      <c r="B466" s="1" t="s">
        <v>185</v>
      </c>
      <c r="C466" s="1" t="s">
        <v>143</v>
      </c>
      <c r="D466" s="1">
        <v>1030.1099999999999</v>
      </c>
      <c r="E466" s="1">
        <v>0</v>
      </c>
      <c r="F466" s="1">
        <v>69</v>
      </c>
      <c r="G466" s="1">
        <v>372.61700000000002</v>
      </c>
      <c r="H466" s="1">
        <v>5930.07</v>
      </c>
      <c r="I466" s="1">
        <v>-6180.6620000000003</v>
      </c>
    </row>
    <row r="467" spans="1:9" hidden="1" x14ac:dyDescent="0.25">
      <c r="A467" s="1" t="s">
        <v>127</v>
      </c>
      <c r="B467" s="1" t="s">
        <v>185</v>
      </c>
      <c r="C467" s="1" t="s">
        <v>3</v>
      </c>
      <c r="D467" s="1">
        <v>1061.6400000000001</v>
      </c>
      <c r="E467" s="1">
        <v>0</v>
      </c>
      <c r="F467" s="1">
        <v>69</v>
      </c>
      <c r="G467" s="1">
        <v>372.61700000000002</v>
      </c>
      <c r="H467" s="1">
        <v>5910.2860000000001</v>
      </c>
      <c r="I467" s="1">
        <v>-6369.8230000000003</v>
      </c>
    </row>
    <row r="468" spans="1:9" hidden="1" x14ac:dyDescent="0.25">
      <c r="A468" s="1" t="s">
        <v>9</v>
      </c>
      <c r="B468" s="1" t="s">
        <v>185</v>
      </c>
      <c r="C468" s="1" t="s">
        <v>143</v>
      </c>
      <c r="D468" s="1">
        <v>1383.99</v>
      </c>
      <c r="E468" s="1">
        <v>0</v>
      </c>
      <c r="F468" s="1">
        <v>76.84</v>
      </c>
      <c r="G468" s="1">
        <v>414.93299999999999</v>
      </c>
      <c r="H468" s="1">
        <v>7844.3990000000003</v>
      </c>
      <c r="I468" s="1">
        <v>-8303.9359999999997</v>
      </c>
    </row>
    <row r="469" spans="1:9" hidden="1" x14ac:dyDescent="0.25">
      <c r="A469" s="1" t="s">
        <v>9</v>
      </c>
      <c r="B469" s="1" t="s">
        <v>185</v>
      </c>
      <c r="C469" s="1" t="s">
        <v>3</v>
      </c>
      <c r="D469" s="1">
        <v>1415.52</v>
      </c>
      <c r="E469" s="1">
        <v>0</v>
      </c>
      <c r="F469" s="1">
        <v>76.84</v>
      </c>
      <c r="G469" s="1">
        <v>414.93299999999999</v>
      </c>
      <c r="H469" s="1">
        <v>7798.1459999999997</v>
      </c>
      <c r="I469" s="1">
        <v>-8493.098</v>
      </c>
    </row>
    <row r="470" spans="1:9" hidden="1" x14ac:dyDescent="0.25">
      <c r="A470" s="1" t="s">
        <v>10</v>
      </c>
      <c r="B470" s="1" t="s">
        <v>185</v>
      </c>
      <c r="C470" s="1" t="s">
        <v>143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</row>
    <row r="471" spans="1:9" hidden="1" x14ac:dyDescent="0.25">
      <c r="A471" s="1" t="s">
        <v>10</v>
      </c>
      <c r="B471" s="1" t="s">
        <v>185</v>
      </c>
      <c r="C471" s="1" t="s">
        <v>3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</row>
    <row r="472" spans="1:9" hidden="1" x14ac:dyDescent="0.25">
      <c r="A472" s="1" t="s">
        <v>125</v>
      </c>
      <c r="B472" s="1" t="s">
        <v>186</v>
      </c>
      <c r="C472" s="1" t="s">
        <v>143</v>
      </c>
      <c r="D472" s="1">
        <v>255.52</v>
      </c>
      <c r="E472" s="1">
        <v>-29.82</v>
      </c>
      <c r="F472" s="1">
        <v>0</v>
      </c>
      <c r="G472" s="1">
        <v>196.81899999999999</v>
      </c>
      <c r="H472" s="1">
        <v>1533.11</v>
      </c>
      <c r="I472" s="1">
        <v>-1533.11</v>
      </c>
    </row>
    <row r="473" spans="1:9" hidden="1" x14ac:dyDescent="0.25">
      <c r="A473" s="1" t="s">
        <v>125</v>
      </c>
      <c r="B473" s="1" t="s">
        <v>186</v>
      </c>
      <c r="C473" s="1" t="s">
        <v>3</v>
      </c>
      <c r="D473" s="1">
        <v>280.04000000000002</v>
      </c>
      <c r="E473" s="1">
        <v>-29.82</v>
      </c>
      <c r="F473" s="1">
        <v>0</v>
      </c>
      <c r="G473" s="1">
        <v>196.81899999999999</v>
      </c>
      <c r="H473" s="1">
        <v>1680.2360000000001</v>
      </c>
      <c r="I473" s="1">
        <v>-1769.9559999999999</v>
      </c>
    </row>
    <row r="474" spans="1:9" hidden="1" x14ac:dyDescent="0.25">
      <c r="A474" s="1" t="s">
        <v>126</v>
      </c>
      <c r="B474" s="1" t="s">
        <v>186</v>
      </c>
      <c r="C474" s="1" t="s">
        <v>143</v>
      </c>
      <c r="D474" s="1">
        <v>535.55999999999995</v>
      </c>
      <c r="E474" s="1">
        <v>-53.33</v>
      </c>
      <c r="F474" s="1">
        <v>0</v>
      </c>
      <c r="G474" s="1">
        <v>351.98</v>
      </c>
      <c r="H474" s="1">
        <v>3213.346</v>
      </c>
      <c r="I474" s="1">
        <v>-3303.0659999999998</v>
      </c>
    </row>
    <row r="475" spans="1:9" hidden="1" x14ac:dyDescent="0.25">
      <c r="A475" s="1" t="s">
        <v>126</v>
      </c>
      <c r="B475" s="1" t="s">
        <v>186</v>
      </c>
      <c r="C475" s="1" t="s">
        <v>3</v>
      </c>
      <c r="D475" s="1">
        <v>560.08000000000004</v>
      </c>
      <c r="E475" s="1">
        <v>-53.33</v>
      </c>
      <c r="F475" s="1">
        <v>0</v>
      </c>
      <c r="G475" s="1">
        <v>351.98</v>
      </c>
      <c r="H475" s="1">
        <v>3360.471</v>
      </c>
      <c r="I475" s="1">
        <v>-3611.0639999999999</v>
      </c>
    </row>
    <row r="476" spans="1:9" hidden="1" x14ac:dyDescent="0.25">
      <c r="A476" s="1" t="s">
        <v>127</v>
      </c>
      <c r="B476" s="1" t="s">
        <v>186</v>
      </c>
      <c r="C476" s="1" t="s">
        <v>143</v>
      </c>
      <c r="D476" s="1">
        <v>815.6</v>
      </c>
      <c r="E476" s="1">
        <v>-69</v>
      </c>
      <c r="F476" s="1">
        <v>0</v>
      </c>
      <c r="G476" s="1">
        <v>455.42</v>
      </c>
      <c r="H476" s="1">
        <v>4893.5810000000001</v>
      </c>
      <c r="I476" s="1">
        <v>-5144.174</v>
      </c>
    </row>
    <row r="477" spans="1:9" hidden="1" x14ac:dyDescent="0.25">
      <c r="A477" s="1" t="s">
        <v>127</v>
      </c>
      <c r="B477" s="1" t="s">
        <v>186</v>
      </c>
      <c r="C477" s="1" t="s">
        <v>3</v>
      </c>
      <c r="D477" s="1">
        <v>840.12</v>
      </c>
      <c r="E477" s="1">
        <v>-69</v>
      </c>
      <c r="F477" s="1">
        <v>0</v>
      </c>
      <c r="G477" s="1">
        <v>455.42</v>
      </c>
      <c r="H477" s="1">
        <v>5040.7070000000003</v>
      </c>
      <c r="I477" s="1">
        <v>-5500.2439999999997</v>
      </c>
    </row>
    <row r="478" spans="1:9" hidden="1" x14ac:dyDescent="0.25">
      <c r="A478" s="1" t="s">
        <v>9</v>
      </c>
      <c r="B478" s="1" t="s">
        <v>186</v>
      </c>
      <c r="C478" s="1" t="s">
        <v>143</v>
      </c>
      <c r="D478" s="1">
        <v>1095.6400000000001</v>
      </c>
      <c r="E478" s="1">
        <v>-76.84</v>
      </c>
      <c r="F478" s="1">
        <v>0</v>
      </c>
      <c r="G478" s="1">
        <v>507.14100000000002</v>
      </c>
      <c r="H478" s="1">
        <v>6573.817</v>
      </c>
      <c r="I478" s="1">
        <v>-7033.3540000000003</v>
      </c>
    </row>
    <row r="479" spans="1:9" hidden="1" x14ac:dyDescent="0.25">
      <c r="A479" s="1" t="s">
        <v>9</v>
      </c>
      <c r="B479" s="1" t="s">
        <v>186</v>
      </c>
      <c r="C479" s="1" t="s">
        <v>3</v>
      </c>
      <c r="D479" s="1">
        <v>1120.1600000000001</v>
      </c>
      <c r="E479" s="1">
        <v>-76.84</v>
      </c>
      <c r="F479" s="1">
        <v>0</v>
      </c>
      <c r="G479" s="1">
        <v>507.14100000000002</v>
      </c>
      <c r="H479" s="1">
        <v>6720.9430000000002</v>
      </c>
      <c r="I479" s="1">
        <v>-7415.8940000000002</v>
      </c>
    </row>
    <row r="480" spans="1:9" hidden="1" x14ac:dyDescent="0.25">
      <c r="A480" s="1" t="s">
        <v>10</v>
      </c>
      <c r="B480" s="1" t="s">
        <v>186</v>
      </c>
      <c r="C480" s="1" t="s">
        <v>143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</row>
    <row r="481" spans="1:9" hidden="1" x14ac:dyDescent="0.25">
      <c r="A481" s="1" t="s">
        <v>10</v>
      </c>
      <c r="B481" s="1" t="s">
        <v>186</v>
      </c>
      <c r="C481" s="1" t="s">
        <v>3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</row>
    <row r="482" spans="1:9" hidden="1" x14ac:dyDescent="0.25">
      <c r="A482" s="1" t="s">
        <v>125</v>
      </c>
      <c r="B482" s="1" t="s">
        <v>187</v>
      </c>
      <c r="C482" s="1" t="s">
        <v>143</v>
      </c>
      <c r="D482" s="1">
        <v>255.52</v>
      </c>
      <c r="E482" s="1">
        <v>-29.82</v>
      </c>
      <c r="F482" s="1">
        <v>0</v>
      </c>
      <c r="G482" s="1">
        <v>161.03399999999999</v>
      </c>
      <c r="H482" s="1">
        <v>1533.11</v>
      </c>
      <c r="I482" s="1">
        <v>-1533.11</v>
      </c>
    </row>
    <row r="483" spans="1:9" hidden="1" x14ac:dyDescent="0.25">
      <c r="A483" s="1" t="s">
        <v>125</v>
      </c>
      <c r="B483" s="1" t="s">
        <v>187</v>
      </c>
      <c r="C483" s="1" t="s">
        <v>3</v>
      </c>
      <c r="D483" s="1">
        <v>280.04000000000002</v>
      </c>
      <c r="E483" s="1">
        <v>-29.82</v>
      </c>
      <c r="F483" s="1">
        <v>0</v>
      </c>
      <c r="G483" s="1">
        <v>161.03399999999999</v>
      </c>
      <c r="H483" s="1">
        <v>1680.2360000000001</v>
      </c>
      <c r="I483" s="1">
        <v>-1769.9559999999999</v>
      </c>
    </row>
    <row r="484" spans="1:9" hidden="1" x14ac:dyDescent="0.25">
      <c r="A484" s="1" t="s">
        <v>126</v>
      </c>
      <c r="B484" s="1" t="s">
        <v>187</v>
      </c>
      <c r="C484" s="1" t="s">
        <v>143</v>
      </c>
      <c r="D484" s="1">
        <v>535.55999999999995</v>
      </c>
      <c r="E484" s="1">
        <v>-53.33</v>
      </c>
      <c r="F484" s="1">
        <v>0</v>
      </c>
      <c r="G484" s="1">
        <v>287.98399999999998</v>
      </c>
      <c r="H484" s="1">
        <v>3213.346</v>
      </c>
      <c r="I484" s="1">
        <v>-3303.0659999999998</v>
      </c>
    </row>
    <row r="485" spans="1:9" hidden="1" x14ac:dyDescent="0.25">
      <c r="A485" s="1" t="s">
        <v>126</v>
      </c>
      <c r="B485" s="1" t="s">
        <v>187</v>
      </c>
      <c r="C485" s="1" t="s">
        <v>3</v>
      </c>
      <c r="D485" s="1">
        <v>560.08000000000004</v>
      </c>
      <c r="E485" s="1">
        <v>-53.33</v>
      </c>
      <c r="F485" s="1">
        <v>0</v>
      </c>
      <c r="G485" s="1">
        <v>287.98399999999998</v>
      </c>
      <c r="H485" s="1">
        <v>3360.471</v>
      </c>
      <c r="I485" s="1">
        <v>-3611.0639999999999</v>
      </c>
    </row>
    <row r="486" spans="1:9" hidden="1" x14ac:dyDescent="0.25">
      <c r="A486" s="1" t="s">
        <v>127</v>
      </c>
      <c r="B486" s="1" t="s">
        <v>187</v>
      </c>
      <c r="C486" s="1" t="s">
        <v>143</v>
      </c>
      <c r="D486" s="1">
        <v>815.6</v>
      </c>
      <c r="E486" s="1">
        <v>-69</v>
      </c>
      <c r="F486" s="1">
        <v>0</v>
      </c>
      <c r="G486" s="1">
        <v>372.61700000000002</v>
      </c>
      <c r="H486" s="1">
        <v>4893.5810000000001</v>
      </c>
      <c r="I486" s="1">
        <v>-5144.174</v>
      </c>
    </row>
    <row r="487" spans="1:9" hidden="1" x14ac:dyDescent="0.25">
      <c r="A487" s="1" t="s">
        <v>127</v>
      </c>
      <c r="B487" s="1" t="s">
        <v>187</v>
      </c>
      <c r="C487" s="1" t="s">
        <v>3</v>
      </c>
      <c r="D487" s="1">
        <v>840.12</v>
      </c>
      <c r="E487" s="1">
        <v>-69</v>
      </c>
      <c r="F487" s="1">
        <v>0</v>
      </c>
      <c r="G487" s="1">
        <v>372.61700000000002</v>
      </c>
      <c r="H487" s="1">
        <v>5040.7070000000003</v>
      </c>
      <c r="I487" s="1">
        <v>-5500.2439999999997</v>
      </c>
    </row>
    <row r="488" spans="1:9" hidden="1" x14ac:dyDescent="0.25">
      <c r="A488" s="1" t="s">
        <v>9</v>
      </c>
      <c r="B488" s="1" t="s">
        <v>187</v>
      </c>
      <c r="C488" s="1" t="s">
        <v>143</v>
      </c>
      <c r="D488" s="1">
        <v>1095.6400000000001</v>
      </c>
      <c r="E488" s="1">
        <v>-76.84</v>
      </c>
      <c r="F488" s="1">
        <v>0</v>
      </c>
      <c r="G488" s="1">
        <v>414.93299999999999</v>
      </c>
      <c r="H488" s="1">
        <v>6573.817</v>
      </c>
      <c r="I488" s="1">
        <v>-7033.3540000000003</v>
      </c>
    </row>
    <row r="489" spans="1:9" hidden="1" x14ac:dyDescent="0.25">
      <c r="A489" s="1" t="s">
        <v>9</v>
      </c>
      <c r="B489" s="1" t="s">
        <v>187</v>
      </c>
      <c r="C489" s="1" t="s">
        <v>3</v>
      </c>
      <c r="D489" s="1">
        <v>1120.1600000000001</v>
      </c>
      <c r="E489" s="1">
        <v>-76.84</v>
      </c>
      <c r="F489" s="1">
        <v>0</v>
      </c>
      <c r="G489" s="1">
        <v>414.93299999999999</v>
      </c>
      <c r="H489" s="1">
        <v>6720.9430000000002</v>
      </c>
      <c r="I489" s="1">
        <v>-7415.8940000000002</v>
      </c>
    </row>
    <row r="490" spans="1:9" hidden="1" x14ac:dyDescent="0.25">
      <c r="A490" s="1" t="s">
        <v>10</v>
      </c>
      <c r="B490" s="1" t="s">
        <v>187</v>
      </c>
      <c r="C490" s="1" t="s">
        <v>143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</row>
    <row r="491" spans="1:9" hidden="1" x14ac:dyDescent="0.25">
      <c r="A491" s="1" t="s">
        <v>10</v>
      </c>
      <c r="B491" s="1" t="s">
        <v>187</v>
      </c>
      <c r="C491" s="1" t="s">
        <v>3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</row>
    <row r="492" spans="1:9" hidden="1" x14ac:dyDescent="0.25">
      <c r="A492" s="1" t="s">
        <v>125</v>
      </c>
      <c r="B492" s="1" t="s">
        <v>188</v>
      </c>
      <c r="C492" s="1" t="s">
        <v>143</v>
      </c>
      <c r="D492" s="1">
        <v>255.52</v>
      </c>
      <c r="E492" s="1">
        <v>29.82</v>
      </c>
      <c r="F492" s="1">
        <v>0</v>
      </c>
      <c r="G492" s="1">
        <v>-196.81899999999999</v>
      </c>
      <c r="H492" s="1">
        <v>1533.11</v>
      </c>
      <c r="I492" s="1">
        <v>-1533.11</v>
      </c>
    </row>
    <row r="493" spans="1:9" hidden="1" x14ac:dyDescent="0.25">
      <c r="A493" s="1" t="s">
        <v>125</v>
      </c>
      <c r="B493" s="1" t="s">
        <v>188</v>
      </c>
      <c r="C493" s="1" t="s">
        <v>3</v>
      </c>
      <c r="D493" s="1">
        <v>280.04000000000002</v>
      </c>
      <c r="E493" s="1">
        <v>29.82</v>
      </c>
      <c r="F493" s="1">
        <v>0</v>
      </c>
      <c r="G493" s="1">
        <v>-196.81899999999999</v>
      </c>
      <c r="H493" s="1">
        <v>1680.2360000000001</v>
      </c>
      <c r="I493" s="1">
        <v>-1590.5160000000001</v>
      </c>
    </row>
    <row r="494" spans="1:9" hidden="1" x14ac:dyDescent="0.25">
      <c r="A494" s="1" t="s">
        <v>126</v>
      </c>
      <c r="B494" s="1" t="s">
        <v>188</v>
      </c>
      <c r="C494" s="1" t="s">
        <v>143</v>
      </c>
      <c r="D494" s="1">
        <v>535.55999999999995</v>
      </c>
      <c r="E494" s="1">
        <v>53.33</v>
      </c>
      <c r="F494" s="1">
        <v>0</v>
      </c>
      <c r="G494" s="1">
        <v>-351.98</v>
      </c>
      <c r="H494" s="1">
        <v>3213.346</v>
      </c>
      <c r="I494" s="1">
        <v>-3123.6260000000002</v>
      </c>
    </row>
    <row r="495" spans="1:9" hidden="1" x14ac:dyDescent="0.25">
      <c r="A495" s="1" t="s">
        <v>126</v>
      </c>
      <c r="B495" s="1" t="s">
        <v>188</v>
      </c>
      <c r="C495" s="1" t="s">
        <v>3</v>
      </c>
      <c r="D495" s="1">
        <v>560.08000000000004</v>
      </c>
      <c r="E495" s="1">
        <v>53.33</v>
      </c>
      <c r="F495" s="1">
        <v>0</v>
      </c>
      <c r="G495" s="1">
        <v>-351.98</v>
      </c>
      <c r="H495" s="1">
        <v>3360.471</v>
      </c>
      <c r="I495" s="1">
        <v>-3109.8789999999999</v>
      </c>
    </row>
    <row r="496" spans="1:9" hidden="1" x14ac:dyDescent="0.25">
      <c r="A496" s="1" t="s">
        <v>127</v>
      </c>
      <c r="B496" s="1" t="s">
        <v>188</v>
      </c>
      <c r="C496" s="1" t="s">
        <v>143</v>
      </c>
      <c r="D496" s="1">
        <v>815.6</v>
      </c>
      <c r="E496" s="1">
        <v>69</v>
      </c>
      <c r="F496" s="1">
        <v>0</v>
      </c>
      <c r="G496" s="1">
        <v>-455.42</v>
      </c>
      <c r="H496" s="1">
        <v>4893.5810000000001</v>
      </c>
      <c r="I496" s="1">
        <v>-4642.9889999999996</v>
      </c>
    </row>
    <row r="497" spans="1:9" hidden="1" x14ac:dyDescent="0.25">
      <c r="A497" s="1" t="s">
        <v>127</v>
      </c>
      <c r="B497" s="1" t="s">
        <v>188</v>
      </c>
      <c r="C497" s="1" t="s">
        <v>3</v>
      </c>
      <c r="D497" s="1">
        <v>840.12</v>
      </c>
      <c r="E497" s="1">
        <v>69</v>
      </c>
      <c r="F497" s="1">
        <v>0</v>
      </c>
      <c r="G497" s="1">
        <v>-455.42</v>
      </c>
      <c r="H497" s="1">
        <v>5040.7070000000003</v>
      </c>
      <c r="I497" s="1">
        <v>-4581.17</v>
      </c>
    </row>
    <row r="498" spans="1:9" hidden="1" x14ac:dyDescent="0.25">
      <c r="A498" s="1" t="s">
        <v>9</v>
      </c>
      <c r="B498" s="1" t="s">
        <v>188</v>
      </c>
      <c r="C498" s="1" t="s">
        <v>143</v>
      </c>
      <c r="D498" s="1">
        <v>1095.6400000000001</v>
      </c>
      <c r="E498" s="1">
        <v>76.84</v>
      </c>
      <c r="F498" s="1">
        <v>0</v>
      </c>
      <c r="G498" s="1">
        <v>-507.14100000000002</v>
      </c>
      <c r="H498" s="1">
        <v>6573.817</v>
      </c>
      <c r="I498" s="1">
        <v>-6114.28</v>
      </c>
    </row>
    <row r="499" spans="1:9" hidden="1" x14ac:dyDescent="0.25">
      <c r="A499" s="1" t="s">
        <v>9</v>
      </c>
      <c r="B499" s="1" t="s">
        <v>188</v>
      </c>
      <c r="C499" s="1" t="s">
        <v>3</v>
      </c>
      <c r="D499" s="1">
        <v>1120.1600000000001</v>
      </c>
      <c r="E499" s="1">
        <v>76.84</v>
      </c>
      <c r="F499" s="1">
        <v>0</v>
      </c>
      <c r="G499" s="1">
        <v>-507.14100000000002</v>
      </c>
      <c r="H499" s="1">
        <v>6720.9430000000002</v>
      </c>
      <c r="I499" s="1">
        <v>-6025.991</v>
      </c>
    </row>
    <row r="500" spans="1:9" hidden="1" x14ac:dyDescent="0.25">
      <c r="A500" s="1" t="s">
        <v>10</v>
      </c>
      <c r="B500" s="1" t="s">
        <v>188</v>
      </c>
      <c r="C500" s="1" t="s">
        <v>143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</row>
    <row r="501" spans="1:9" hidden="1" x14ac:dyDescent="0.25">
      <c r="A501" s="1" t="s">
        <v>10</v>
      </c>
      <c r="B501" s="1" t="s">
        <v>188</v>
      </c>
      <c r="C501" s="1" t="s">
        <v>3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</row>
    <row r="502" spans="1:9" hidden="1" x14ac:dyDescent="0.25">
      <c r="A502" s="1" t="s">
        <v>125</v>
      </c>
      <c r="B502" s="1" t="s">
        <v>189</v>
      </c>
      <c r="C502" s="1" t="s">
        <v>143</v>
      </c>
      <c r="D502" s="1">
        <v>255.52</v>
      </c>
      <c r="E502" s="1">
        <v>29.82</v>
      </c>
      <c r="F502" s="1">
        <v>0</v>
      </c>
      <c r="G502" s="1">
        <v>-161.03399999999999</v>
      </c>
      <c r="H502" s="1">
        <v>1533.11</v>
      </c>
      <c r="I502" s="1">
        <v>-1533.11</v>
      </c>
    </row>
    <row r="503" spans="1:9" hidden="1" x14ac:dyDescent="0.25">
      <c r="A503" s="1" t="s">
        <v>125</v>
      </c>
      <c r="B503" s="1" t="s">
        <v>189</v>
      </c>
      <c r="C503" s="1" t="s">
        <v>3</v>
      </c>
      <c r="D503" s="1">
        <v>280.04000000000002</v>
      </c>
      <c r="E503" s="1">
        <v>29.82</v>
      </c>
      <c r="F503" s="1">
        <v>0</v>
      </c>
      <c r="G503" s="1">
        <v>-161.03399999999999</v>
      </c>
      <c r="H503" s="1">
        <v>1680.2360000000001</v>
      </c>
      <c r="I503" s="1">
        <v>-1590.5160000000001</v>
      </c>
    </row>
    <row r="504" spans="1:9" hidden="1" x14ac:dyDescent="0.25">
      <c r="A504" s="1" t="s">
        <v>126</v>
      </c>
      <c r="B504" s="1" t="s">
        <v>189</v>
      </c>
      <c r="C504" s="1" t="s">
        <v>143</v>
      </c>
      <c r="D504" s="1">
        <v>535.55999999999995</v>
      </c>
      <c r="E504" s="1">
        <v>53.33</v>
      </c>
      <c r="F504" s="1">
        <v>0</v>
      </c>
      <c r="G504" s="1">
        <v>-287.98399999999998</v>
      </c>
      <c r="H504" s="1">
        <v>3213.346</v>
      </c>
      <c r="I504" s="1">
        <v>-3123.6260000000002</v>
      </c>
    </row>
    <row r="505" spans="1:9" hidden="1" x14ac:dyDescent="0.25">
      <c r="A505" s="1" t="s">
        <v>126</v>
      </c>
      <c r="B505" s="1" t="s">
        <v>189</v>
      </c>
      <c r="C505" s="1" t="s">
        <v>3</v>
      </c>
      <c r="D505" s="1">
        <v>560.08000000000004</v>
      </c>
      <c r="E505" s="1">
        <v>53.33</v>
      </c>
      <c r="F505" s="1">
        <v>0</v>
      </c>
      <c r="G505" s="1">
        <v>-287.98399999999998</v>
      </c>
      <c r="H505" s="1">
        <v>3360.471</v>
      </c>
      <c r="I505" s="1">
        <v>-3109.8789999999999</v>
      </c>
    </row>
    <row r="506" spans="1:9" hidden="1" x14ac:dyDescent="0.25">
      <c r="A506" s="1" t="s">
        <v>127</v>
      </c>
      <c r="B506" s="1" t="s">
        <v>189</v>
      </c>
      <c r="C506" s="1" t="s">
        <v>143</v>
      </c>
      <c r="D506" s="1">
        <v>815.6</v>
      </c>
      <c r="E506" s="1">
        <v>69</v>
      </c>
      <c r="F506" s="1">
        <v>0</v>
      </c>
      <c r="G506" s="1">
        <v>-372.61700000000002</v>
      </c>
      <c r="H506" s="1">
        <v>4893.5810000000001</v>
      </c>
      <c r="I506" s="1">
        <v>-4642.9889999999996</v>
      </c>
    </row>
    <row r="507" spans="1:9" hidden="1" x14ac:dyDescent="0.25">
      <c r="A507" s="1" t="s">
        <v>127</v>
      </c>
      <c r="B507" s="1" t="s">
        <v>189</v>
      </c>
      <c r="C507" s="1" t="s">
        <v>3</v>
      </c>
      <c r="D507" s="1">
        <v>840.12</v>
      </c>
      <c r="E507" s="1">
        <v>69</v>
      </c>
      <c r="F507" s="1">
        <v>0</v>
      </c>
      <c r="G507" s="1">
        <v>-372.61700000000002</v>
      </c>
      <c r="H507" s="1">
        <v>5040.7070000000003</v>
      </c>
      <c r="I507" s="1">
        <v>-4581.17</v>
      </c>
    </row>
    <row r="508" spans="1:9" hidden="1" x14ac:dyDescent="0.25">
      <c r="A508" s="1" t="s">
        <v>9</v>
      </c>
      <c r="B508" s="1" t="s">
        <v>189</v>
      </c>
      <c r="C508" s="1" t="s">
        <v>143</v>
      </c>
      <c r="D508" s="1">
        <v>1095.6400000000001</v>
      </c>
      <c r="E508" s="1">
        <v>76.84</v>
      </c>
      <c r="F508" s="1">
        <v>0</v>
      </c>
      <c r="G508" s="1">
        <v>-414.93299999999999</v>
      </c>
      <c r="H508" s="1">
        <v>6573.817</v>
      </c>
      <c r="I508" s="1">
        <v>-6114.28</v>
      </c>
    </row>
    <row r="509" spans="1:9" hidden="1" x14ac:dyDescent="0.25">
      <c r="A509" s="1" t="s">
        <v>9</v>
      </c>
      <c r="B509" s="1" t="s">
        <v>189</v>
      </c>
      <c r="C509" s="1" t="s">
        <v>3</v>
      </c>
      <c r="D509" s="1">
        <v>1120.1600000000001</v>
      </c>
      <c r="E509" s="1">
        <v>76.84</v>
      </c>
      <c r="F509" s="1">
        <v>0</v>
      </c>
      <c r="G509" s="1">
        <v>-414.93299999999999</v>
      </c>
      <c r="H509" s="1">
        <v>6720.9430000000002</v>
      </c>
      <c r="I509" s="1">
        <v>-6025.991</v>
      </c>
    </row>
    <row r="510" spans="1:9" hidden="1" x14ac:dyDescent="0.25">
      <c r="A510" s="1" t="s">
        <v>10</v>
      </c>
      <c r="B510" s="1" t="s">
        <v>189</v>
      </c>
      <c r="C510" s="1" t="s">
        <v>143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</row>
    <row r="511" spans="1:9" hidden="1" x14ac:dyDescent="0.25">
      <c r="A511" s="1" t="s">
        <v>10</v>
      </c>
      <c r="B511" s="1" t="s">
        <v>189</v>
      </c>
      <c r="C511" s="1" t="s">
        <v>3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</row>
    <row r="512" spans="1:9" hidden="1" x14ac:dyDescent="0.25">
      <c r="A512" s="1" t="s">
        <v>125</v>
      </c>
      <c r="B512" s="1" t="s">
        <v>190</v>
      </c>
      <c r="C512" s="1" t="s">
        <v>143</v>
      </c>
      <c r="D512" s="1">
        <v>255.52</v>
      </c>
      <c r="E512" s="1">
        <v>0</v>
      </c>
      <c r="F512" s="1">
        <v>-29.82</v>
      </c>
      <c r="G512" s="1">
        <v>-196.81899999999999</v>
      </c>
      <c r="H512" s="1">
        <v>1533.11</v>
      </c>
      <c r="I512" s="1">
        <v>-1533.11</v>
      </c>
    </row>
    <row r="513" spans="1:9" hidden="1" x14ac:dyDescent="0.25">
      <c r="A513" s="1" t="s">
        <v>125</v>
      </c>
      <c r="B513" s="1" t="s">
        <v>190</v>
      </c>
      <c r="C513" s="1" t="s">
        <v>3</v>
      </c>
      <c r="D513" s="1">
        <v>280.04000000000002</v>
      </c>
      <c r="E513" s="1">
        <v>0</v>
      </c>
      <c r="F513" s="1">
        <v>-29.82</v>
      </c>
      <c r="G513" s="1">
        <v>-196.81899999999999</v>
      </c>
      <c r="H513" s="1">
        <v>1769.9559999999999</v>
      </c>
      <c r="I513" s="1">
        <v>-1680.2360000000001</v>
      </c>
    </row>
    <row r="514" spans="1:9" hidden="1" x14ac:dyDescent="0.25">
      <c r="A514" s="1" t="s">
        <v>126</v>
      </c>
      <c r="B514" s="1" t="s">
        <v>190</v>
      </c>
      <c r="C514" s="1" t="s">
        <v>143</v>
      </c>
      <c r="D514" s="1">
        <v>535.55999999999995</v>
      </c>
      <c r="E514" s="1">
        <v>0</v>
      </c>
      <c r="F514" s="1">
        <v>-53.33</v>
      </c>
      <c r="G514" s="1">
        <v>-351.98</v>
      </c>
      <c r="H514" s="1">
        <v>3303.0659999999998</v>
      </c>
      <c r="I514" s="1">
        <v>-3213.346</v>
      </c>
    </row>
    <row r="515" spans="1:9" hidden="1" x14ac:dyDescent="0.25">
      <c r="A515" s="1" t="s">
        <v>126</v>
      </c>
      <c r="B515" s="1" t="s">
        <v>190</v>
      </c>
      <c r="C515" s="1" t="s">
        <v>3</v>
      </c>
      <c r="D515" s="1">
        <v>560.08000000000004</v>
      </c>
      <c r="E515" s="1">
        <v>0</v>
      </c>
      <c r="F515" s="1">
        <v>-53.33</v>
      </c>
      <c r="G515" s="1">
        <v>-351.98</v>
      </c>
      <c r="H515" s="1">
        <v>3611.0639999999999</v>
      </c>
      <c r="I515" s="1">
        <v>-3360.471</v>
      </c>
    </row>
    <row r="516" spans="1:9" hidden="1" x14ac:dyDescent="0.25">
      <c r="A516" s="1" t="s">
        <v>127</v>
      </c>
      <c r="B516" s="1" t="s">
        <v>190</v>
      </c>
      <c r="C516" s="1" t="s">
        <v>143</v>
      </c>
      <c r="D516" s="1">
        <v>815.6</v>
      </c>
      <c r="E516" s="1">
        <v>0</v>
      </c>
      <c r="F516" s="1">
        <v>-69</v>
      </c>
      <c r="G516" s="1">
        <v>-455.42</v>
      </c>
      <c r="H516" s="1">
        <v>5144.174</v>
      </c>
      <c r="I516" s="1">
        <v>-4893.5810000000001</v>
      </c>
    </row>
    <row r="517" spans="1:9" hidden="1" x14ac:dyDescent="0.25">
      <c r="A517" s="1" t="s">
        <v>127</v>
      </c>
      <c r="B517" s="1" t="s">
        <v>190</v>
      </c>
      <c r="C517" s="1" t="s">
        <v>3</v>
      </c>
      <c r="D517" s="1">
        <v>840.12</v>
      </c>
      <c r="E517" s="1">
        <v>0</v>
      </c>
      <c r="F517" s="1">
        <v>-69</v>
      </c>
      <c r="G517" s="1">
        <v>-455.42</v>
      </c>
      <c r="H517" s="1">
        <v>5500.2439999999997</v>
      </c>
      <c r="I517" s="1">
        <v>-5040.7070000000003</v>
      </c>
    </row>
    <row r="518" spans="1:9" hidden="1" x14ac:dyDescent="0.25">
      <c r="A518" s="1" t="s">
        <v>9</v>
      </c>
      <c r="B518" s="1" t="s">
        <v>190</v>
      </c>
      <c r="C518" s="1" t="s">
        <v>143</v>
      </c>
      <c r="D518" s="1">
        <v>1095.6400000000001</v>
      </c>
      <c r="E518" s="1">
        <v>0</v>
      </c>
      <c r="F518" s="1">
        <v>-76.84</v>
      </c>
      <c r="G518" s="1">
        <v>-507.14100000000002</v>
      </c>
      <c r="H518" s="1">
        <v>7033.3540000000003</v>
      </c>
      <c r="I518" s="1">
        <v>-6573.817</v>
      </c>
    </row>
    <row r="519" spans="1:9" hidden="1" x14ac:dyDescent="0.25">
      <c r="A519" s="1" t="s">
        <v>9</v>
      </c>
      <c r="B519" s="1" t="s">
        <v>190</v>
      </c>
      <c r="C519" s="1" t="s">
        <v>3</v>
      </c>
      <c r="D519" s="1">
        <v>1120.1600000000001</v>
      </c>
      <c r="E519" s="1">
        <v>0</v>
      </c>
      <c r="F519" s="1">
        <v>-76.84</v>
      </c>
      <c r="G519" s="1">
        <v>-507.14100000000002</v>
      </c>
      <c r="H519" s="1">
        <v>7415.8940000000002</v>
      </c>
      <c r="I519" s="1">
        <v>-6720.9430000000002</v>
      </c>
    </row>
    <row r="520" spans="1:9" hidden="1" x14ac:dyDescent="0.25">
      <c r="A520" s="1" t="s">
        <v>10</v>
      </c>
      <c r="B520" s="1" t="s">
        <v>190</v>
      </c>
      <c r="C520" s="1" t="s">
        <v>143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</row>
    <row r="521" spans="1:9" hidden="1" x14ac:dyDescent="0.25">
      <c r="A521" s="1" t="s">
        <v>10</v>
      </c>
      <c r="B521" s="1" t="s">
        <v>190</v>
      </c>
      <c r="C521" s="1" t="s">
        <v>3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</row>
    <row r="522" spans="1:9" hidden="1" x14ac:dyDescent="0.25">
      <c r="A522" s="1" t="s">
        <v>125</v>
      </c>
      <c r="B522" s="1" t="s">
        <v>191</v>
      </c>
      <c r="C522" s="1" t="s">
        <v>143</v>
      </c>
      <c r="D522" s="1">
        <v>255.52</v>
      </c>
      <c r="E522" s="1">
        <v>0</v>
      </c>
      <c r="F522" s="1">
        <v>-29.82</v>
      </c>
      <c r="G522" s="1">
        <v>-161.03399999999999</v>
      </c>
      <c r="H522" s="1">
        <v>1533.11</v>
      </c>
      <c r="I522" s="1">
        <v>-1533.11</v>
      </c>
    </row>
    <row r="523" spans="1:9" hidden="1" x14ac:dyDescent="0.25">
      <c r="A523" s="1" t="s">
        <v>125</v>
      </c>
      <c r="B523" s="1" t="s">
        <v>191</v>
      </c>
      <c r="C523" s="1" t="s">
        <v>3</v>
      </c>
      <c r="D523" s="1">
        <v>280.04000000000002</v>
      </c>
      <c r="E523" s="1">
        <v>0</v>
      </c>
      <c r="F523" s="1">
        <v>-29.82</v>
      </c>
      <c r="G523" s="1">
        <v>-161.03399999999999</v>
      </c>
      <c r="H523" s="1">
        <v>1769.9559999999999</v>
      </c>
      <c r="I523" s="1">
        <v>-1680.2360000000001</v>
      </c>
    </row>
    <row r="524" spans="1:9" hidden="1" x14ac:dyDescent="0.25">
      <c r="A524" s="1" t="s">
        <v>126</v>
      </c>
      <c r="B524" s="1" t="s">
        <v>191</v>
      </c>
      <c r="C524" s="1" t="s">
        <v>143</v>
      </c>
      <c r="D524" s="1">
        <v>535.55999999999995</v>
      </c>
      <c r="E524" s="1">
        <v>0</v>
      </c>
      <c r="F524" s="1">
        <v>-53.33</v>
      </c>
      <c r="G524" s="1">
        <v>-287.98399999999998</v>
      </c>
      <c r="H524" s="1">
        <v>3303.0659999999998</v>
      </c>
      <c r="I524" s="1">
        <v>-3213.346</v>
      </c>
    </row>
    <row r="525" spans="1:9" hidden="1" x14ac:dyDescent="0.25">
      <c r="A525" s="1" t="s">
        <v>126</v>
      </c>
      <c r="B525" s="1" t="s">
        <v>191</v>
      </c>
      <c r="C525" s="1" t="s">
        <v>3</v>
      </c>
      <c r="D525" s="1">
        <v>560.08000000000004</v>
      </c>
      <c r="E525" s="1">
        <v>0</v>
      </c>
      <c r="F525" s="1">
        <v>-53.33</v>
      </c>
      <c r="G525" s="1">
        <v>-287.98399999999998</v>
      </c>
      <c r="H525" s="1">
        <v>3611.0639999999999</v>
      </c>
      <c r="I525" s="1">
        <v>-3360.471</v>
      </c>
    </row>
    <row r="526" spans="1:9" hidden="1" x14ac:dyDescent="0.25">
      <c r="A526" s="1" t="s">
        <v>127</v>
      </c>
      <c r="B526" s="1" t="s">
        <v>191</v>
      </c>
      <c r="C526" s="1" t="s">
        <v>143</v>
      </c>
      <c r="D526" s="1">
        <v>815.6</v>
      </c>
      <c r="E526" s="1">
        <v>0</v>
      </c>
      <c r="F526" s="1">
        <v>-69</v>
      </c>
      <c r="G526" s="1">
        <v>-372.61700000000002</v>
      </c>
      <c r="H526" s="1">
        <v>5144.174</v>
      </c>
      <c r="I526" s="1">
        <v>-4893.5810000000001</v>
      </c>
    </row>
    <row r="527" spans="1:9" hidden="1" x14ac:dyDescent="0.25">
      <c r="A527" s="1" t="s">
        <v>127</v>
      </c>
      <c r="B527" s="1" t="s">
        <v>191</v>
      </c>
      <c r="C527" s="1" t="s">
        <v>3</v>
      </c>
      <c r="D527" s="1">
        <v>840.12</v>
      </c>
      <c r="E527" s="1">
        <v>0</v>
      </c>
      <c r="F527" s="1">
        <v>-69</v>
      </c>
      <c r="G527" s="1">
        <v>-372.61700000000002</v>
      </c>
      <c r="H527" s="1">
        <v>5500.2439999999997</v>
      </c>
      <c r="I527" s="1">
        <v>-5040.7070000000003</v>
      </c>
    </row>
    <row r="528" spans="1:9" hidden="1" x14ac:dyDescent="0.25">
      <c r="A528" s="1" t="s">
        <v>9</v>
      </c>
      <c r="B528" s="1" t="s">
        <v>191</v>
      </c>
      <c r="C528" s="1" t="s">
        <v>143</v>
      </c>
      <c r="D528" s="1">
        <v>1095.6400000000001</v>
      </c>
      <c r="E528" s="1">
        <v>0</v>
      </c>
      <c r="F528" s="1">
        <v>-76.84</v>
      </c>
      <c r="G528" s="1">
        <v>-414.93299999999999</v>
      </c>
      <c r="H528" s="1">
        <v>7033.3540000000003</v>
      </c>
      <c r="I528" s="1">
        <v>-6573.817</v>
      </c>
    </row>
    <row r="529" spans="1:9" hidden="1" x14ac:dyDescent="0.25">
      <c r="A529" s="1" t="s">
        <v>9</v>
      </c>
      <c r="B529" s="1" t="s">
        <v>191</v>
      </c>
      <c r="C529" s="1" t="s">
        <v>3</v>
      </c>
      <c r="D529" s="1">
        <v>1120.1600000000001</v>
      </c>
      <c r="E529" s="1">
        <v>0</v>
      </c>
      <c r="F529" s="1">
        <v>-76.84</v>
      </c>
      <c r="G529" s="1">
        <v>-414.93299999999999</v>
      </c>
      <c r="H529" s="1">
        <v>7415.8940000000002</v>
      </c>
      <c r="I529" s="1">
        <v>-6720.9430000000002</v>
      </c>
    </row>
    <row r="530" spans="1:9" hidden="1" x14ac:dyDescent="0.25">
      <c r="A530" s="1" t="s">
        <v>10</v>
      </c>
      <c r="B530" s="1" t="s">
        <v>191</v>
      </c>
      <c r="C530" s="1" t="s">
        <v>143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</row>
    <row r="531" spans="1:9" hidden="1" x14ac:dyDescent="0.25">
      <c r="A531" s="1" t="s">
        <v>10</v>
      </c>
      <c r="B531" s="1" t="s">
        <v>191</v>
      </c>
      <c r="C531" s="1" t="s">
        <v>3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</row>
    <row r="532" spans="1:9" hidden="1" x14ac:dyDescent="0.25">
      <c r="A532" s="1" t="s">
        <v>125</v>
      </c>
      <c r="B532" s="1" t="s">
        <v>192</v>
      </c>
      <c r="C532" s="1" t="s">
        <v>143</v>
      </c>
      <c r="D532" s="1">
        <v>255.52</v>
      </c>
      <c r="E532" s="1">
        <v>0</v>
      </c>
      <c r="F532" s="1">
        <v>29.82</v>
      </c>
      <c r="G532" s="1">
        <v>196.81899999999999</v>
      </c>
      <c r="H532" s="1">
        <v>1533.11</v>
      </c>
      <c r="I532" s="1">
        <v>-1533.11</v>
      </c>
    </row>
    <row r="533" spans="1:9" hidden="1" x14ac:dyDescent="0.25">
      <c r="A533" s="1" t="s">
        <v>125</v>
      </c>
      <c r="B533" s="1" t="s">
        <v>192</v>
      </c>
      <c r="C533" s="1" t="s">
        <v>3</v>
      </c>
      <c r="D533" s="1">
        <v>280.04000000000002</v>
      </c>
      <c r="E533" s="1">
        <v>0</v>
      </c>
      <c r="F533" s="1">
        <v>29.82</v>
      </c>
      <c r="G533" s="1">
        <v>196.81899999999999</v>
      </c>
      <c r="H533" s="1">
        <v>1590.5160000000001</v>
      </c>
      <c r="I533" s="1">
        <v>-1680.2360000000001</v>
      </c>
    </row>
    <row r="534" spans="1:9" hidden="1" x14ac:dyDescent="0.25">
      <c r="A534" s="1" t="s">
        <v>126</v>
      </c>
      <c r="B534" s="1" t="s">
        <v>192</v>
      </c>
      <c r="C534" s="1" t="s">
        <v>143</v>
      </c>
      <c r="D534" s="1">
        <v>535.55999999999995</v>
      </c>
      <c r="E534" s="1">
        <v>0</v>
      </c>
      <c r="F534" s="1">
        <v>53.33</v>
      </c>
      <c r="G534" s="1">
        <v>351.98</v>
      </c>
      <c r="H534" s="1">
        <v>3123.6260000000002</v>
      </c>
      <c r="I534" s="1">
        <v>-3213.346</v>
      </c>
    </row>
    <row r="535" spans="1:9" hidden="1" x14ac:dyDescent="0.25">
      <c r="A535" s="1" t="s">
        <v>126</v>
      </c>
      <c r="B535" s="1" t="s">
        <v>192</v>
      </c>
      <c r="C535" s="1" t="s">
        <v>3</v>
      </c>
      <c r="D535" s="1">
        <v>560.08000000000004</v>
      </c>
      <c r="E535" s="1">
        <v>0</v>
      </c>
      <c r="F535" s="1">
        <v>53.33</v>
      </c>
      <c r="G535" s="1">
        <v>351.98</v>
      </c>
      <c r="H535" s="1">
        <v>3109.8789999999999</v>
      </c>
      <c r="I535" s="1">
        <v>-3360.471</v>
      </c>
    </row>
    <row r="536" spans="1:9" hidden="1" x14ac:dyDescent="0.25">
      <c r="A536" s="1" t="s">
        <v>127</v>
      </c>
      <c r="B536" s="1" t="s">
        <v>192</v>
      </c>
      <c r="C536" s="1" t="s">
        <v>143</v>
      </c>
      <c r="D536" s="1">
        <v>815.6</v>
      </c>
      <c r="E536" s="1">
        <v>0</v>
      </c>
      <c r="F536" s="1">
        <v>69</v>
      </c>
      <c r="G536" s="1">
        <v>455.42</v>
      </c>
      <c r="H536" s="1">
        <v>4642.9889999999996</v>
      </c>
      <c r="I536" s="1">
        <v>-4893.5810000000001</v>
      </c>
    </row>
    <row r="537" spans="1:9" hidden="1" x14ac:dyDescent="0.25">
      <c r="A537" s="1" t="s">
        <v>127</v>
      </c>
      <c r="B537" s="1" t="s">
        <v>192</v>
      </c>
      <c r="C537" s="1" t="s">
        <v>3</v>
      </c>
      <c r="D537" s="1">
        <v>840.12</v>
      </c>
      <c r="E537" s="1">
        <v>0</v>
      </c>
      <c r="F537" s="1">
        <v>69</v>
      </c>
      <c r="G537" s="1">
        <v>455.42</v>
      </c>
      <c r="H537" s="1">
        <v>4581.17</v>
      </c>
      <c r="I537" s="1">
        <v>-5040.7070000000003</v>
      </c>
    </row>
    <row r="538" spans="1:9" hidden="1" x14ac:dyDescent="0.25">
      <c r="A538" s="1" t="s">
        <v>9</v>
      </c>
      <c r="B538" s="1" t="s">
        <v>192</v>
      </c>
      <c r="C538" s="1" t="s">
        <v>143</v>
      </c>
      <c r="D538" s="1">
        <v>1095.6400000000001</v>
      </c>
      <c r="E538" s="1">
        <v>0</v>
      </c>
      <c r="F538" s="1">
        <v>76.84</v>
      </c>
      <c r="G538" s="1">
        <v>507.14100000000002</v>
      </c>
      <c r="H538" s="1">
        <v>6114.28</v>
      </c>
      <c r="I538" s="1">
        <v>-6573.817</v>
      </c>
    </row>
    <row r="539" spans="1:9" hidden="1" x14ac:dyDescent="0.25">
      <c r="A539" s="1" t="s">
        <v>9</v>
      </c>
      <c r="B539" s="1" t="s">
        <v>192</v>
      </c>
      <c r="C539" s="1" t="s">
        <v>3</v>
      </c>
      <c r="D539" s="1">
        <v>1120.1600000000001</v>
      </c>
      <c r="E539" s="1">
        <v>0</v>
      </c>
      <c r="F539" s="1">
        <v>76.84</v>
      </c>
      <c r="G539" s="1">
        <v>507.14100000000002</v>
      </c>
      <c r="H539" s="1">
        <v>6025.991</v>
      </c>
      <c r="I539" s="1">
        <v>-6720.9430000000002</v>
      </c>
    </row>
    <row r="540" spans="1:9" hidden="1" x14ac:dyDescent="0.25">
      <c r="A540" s="1" t="s">
        <v>10</v>
      </c>
      <c r="B540" s="1" t="s">
        <v>192</v>
      </c>
      <c r="C540" s="1" t="s">
        <v>143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</row>
    <row r="541" spans="1:9" hidden="1" x14ac:dyDescent="0.25">
      <c r="A541" s="1" t="s">
        <v>10</v>
      </c>
      <c r="B541" s="1" t="s">
        <v>192</v>
      </c>
      <c r="C541" s="1" t="s">
        <v>3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</row>
    <row r="542" spans="1:9" hidden="1" x14ac:dyDescent="0.25">
      <c r="A542" s="1" t="s">
        <v>125</v>
      </c>
      <c r="B542" s="1" t="s">
        <v>193</v>
      </c>
      <c r="C542" s="1" t="s">
        <v>143</v>
      </c>
      <c r="D542" s="1">
        <v>255.52</v>
      </c>
      <c r="E542" s="1">
        <v>0</v>
      </c>
      <c r="F542" s="1">
        <v>29.82</v>
      </c>
      <c r="G542" s="1">
        <v>161.03399999999999</v>
      </c>
      <c r="H542" s="1">
        <v>1533.11</v>
      </c>
      <c r="I542" s="1">
        <v>-1533.11</v>
      </c>
    </row>
    <row r="543" spans="1:9" hidden="1" x14ac:dyDescent="0.25">
      <c r="A543" s="1" t="s">
        <v>125</v>
      </c>
      <c r="B543" s="1" t="s">
        <v>193</v>
      </c>
      <c r="C543" s="1" t="s">
        <v>3</v>
      </c>
      <c r="D543" s="1">
        <v>280.04000000000002</v>
      </c>
      <c r="E543" s="1">
        <v>0</v>
      </c>
      <c r="F543" s="1">
        <v>29.82</v>
      </c>
      <c r="G543" s="1">
        <v>161.03399999999999</v>
      </c>
      <c r="H543" s="1">
        <v>1590.5160000000001</v>
      </c>
      <c r="I543" s="1">
        <v>-1680.2360000000001</v>
      </c>
    </row>
    <row r="544" spans="1:9" hidden="1" x14ac:dyDescent="0.25">
      <c r="A544" s="1" t="s">
        <v>126</v>
      </c>
      <c r="B544" s="1" t="s">
        <v>193</v>
      </c>
      <c r="C544" s="1" t="s">
        <v>143</v>
      </c>
      <c r="D544" s="1">
        <v>535.55999999999995</v>
      </c>
      <c r="E544" s="1">
        <v>0</v>
      </c>
      <c r="F544" s="1">
        <v>53.33</v>
      </c>
      <c r="G544" s="1">
        <v>287.98399999999998</v>
      </c>
      <c r="H544" s="1">
        <v>3123.6260000000002</v>
      </c>
      <c r="I544" s="1">
        <v>-3213.346</v>
      </c>
    </row>
    <row r="545" spans="1:9" hidden="1" x14ac:dyDescent="0.25">
      <c r="A545" s="1" t="s">
        <v>126</v>
      </c>
      <c r="B545" s="1" t="s">
        <v>193</v>
      </c>
      <c r="C545" s="1" t="s">
        <v>3</v>
      </c>
      <c r="D545" s="1">
        <v>560.08000000000004</v>
      </c>
      <c r="E545" s="1">
        <v>0</v>
      </c>
      <c r="F545" s="1">
        <v>53.33</v>
      </c>
      <c r="G545" s="1">
        <v>287.98399999999998</v>
      </c>
      <c r="H545" s="1">
        <v>3109.8789999999999</v>
      </c>
      <c r="I545" s="1">
        <v>-3360.471</v>
      </c>
    </row>
    <row r="546" spans="1:9" hidden="1" x14ac:dyDescent="0.25">
      <c r="A546" s="1" t="s">
        <v>127</v>
      </c>
      <c r="B546" s="1" t="s">
        <v>193</v>
      </c>
      <c r="C546" s="1" t="s">
        <v>143</v>
      </c>
      <c r="D546" s="1">
        <v>815.6</v>
      </c>
      <c r="E546" s="1">
        <v>0</v>
      </c>
      <c r="F546" s="1">
        <v>69</v>
      </c>
      <c r="G546" s="1">
        <v>372.61700000000002</v>
      </c>
      <c r="H546" s="1">
        <v>4642.9889999999996</v>
      </c>
      <c r="I546" s="1">
        <v>-4893.5810000000001</v>
      </c>
    </row>
    <row r="547" spans="1:9" hidden="1" x14ac:dyDescent="0.25">
      <c r="A547" s="1" t="s">
        <v>127</v>
      </c>
      <c r="B547" s="1" t="s">
        <v>193</v>
      </c>
      <c r="C547" s="1" t="s">
        <v>3</v>
      </c>
      <c r="D547" s="1">
        <v>840.12</v>
      </c>
      <c r="E547" s="1">
        <v>0</v>
      </c>
      <c r="F547" s="1">
        <v>69</v>
      </c>
      <c r="G547" s="1">
        <v>372.61700000000002</v>
      </c>
      <c r="H547" s="1">
        <v>4581.17</v>
      </c>
      <c r="I547" s="1">
        <v>-5040.7070000000003</v>
      </c>
    </row>
    <row r="548" spans="1:9" hidden="1" x14ac:dyDescent="0.25">
      <c r="A548" s="1" t="s">
        <v>9</v>
      </c>
      <c r="B548" s="1" t="s">
        <v>193</v>
      </c>
      <c r="C548" s="1" t="s">
        <v>143</v>
      </c>
      <c r="D548" s="1">
        <v>1095.6400000000001</v>
      </c>
      <c r="E548" s="1">
        <v>0</v>
      </c>
      <c r="F548" s="1">
        <v>76.84</v>
      </c>
      <c r="G548" s="1">
        <v>414.93299999999999</v>
      </c>
      <c r="H548" s="1">
        <v>6114.28</v>
      </c>
      <c r="I548" s="1">
        <v>-6573.817</v>
      </c>
    </row>
    <row r="549" spans="1:9" hidden="1" x14ac:dyDescent="0.25">
      <c r="A549" s="1" t="s">
        <v>9</v>
      </c>
      <c r="B549" s="1" t="s">
        <v>193</v>
      </c>
      <c r="C549" s="1" t="s">
        <v>3</v>
      </c>
      <c r="D549" s="1">
        <v>1120.1600000000001</v>
      </c>
      <c r="E549" s="1">
        <v>0</v>
      </c>
      <c r="F549" s="1">
        <v>76.84</v>
      </c>
      <c r="G549" s="1">
        <v>414.93299999999999</v>
      </c>
      <c r="H549" s="1">
        <v>6025.991</v>
      </c>
      <c r="I549" s="1">
        <v>-6720.9430000000002</v>
      </c>
    </row>
    <row r="550" spans="1:9" hidden="1" x14ac:dyDescent="0.25">
      <c r="A550" s="1" t="s">
        <v>10</v>
      </c>
      <c r="B550" s="1" t="s">
        <v>193</v>
      </c>
      <c r="C550" s="1" t="s">
        <v>143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</row>
    <row r="551" spans="1:9" hidden="1" x14ac:dyDescent="0.25">
      <c r="A551" s="1" t="s">
        <v>10</v>
      </c>
      <c r="B551" s="1" t="s">
        <v>193</v>
      </c>
      <c r="C551" s="1" t="s">
        <v>3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</row>
    <row r="552" spans="1:9" hidden="1" x14ac:dyDescent="0.25">
      <c r="A552" s="1" t="s">
        <v>125</v>
      </c>
      <c r="B552" s="1" t="s">
        <v>194</v>
      </c>
      <c r="C552" s="1" t="s">
        <v>143</v>
      </c>
      <c r="D552" s="1">
        <v>210.53</v>
      </c>
      <c r="E552" s="1">
        <v>-99.4</v>
      </c>
      <c r="F552" s="1">
        <v>0</v>
      </c>
      <c r="G552" s="1">
        <v>656.06299999999999</v>
      </c>
      <c r="H552" s="1">
        <v>1263.1590000000001</v>
      </c>
      <c r="I552" s="1">
        <v>-1263.1590000000001</v>
      </c>
    </row>
    <row r="553" spans="1:9" hidden="1" x14ac:dyDescent="0.25">
      <c r="A553" s="1" t="s">
        <v>125</v>
      </c>
      <c r="B553" s="1" t="s">
        <v>194</v>
      </c>
      <c r="C553" s="1" t="s">
        <v>3</v>
      </c>
      <c r="D553" s="1">
        <v>232.6</v>
      </c>
      <c r="E553" s="1">
        <v>-99.4</v>
      </c>
      <c r="F553" s="1">
        <v>0</v>
      </c>
      <c r="G553" s="1">
        <v>656.06299999999999</v>
      </c>
      <c r="H553" s="1">
        <v>1395.5719999999999</v>
      </c>
      <c r="I553" s="1">
        <v>-1694.6389999999999</v>
      </c>
    </row>
    <row r="554" spans="1:9" hidden="1" x14ac:dyDescent="0.25">
      <c r="A554" s="1" t="s">
        <v>126</v>
      </c>
      <c r="B554" s="1" t="s">
        <v>194</v>
      </c>
      <c r="C554" s="1" t="s">
        <v>143</v>
      </c>
      <c r="D554" s="1">
        <v>443.12</v>
      </c>
      <c r="E554" s="1">
        <v>-177.77</v>
      </c>
      <c r="F554" s="1">
        <v>0</v>
      </c>
      <c r="G554" s="1">
        <v>1173.2660000000001</v>
      </c>
      <c r="H554" s="1">
        <v>2658.7310000000002</v>
      </c>
      <c r="I554" s="1">
        <v>-2957.7979999999998</v>
      </c>
    </row>
    <row r="555" spans="1:9" hidden="1" x14ac:dyDescent="0.25">
      <c r="A555" s="1" t="s">
        <v>126</v>
      </c>
      <c r="B555" s="1" t="s">
        <v>194</v>
      </c>
      <c r="C555" s="1" t="s">
        <v>3</v>
      </c>
      <c r="D555" s="1">
        <v>465.19</v>
      </c>
      <c r="E555" s="1">
        <v>-177.77</v>
      </c>
      <c r="F555" s="1">
        <v>0</v>
      </c>
      <c r="G555" s="1">
        <v>1173.2660000000001</v>
      </c>
      <c r="H555" s="1">
        <v>2791.1439999999998</v>
      </c>
      <c r="I555" s="1">
        <v>-3626.4520000000002</v>
      </c>
    </row>
    <row r="556" spans="1:9" hidden="1" x14ac:dyDescent="0.25">
      <c r="A556" s="1" t="s">
        <v>127</v>
      </c>
      <c r="B556" s="1" t="s">
        <v>194</v>
      </c>
      <c r="C556" s="1" t="s">
        <v>143</v>
      </c>
      <c r="D556" s="1">
        <v>675.72</v>
      </c>
      <c r="E556" s="1">
        <v>-230.01</v>
      </c>
      <c r="F556" s="1">
        <v>0</v>
      </c>
      <c r="G556" s="1">
        <v>1518.068</v>
      </c>
      <c r="H556" s="1">
        <v>4054.3029999999999</v>
      </c>
      <c r="I556" s="1">
        <v>-4889.6109999999999</v>
      </c>
    </row>
    <row r="557" spans="1:9" hidden="1" x14ac:dyDescent="0.25">
      <c r="A557" s="1" t="s">
        <v>127</v>
      </c>
      <c r="B557" s="1" t="s">
        <v>194</v>
      </c>
      <c r="C557" s="1" t="s">
        <v>3</v>
      </c>
      <c r="D557" s="1">
        <v>697.79</v>
      </c>
      <c r="E557" s="1">
        <v>-230.01</v>
      </c>
      <c r="F557" s="1">
        <v>0</v>
      </c>
      <c r="G557" s="1">
        <v>1518.068</v>
      </c>
      <c r="H557" s="1">
        <v>4186.7160000000003</v>
      </c>
      <c r="I557" s="1">
        <v>-5718.5069999999996</v>
      </c>
    </row>
    <row r="558" spans="1:9" hidden="1" x14ac:dyDescent="0.25">
      <c r="A558" s="1" t="s">
        <v>9</v>
      </c>
      <c r="B558" s="1" t="s">
        <v>194</v>
      </c>
      <c r="C558" s="1" t="s">
        <v>143</v>
      </c>
      <c r="D558" s="1">
        <v>908.31</v>
      </c>
      <c r="E558" s="1">
        <v>-256.13</v>
      </c>
      <c r="F558" s="1">
        <v>0</v>
      </c>
      <c r="G558" s="1">
        <v>1690.4690000000001</v>
      </c>
      <c r="H558" s="1">
        <v>5449.875</v>
      </c>
      <c r="I558" s="1">
        <v>-6981.6660000000002</v>
      </c>
    </row>
    <row r="559" spans="1:9" hidden="1" x14ac:dyDescent="0.25">
      <c r="A559" s="1" t="s">
        <v>9</v>
      </c>
      <c r="B559" s="1" t="s">
        <v>194</v>
      </c>
      <c r="C559" s="1" t="s">
        <v>3</v>
      </c>
      <c r="D559" s="1">
        <v>930.38</v>
      </c>
      <c r="E559" s="1">
        <v>-256.13</v>
      </c>
      <c r="F559" s="1">
        <v>0</v>
      </c>
      <c r="G559" s="1">
        <v>1690.4690000000001</v>
      </c>
      <c r="H559" s="1">
        <v>5582.2879999999996</v>
      </c>
      <c r="I559" s="1">
        <v>-7898.7939999999999</v>
      </c>
    </row>
    <row r="560" spans="1:9" hidden="1" x14ac:dyDescent="0.25">
      <c r="A560" s="1" t="s">
        <v>10</v>
      </c>
      <c r="B560" s="1" t="s">
        <v>194</v>
      </c>
      <c r="C560" s="1" t="s">
        <v>143</v>
      </c>
      <c r="D560" s="1">
        <v>0</v>
      </c>
      <c r="E560" s="1">
        <v>0</v>
      </c>
      <c r="F560" s="1">
        <v>0</v>
      </c>
      <c r="G560" s="1">
        <v>0</v>
      </c>
      <c r="H560" s="1">
        <v>0</v>
      </c>
      <c r="I560" s="1">
        <v>0</v>
      </c>
    </row>
    <row r="561" spans="1:9" hidden="1" x14ac:dyDescent="0.25">
      <c r="A561" s="1" t="s">
        <v>10</v>
      </c>
      <c r="B561" s="1" t="s">
        <v>194</v>
      </c>
      <c r="C561" s="1" t="s">
        <v>3</v>
      </c>
      <c r="D561" s="1">
        <v>0</v>
      </c>
      <c r="E561" s="1">
        <v>0</v>
      </c>
      <c r="F561" s="1">
        <v>0</v>
      </c>
      <c r="G561" s="1">
        <v>0</v>
      </c>
      <c r="H561" s="1">
        <v>0</v>
      </c>
      <c r="I561" s="1">
        <v>0</v>
      </c>
    </row>
    <row r="562" spans="1:9" hidden="1" x14ac:dyDescent="0.25">
      <c r="A562" s="1" t="s">
        <v>125</v>
      </c>
      <c r="B562" s="1" t="s">
        <v>195</v>
      </c>
      <c r="C562" s="1" t="s">
        <v>143</v>
      </c>
      <c r="D562" s="1">
        <v>210.53</v>
      </c>
      <c r="E562" s="1">
        <v>-99.4</v>
      </c>
      <c r="F562" s="1">
        <v>0</v>
      </c>
      <c r="G562" s="1">
        <v>536.779</v>
      </c>
      <c r="H562" s="1">
        <v>1263.1590000000001</v>
      </c>
      <c r="I562" s="1">
        <v>-1263.1590000000001</v>
      </c>
    </row>
    <row r="563" spans="1:9" hidden="1" x14ac:dyDescent="0.25">
      <c r="A563" s="1" t="s">
        <v>125</v>
      </c>
      <c r="B563" s="1" t="s">
        <v>195</v>
      </c>
      <c r="C563" s="1" t="s">
        <v>3</v>
      </c>
      <c r="D563" s="1">
        <v>232.6</v>
      </c>
      <c r="E563" s="1">
        <v>-99.4</v>
      </c>
      <c r="F563" s="1">
        <v>0</v>
      </c>
      <c r="G563" s="1">
        <v>536.779</v>
      </c>
      <c r="H563" s="1">
        <v>1395.5719999999999</v>
      </c>
      <c r="I563" s="1">
        <v>-1694.6389999999999</v>
      </c>
    </row>
    <row r="564" spans="1:9" hidden="1" x14ac:dyDescent="0.25">
      <c r="A564" s="1" t="s">
        <v>126</v>
      </c>
      <c r="B564" s="1" t="s">
        <v>195</v>
      </c>
      <c r="C564" s="1" t="s">
        <v>143</v>
      </c>
      <c r="D564" s="1">
        <v>443.12</v>
      </c>
      <c r="E564" s="1">
        <v>-177.77</v>
      </c>
      <c r="F564" s="1">
        <v>0</v>
      </c>
      <c r="G564" s="1">
        <v>959.94500000000005</v>
      </c>
      <c r="H564" s="1">
        <v>2658.7310000000002</v>
      </c>
      <c r="I564" s="1">
        <v>-2957.7979999999998</v>
      </c>
    </row>
    <row r="565" spans="1:9" hidden="1" x14ac:dyDescent="0.25">
      <c r="A565" s="1" t="s">
        <v>126</v>
      </c>
      <c r="B565" s="1" t="s">
        <v>195</v>
      </c>
      <c r="C565" s="1" t="s">
        <v>3</v>
      </c>
      <c r="D565" s="1">
        <v>465.19</v>
      </c>
      <c r="E565" s="1">
        <v>-177.77</v>
      </c>
      <c r="F565" s="1">
        <v>0</v>
      </c>
      <c r="G565" s="1">
        <v>959.94500000000005</v>
      </c>
      <c r="H565" s="1">
        <v>2791.1439999999998</v>
      </c>
      <c r="I565" s="1">
        <v>-3626.4520000000002</v>
      </c>
    </row>
    <row r="566" spans="1:9" hidden="1" x14ac:dyDescent="0.25">
      <c r="A566" s="1" t="s">
        <v>127</v>
      </c>
      <c r="B566" s="1" t="s">
        <v>195</v>
      </c>
      <c r="C566" s="1" t="s">
        <v>143</v>
      </c>
      <c r="D566" s="1">
        <v>675.72</v>
      </c>
      <c r="E566" s="1">
        <v>-230.01</v>
      </c>
      <c r="F566" s="1">
        <v>0</v>
      </c>
      <c r="G566" s="1">
        <v>1242.056</v>
      </c>
      <c r="H566" s="1">
        <v>4054.3029999999999</v>
      </c>
      <c r="I566" s="1">
        <v>-4889.6109999999999</v>
      </c>
    </row>
    <row r="567" spans="1:9" hidden="1" x14ac:dyDescent="0.25">
      <c r="A567" s="1" t="s">
        <v>127</v>
      </c>
      <c r="B567" s="1" t="s">
        <v>195</v>
      </c>
      <c r="C567" s="1" t="s">
        <v>3</v>
      </c>
      <c r="D567" s="1">
        <v>697.79</v>
      </c>
      <c r="E567" s="1">
        <v>-230.01</v>
      </c>
      <c r="F567" s="1">
        <v>0</v>
      </c>
      <c r="G567" s="1">
        <v>1242.056</v>
      </c>
      <c r="H567" s="1">
        <v>4186.7160000000003</v>
      </c>
      <c r="I567" s="1">
        <v>-5718.5069999999996</v>
      </c>
    </row>
    <row r="568" spans="1:9" hidden="1" x14ac:dyDescent="0.25">
      <c r="A568" s="1" t="s">
        <v>9</v>
      </c>
      <c r="B568" s="1" t="s">
        <v>195</v>
      </c>
      <c r="C568" s="1" t="s">
        <v>143</v>
      </c>
      <c r="D568" s="1">
        <v>908.31</v>
      </c>
      <c r="E568" s="1">
        <v>-256.13</v>
      </c>
      <c r="F568" s="1">
        <v>0</v>
      </c>
      <c r="G568" s="1">
        <v>1383.1110000000001</v>
      </c>
      <c r="H568" s="1">
        <v>5449.875</v>
      </c>
      <c r="I568" s="1">
        <v>-6981.6660000000002</v>
      </c>
    </row>
    <row r="569" spans="1:9" hidden="1" x14ac:dyDescent="0.25">
      <c r="A569" s="1" t="s">
        <v>9</v>
      </c>
      <c r="B569" s="1" t="s">
        <v>195</v>
      </c>
      <c r="C569" s="1" t="s">
        <v>3</v>
      </c>
      <c r="D569" s="1">
        <v>930.38</v>
      </c>
      <c r="E569" s="1">
        <v>-256.13</v>
      </c>
      <c r="F569" s="1">
        <v>0</v>
      </c>
      <c r="G569" s="1">
        <v>1383.1110000000001</v>
      </c>
      <c r="H569" s="1">
        <v>5582.2879999999996</v>
      </c>
      <c r="I569" s="1">
        <v>-7898.7939999999999</v>
      </c>
    </row>
    <row r="570" spans="1:9" hidden="1" x14ac:dyDescent="0.25">
      <c r="A570" s="1" t="s">
        <v>10</v>
      </c>
      <c r="B570" s="1" t="s">
        <v>195</v>
      </c>
      <c r="C570" s="1" t="s">
        <v>143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</row>
    <row r="571" spans="1:9" hidden="1" x14ac:dyDescent="0.25">
      <c r="A571" s="1" t="s">
        <v>10</v>
      </c>
      <c r="B571" s="1" t="s">
        <v>195</v>
      </c>
      <c r="C571" s="1" t="s">
        <v>3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</row>
    <row r="572" spans="1:9" hidden="1" x14ac:dyDescent="0.25">
      <c r="A572" s="1" t="s">
        <v>125</v>
      </c>
      <c r="B572" s="1" t="s">
        <v>196</v>
      </c>
      <c r="C572" s="1" t="s">
        <v>143</v>
      </c>
      <c r="D572" s="1">
        <v>210.53</v>
      </c>
      <c r="E572" s="1">
        <v>99.4</v>
      </c>
      <c r="F572" s="1">
        <v>0</v>
      </c>
      <c r="G572" s="1">
        <v>-656.06299999999999</v>
      </c>
      <c r="H572" s="1">
        <v>1263.1590000000001</v>
      </c>
      <c r="I572" s="1">
        <v>-1263.1590000000001</v>
      </c>
    </row>
    <row r="573" spans="1:9" hidden="1" x14ac:dyDescent="0.25">
      <c r="A573" s="1" t="s">
        <v>125</v>
      </c>
      <c r="B573" s="1" t="s">
        <v>196</v>
      </c>
      <c r="C573" s="1" t="s">
        <v>3</v>
      </c>
      <c r="D573" s="1">
        <v>232.6</v>
      </c>
      <c r="E573" s="1">
        <v>99.4</v>
      </c>
      <c r="F573" s="1">
        <v>0</v>
      </c>
      <c r="G573" s="1">
        <v>-656.06299999999999</v>
      </c>
      <c r="H573" s="1">
        <v>1395.5719999999999</v>
      </c>
      <c r="I573" s="1">
        <v>-1096.5060000000001</v>
      </c>
    </row>
    <row r="574" spans="1:9" hidden="1" x14ac:dyDescent="0.25">
      <c r="A574" s="1" t="s">
        <v>126</v>
      </c>
      <c r="B574" s="1" t="s">
        <v>196</v>
      </c>
      <c r="C574" s="1" t="s">
        <v>143</v>
      </c>
      <c r="D574" s="1">
        <v>443.12</v>
      </c>
      <c r="E574" s="1">
        <v>177.77</v>
      </c>
      <c r="F574" s="1">
        <v>0</v>
      </c>
      <c r="G574" s="1">
        <v>-1173.2660000000001</v>
      </c>
      <c r="H574" s="1">
        <v>2658.7310000000002</v>
      </c>
      <c r="I574" s="1">
        <v>-2359.665</v>
      </c>
    </row>
    <row r="575" spans="1:9" hidden="1" x14ac:dyDescent="0.25">
      <c r="A575" s="1" t="s">
        <v>126</v>
      </c>
      <c r="B575" s="1" t="s">
        <v>196</v>
      </c>
      <c r="C575" s="1" t="s">
        <v>3</v>
      </c>
      <c r="D575" s="1">
        <v>465.19</v>
      </c>
      <c r="E575" s="1">
        <v>177.77</v>
      </c>
      <c r="F575" s="1">
        <v>0</v>
      </c>
      <c r="G575" s="1">
        <v>-1173.2660000000001</v>
      </c>
      <c r="H575" s="1">
        <v>2791.1439999999998</v>
      </c>
      <c r="I575" s="1">
        <v>-1955.837</v>
      </c>
    </row>
    <row r="576" spans="1:9" hidden="1" x14ac:dyDescent="0.25">
      <c r="A576" s="1" t="s">
        <v>127</v>
      </c>
      <c r="B576" s="1" t="s">
        <v>196</v>
      </c>
      <c r="C576" s="1" t="s">
        <v>143</v>
      </c>
      <c r="D576" s="1">
        <v>675.72</v>
      </c>
      <c r="E576" s="1">
        <v>230.01</v>
      </c>
      <c r="F576" s="1">
        <v>0</v>
      </c>
      <c r="G576" s="1">
        <v>-1518.068</v>
      </c>
      <c r="H576" s="1">
        <v>4054.3029999999999</v>
      </c>
      <c r="I576" s="1">
        <v>-3218.9960000000001</v>
      </c>
    </row>
    <row r="577" spans="1:9" hidden="1" x14ac:dyDescent="0.25">
      <c r="A577" s="1" t="s">
        <v>127</v>
      </c>
      <c r="B577" s="1" t="s">
        <v>196</v>
      </c>
      <c r="C577" s="1" t="s">
        <v>3</v>
      </c>
      <c r="D577" s="1">
        <v>697.79</v>
      </c>
      <c r="E577" s="1">
        <v>230.01</v>
      </c>
      <c r="F577" s="1">
        <v>0</v>
      </c>
      <c r="G577" s="1">
        <v>-1518.068</v>
      </c>
      <c r="H577" s="1">
        <v>4186.7160000000003</v>
      </c>
      <c r="I577" s="1">
        <v>-2654.9259999999999</v>
      </c>
    </row>
    <row r="578" spans="1:9" hidden="1" x14ac:dyDescent="0.25">
      <c r="A578" s="1" t="s">
        <v>9</v>
      </c>
      <c r="B578" s="1" t="s">
        <v>196</v>
      </c>
      <c r="C578" s="1" t="s">
        <v>143</v>
      </c>
      <c r="D578" s="1">
        <v>908.31</v>
      </c>
      <c r="E578" s="1">
        <v>256.13</v>
      </c>
      <c r="F578" s="1">
        <v>0</v>
      </c>
      <c r="G578" s="1">
        <v>-1690.4690000000001</v>
      </c>
      <c r="H578" s="1">
        <v>5449.875</v>
      </c>
      <c r="I578" s="1">
        <v>-3918.085</v>
      </c>
    </row>
    <row r="579" spans="1:9" hidden="1" x14ac:dyDescent="0.25">
      <c r="A579" s="1" t="s">
        <v>9</v>
      </c>
      <c r="B579" s="1" t="s">
        <v>196</v>
      </c>
      <c r="C579" s="1" t="s">
        <v>3</v>
      </c>
      <c r="D579" s="1">
        <v>930.38</v>
      </c>
      <c r="E579" s="1">
        <v>256.13</v>
      </c>
      <c r="F579" s="1">
        <v>0</v>
      </c>
      <c r="G579" s="1">
        <v>-1690.4690000000001</v>
      </c>
      <c r="H579" s="1">
        <v>5582.2879999999996</v>
      </c>
      <c r="I579" s="1">
        <v>-3265.7829999999999</v>
      </c>
    </row>
    <row r="580" spans="1:9" hidden="1" x14ac:dyDescent="0.25">
      <c r="A580" s="1" t="s">
        <v>10</v>
      </c>
      <c r="B580" s="1" t="s">
        <v>196</v>
      </c>
      <c r="C580" s="1" t="s">
        <v>143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</row>
    <row r="581" spans="1:9" hidden="1" x14ac:dyDescent="0.25">
      <c r="A581" s="1" t="s">
        <v>10</v>
      </c>
      <c r="B581" s="1" t="s">
        <v>196</v>
      </c>
      <c r="C581" s="1" t="s">
        <v>3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</row>
    <row r="582" spans="1:9" hidden="1" x14ac:dyDescent="0.25">
      <c r="A582" s="1" t="s">
        <v>125</v>
      </c>
      <c r="B582" s="1" t="s">
        <v>197</v>
      </c>
      <c r="C582" s="1" t="s">
        <v>143</v>
      </c>
      <c r="D582" s="1">
        <v>210.53</v>
      </c>
      <c r="E582" s="1">
        <v>99.4</v>
      </c>
      <c r="F582" s="1">
        <v>0</v>
      </c>
      <c r="G582" s="1">
        <v>-536.779</v>
      </c>
      <c r="H582" s="1">
        <v>1263.1590000000001</v>
      </c>
      <c r="I582" s="1">
        <v>-1263.1590000000001</v>
      </c>
    </row>
    <row r="583" spans="1:9" hidden="1" x14ac:dyDescent="0.25">
      <c r="A583" s="1" t="s">
        <v>125</v>
      </c>
      <c r="B583" s="1" t="s">
        <v>197</v>
      </c>
      <c r="C583" s="1" t="s">
        <v>3</v>
      </c>
      <c r="D583" s="1">
        <v>232.6</v>
      </c>
      <c r="E583" s="1">
        <v>99.4</v>
      </c>
      <c r="F583" s="1">
        <v>0</v>
      </c>
      <c r="G583" s="1">
        <v>-536.779</v>
      </c>
      <c r="H583" s="1">
        <v>1395.5719999999999</v>
      </c>
      <c r="I583" s="1">
        <v>-1096.5060000000001</v>
      </c>
    </row>
    <row r="584" spans="1:9" hidden="1" x14ac:dyDescent="0.25">
      <c r="A584" s="1" t="s">
        <v>126</v>
      </c>
      <c r="B584" s="1" t="s">
        <v>197</v>
      </c>
      <c r="C584" s="1" t="s">
        <v>143</v>
      </c>
      <c r="D584" s="1">
        <v>443.12</v>
      </c>
      <c r="E584" s="1">
        <v>177.77</v>
      </c>
      <c r="F584" s="1">
        <v>0</v>
      </c>
      <c r="G584" s="1">
        <v>-959.94500000000005</v>
      </c>
      <c r="H584" s="1">
        <v>2658.7310000000002</v>
      </c>
      <c r="I584" s="1">
        <v>-2359.665</v>
      </c>
    </row>
    <row r="585" spans="1:9" hidden="1" x14ac:dyDescent="0.25">
      <c r="A585" s="1" t="s">
        <v>126</v>
      </c>
      <c r="B585" s="1" t="s">
        <v>197</v>
      </c>
      <c r="C585" s="1" t="s">
        <v>3</v>
      </c>
      <c r="D585" s="1">
        <v>465.19</v>
      </c>
      <c r="E585" s="1">
        <v>177.77</v>
      </c>
      <c r="F585" s="1">
        <v>0</v>
      </c>
      <c r="G585" s="1">
        <v>-959.94500000000005</v>
      </c>
      <c r="H585" s="1">
        <v>2791.1439999999998</v>
      </c>
      <c r="I585" s="1">
        <v>-1955.837</v>
      </c>
    </row>
    <row r="586" spans="1:9" hidden="1" x14ac:dyDescent="0.25">
      <c r="A586" s="1" t="s">
        <v>127</v>
      </c>
      <c r="B586" s="1" t="s">
        <v>197</v>
      </c>
      <c r="C586" s="1" t="s">
        <v>143</v>
      </c>
      <c r="D586" s="1">
        <v>675.72</v>
      </c>
      <c r="E586" s="1">
        <v>230.01</v>
      </c>
      <c r="F586" s="1">
        <v>0</v>
      </c>
      <c r="G586" s="1">
        <v>-1242.056</v>
      </c>
      <c r="H586" s="1">
        <v>4054.3029999999999</v>
      </c>
      <c r="I586" s="1">
        <v>-3218.9960000000001</v>
      </c>
    </row>
    <row r="587" spans="1:9" hidden="1" x14ac:dyDescent="0.25">
      <c r="A587" s="1" t="s">
        <v>127</v>
      </c>
      <c r="B587" s="1" t="s">
        <v>197</v>
      </c>
      <c r="C587" s="1" t="s">
        <v>3</v>
      </c>
      <c r="D587" s="1">
        <v>697.79</v>
      </c>
      <c r="E587" s="1">
        <v>230.01</v>
      </c>
      <c r="F587" s="1">
        <v>0</v>
      </c>
      <c r="G587" s="1">
        <v>-1242.056</v>
      </c>
      <c r="H587" s="1">
        <v>4186.7160000000003</v>
      </c>
      <c r="I587" s="1">
        <v>-2654.9259999999999</v>
      </c>
    </row>
    <row r="588" spans="1:9" hidden="1" x14ac:dyDescent="0.25">
      <c r="A588" s="1" t="s">
        <v>9</v>
      </c>
      <c r="B588" s="1" t="s">
        <v>197</v>
      </c>
      <c r="C588" s="1" t="s">
        <v>143</v>
      </c>
      <c r="D588" s="1">
        <v>908.31</v>
      </c>
      <c r="E588" s="1">
        <v>256.13</v>
      </c>
      <c r="F588" s="1">
        <v>0</v>
      </c>
      <c r="G588" s="1">
        <v>-1383.1110000000001</v>
      </c>
      <c r="H588" s="1">
        <v>5449.875</v>
      </c>
      <c r="I588" s="1">
        <v>-3918.085</v>
      </c>
    </row>
    <row r="589" spans="1:9" hidden="1" x14ac:dyDescent="0.25">
      <c r="A589" s="1" t="s">
        <v>9</v>
      </c>
      <c r="B589" s="1" t="s">
        <v>197</v>
      </c>
      <c r="C589" s="1" t="s">
        <v>3</v>
      </c>
      <c r="D589" s="1">
        <v>930.38</v>
      </c>
      <c r="E589" s="1">
        <v>256.13</v>
      </c>
      <c r="F589" s="1">
        <v>0</v>
      </c>
      <c r="G589" s="1">
        <v>-1383.1110000000001</v>
      </c>
      <c r="H589" s="1">
        <v>5582.2879999999996</v>
      </c>
      <c r="I589" s="1">
        <v>-3265.7829999999999</v>
      </c>
    </row>
    <row r="590" spans="1:9" hidden="1" x14ac:dyDescent="0.25">
      <c r="A590" s="1" t="s">
        <v>10</v>
      </c>
      <c r="B590" s="1" t="s">
        <v>197</v>
      </c>
      <c r="C590" s="1" t="s">
        <v>143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</row>
    <row r="591" spans="1:9" hidden="1" x14ac:dyDescent="0.25">
      <c r="A591" s="1" t="s">
        <v>10</v>
      </c>
      <c r="B591" s="1" t="s">
        <v>197</v>
      </c>
      <c r="C591" s="1" t="s">
        <v>3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</row>
    <row r="592" spans="1:9" hidden="1" x14ac:dyDescent="0.25">
      <c r="A592" s="1" t="s">
        <v>125</v>
      </c>
      <c r="B592" s="1" t="s">
        <v>198</v>
      </c>
      <c r="C592" s="1" t="s">
        <v>143</v>
      </c>
      <c r="D592" s="1">
        <v>210.53</v>
      </c>
      <c r="E592" s="1">
        <v>0</v>
      </c>
      <c r="F592" s="1">
        <v>-99.4</v>
      </c>
      <c r="G592" s="1">
        <v>-656.06299999999999</v>
      </c>
      <c r="H592" s="1">
        <v>1263.1590000000001</v>
      </c>
      <c r="I592" s="1">
        <v>-1263.1590000000001</v>
      </c>
    </row>
    <row r="593" spans="1:9" hidden="1" x14ac:dyDescent="0.25">
      <c r="A593" s="1" t="s">
        <v>125</v>
      </c>
      <c r="B593" s="1" t="s">
        <v>198</v>
      </c>
      <c r="C593" s="1" t="s">
        <v>3</v>
      </c>
      <c r="D593" s="1">
        <v>232.6</v>
      </c>
      <c r="E593" s="1">
        <v>0</v>
      </c>
      <c r="F593" s="1">
        <v>-99.4</v>
      </c>
      <c r="G593" s="1">
        <v>-656.06299999999999</v>
      </c>
      <c r="H593" s="1">
        <v>1694.6389999999999</v>
      </c>
      <c r="I593" s="1">
        <v>-1395.5719999999999</v>
      </c>
    </row>
    <row r="594" spans="1:9" hidden="1" x14ac:dyDescent="0.25">
      <c r="A594" s="1" t="s">
        <v>126</v>
      </c>
      <c r="B594" s="1" t="s">
        <v>198</v>
      </c>
      <c r="C594" s="1" t="s">
        <v>143</v>
      </c>
      <c r="D594" s="1">
        <v>443.12</v>
      </c>
      <c r="E594" s="1">
        <v>0</v>
      </c>
      <c r="F594" s="1">
        <v>-177.77</v>
      </c>
      <c r="G594" s="1">
        <v>-1173.2660000000001</v>
      </c>
      <c r="H594" s="1">
        <v>2957.7979999999998</v>
      </c>
      <c r="I594" s="1">
        <v>-2658.7310000000002</v>
      </c>
    </row>
    <row r="595" spans="1:9" hidden="1" x14ac:dyDescent="0.25">
      <c r="A595" s="1" t="s">
        <v>126</v>
      </c>
      <c r="B595" s="1" t="s">
        <v>198</v>
      </c>
      <c r="C595" s="1" t="s">
        <v>3</v>
      </c>
      <c r="D595" s="1">
        <v>465.19</v>
      </c>
      <c r="E595" s="1">
        <v>0</v>
      </c>
      <c r="F595" s="1">
        <v>-177.77</v>
      </c>
      <c r="G595" s="1">
        <v>-1173.2660000000001</v>
      </c>
      <c r="H595" s="1">
        <v>3626.4520000000002</v>
      </c>
      <c r="I595" s="1">
        <v>-2791.1439999999998</v>
      </c>
    </row>
    <row r="596" spans="1:9" hidden="1" x14ac:dyDescent="0.25">
      <c r="A596" s="1" t="s">
        <v>127</v>
      </c>
      <c r="B596" s="1" t="s">
        <v>198</v>
      </c>
      <c r="C596" s="1" t="s">
        <v>143</v>
      </c>
      <c r="D596" s="1">
        <v>675.72</v>
      </c>
      <c r="E596" s="1">
        <v>0</v>
      </c>
      <c r="F596" s="1">
        <v>-230.01</v>
      </c>
      <c r="G596" s="1">
        <v>-1518.068</v>
      </c>
      <c r="H596" s="1">
        <v>4889.6109999999999</v>
      </c>
      <c r="I596" s="1">
        <v>-4054.3029999999999</v>
      </c>
    </row>
    <row r="597" spans="1:9" hidden="1" x14ac:dyDescent="0.25">
      <c r="A597" s="1" t="s">
        <v>127</v>
      </c>
      <c r="B597" s="1" t="s">
        <v>198</v>
      </c>
      <c r="C597" s="1" t="s">
        <v>3</v>
      </c>
      <c r="D597" s="1">
        <v>697.79</v>
      </c>
      <c r="E597" s="1">
        <v>0</v>
      </c>
      <c r="F597" s="1">
        <v>-230.01</v>
      </c>
      <c r="G597" s="1">
        <v>-1518.068</v>
      </c>
      <c r="H597" s="1">
        <v>5718.5069999999996</v>
      </c>
      <c r="I597" s="1">
        <v>-4186.7160000000003</v>
      </c>
    </row>
    <row r="598" spans="1:9" hidden="1" x14ac:dyDescent="0.25">
      <c r="A598" s="1" t="s">
        <v>9</v>
      </c>
      <c r="B598" s="1" t="s">
        <v>198</v>
      </c>
      <c r="C598" s="1" t="s">
        <v>143</v>
      </c>
      <c r="D598" s="1">
        <v>908.31</v>
      </c>
      <c r="E598" s="1">
        <v>0</v>
      </c>
      <c r="F598" s="1">
        <v>-256.13</v>
      </c>
      <c r="G598" s="1">
        <v>-1690.4690000000001</v>
      </c>
      <c r="H598" s="1">
        <v>6981.6660000000002</v>
      </c>
      <c r="I598" s="1">
        <v>-5449.875</v>
      </c>
    </row>
    <row r="599" spans="1:9" hidden="1" x14ac:dyDescent="0.25">
      <c r="A599" s="1" t="s">
        <v>9</v>
      </c>
      <c r="B599" s="1" t="s">
        <v>198</v>
      </c>
      <c r="C599" s="1" t="s">
        <v>3</v>
      </c>
      <c r="D599" s="1">
        <v>930.38</v>
      </c>
      <c r="E599" s="1">
        <v>0</v>
      </c>
      <c r="F599" s="1">
        <v>-256.13</v>
      </c>
      <c r="G599" s="1">
        <v>-1690.4690000000001</v>
      </c>
      <c r="H599" s="1">
        <v>7898.7939999999999</v>
      </c>
      <c r="I599" s="1">
        <v>-5582.2879999999996</v>
      </c>
    </row>
    <row r="600" spans="1:9" hidden="1" x14ac:dyDescent="0.25">
      <c r="A600" s="1" t="s">
        <v>10</v>
      </c>
      <c r="B600" s="1" t="s">
        <v>198</v>
      </c>
      <c r="C600" s="1" t="s">
        <v>143</v>
      </c>
      <c r="D600" s="1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</row>
    <row r="601" spans="1:9" hidden="1" x14ac:dyDescent="0.25">
      <c r="A601" s="1" t="s">
        <v>10</v>
      </c>
      <c r="B601" s="1" t="s">
        <v>198</v>
      </c>
      <c r="C601" s="1" t="s">
        <v>3</v>
      </c>
      <c r="D601" s="1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</row>
    <row r="602" spans="1:9" hidden="1" x14ac:dyDescent="0.25">
      <c r="A602" s="1" t="s">
        <v>125</v>
      </c>
      <c r="B602" s="1" t="s">
        <v>199</v>
      </c>
      <c r="C602" s="1" t="s">
        <v>143</v>
      </c>
      <c r="D602" s="1">
        <v>210.53</v>
      </c>
      <c r="E602" s="1">
        <v>0</v>
      </c>
      <c r="F602" s="1">
        <v>-99.4</v>
      </c>
      <c r="G602" s="1">
        <v>-536.779</v>
      </c>
      <c r="H602" s="1">
        <v>1263.1590000000001</v>
      </c>
      <c r="I602" s="1">
        <v>-1263.1590000000001</v>
      </c>
    </row>
    <row r="603" spans="1:9" hidden="1" x14ac:dyDescent="0.25">
      <c r="A603" s="1" t="s">
        <v>125</v>
      </c>
      <c r="B603" s="1" t="s">
        <v>199</v>
      </c>
      <c r="C603" s="1" t="s">
        <v>3</v>
      </c>
      <c r="D603" s="1">
        <v>232.6</v>
      </c>
      <c r="E603" s="1">
        <v>0</v>
      </c>
      <c r="F603" s="1">
        <v>-99.4</v>
      </c>
      <c r="G603" s="1">
        <v>-536.779</v>
      </c>
      <c r="H603" s="1">
        <v>1694.6389999999999</v>
      </c>
      <c r="I603" s="1">
        <v>-1395.5719999999999</v>
      </c>
    </row>
    <row r="604" spans="1:9" hidden="1" x14ac:dyDescent="0.25">
      <c r="A604" s="1" t="s">
        <v>126</v>
      </c>
      <c r="B604" s="1" t="s">
        <v>199</v>
      </c>
      <c r="C604" s="1" t="s">
        <v>143</v>
      </c>
      <c r="D604" s="1">
        <v>443.12</v>
      </c>
      <c r="E604" s="1">
        <v>0</v>
      </c>
      <c r="F604" s="1">
        <v>-177.77</v>
      </c>
      <c r="G604" s="1">
        <v>-959.94500000000005</v>
      </c>
      <c r="H604" s="1">
        <v>2957.7979999999998</v>
      </c>
      <c r="I604" s="1">
        <v>-2658.7310000000002</v>
      </c>
    </row>
    <row r="605" spans="1:9" hidden="1" x14ac:dyDescent="0.25">
      <c r="A605" s="1" t="s">
        <v>126</v>
      </c>
      <c r="B605" s="1" t="s">
        <v>199</v>
      </c>
      <c r="C605" s="1" t="s">
        <v>3</v>
      </c>
      <c r="D605" s="1">
        <v>465.19</v>
      </c>
      <c r="E605" s="1">
        <v>0</v>
      </c>
      <c r="F605" s="1">
        <v>-177.77</v>
      </c>
      <c r="G605" s="1">
        <v>-959.94500000000005</v>
      </c>
      <c r="H605" s="1">
        <v>3626.4520000000002</v>
      </c>
      <c r="I605" s="1">
        <v>-2791.1439999999998</v>
      </c>
    </row>
    <row r="606" spans="1:9" hidden="1" x14ac:dyDescent="0.25">
      <c r="A606" s="1" t="s">
        <v>127</v>
      </c>
      <c r="B606" s="1" t="s">
        <v>199</v>
      </c>
      <c r="C606" s="1" t="s">
        <v>143</v>
      </c>
      <c r="D606" s="1">
        <v>675.72</v>
      </c>
      <c r="E606" s="1">
        <v>0</v>
      </c>
      <c r="F606" s="1">
        <v>-230.01</v>
      </c>
      <c r="G606" s="1">
        <v>-1242.056</v>
      </c>
      <c r="H606" s="1">
        <v>4889.6109999999999</v>
      </c>
      <c r="I606" s="1">
        <v>-4054.3029999999999</v>
      </c>
    </row>
    <row r="607" spans="1:9" hidden="1" x14ac:dyDescent="0.25">
      <c r="A607" s="1" t="s">
        <v>127</v>
      </c>
      <c r="B607" s="1" t="s">
        <v>199</v>
      </c>
      <c r="C607" s="1" t="s">
        <v>3</v>
      </c>
      <c r="D607" s="1">
        <v>697.79</v>
      </c>
      <c r="E607" s="1">
        <v>0</v>
      </c>
      <c r="F607" s="1">
        <v>-230.01</v>
      </c>
      <c r="G607" s="1">
        <v>-1242.056</v>
      </c>
      <c r="H607" s="1">
        <v>5718.5069999999996</v>
      </c>
      <c r="I607" s="1">
        <v>-4186.7160000000003</v>
      </c>
    </row>
    <row r="608" spans="1:9" hidden="1" x14ac:dyDescent="0.25">
      <c r="A608" s="1" t="s">
        <v>9</v>
      </c>
      <c r="B608" s="1" t="s">
        <v>199</v>
      </c>
      <c r="C608" s="1" t="s">
        <v>143</v>
      </c>
      <c r="D608" s="1">
        <v>908.31</v>
      </c>
      <c r="E608" s="1">
        <v>0</v>
      </c>
      <c r="F608" s="1">
        <v>-256.13</v>
      </c>
      <c r="G608" s="1">
        <v>-1383.1110000000001</v>
      </c>
      <c r="H608" s="1">
        <v>6981.6660000000002</v>
      </c>
      <c r="I608" s="1">
        <v>-5449.875</v>
      </c>
    </row>
    <row r="609" spans="1:9" hidden="1" x14ac:dyDescent="0.25">
      <c r="A609" s="1" t="s">
        <v>9</v>
      </c>
      <c r="B609" s="1" t="s">
        <v>199</v>
      </c>
      <c r="C609" s="1" t="s">
        <v>3</v>
      </c>
      <c r="D609" s="1">
        <v>930.38</v>
      </c>
      <c r="E609" s="1">
        <v>0</v>
      </c>
      <c r="F609" s="1">
        <v>-256.13</v>
      </c>
      <c r="G609" s="1">
        <v>-1383.1110000000001</v>
      </c>
      <c r="H609" s="1">
        <v>7898.7939999999999</v>
      </c>
      <c r="I609" s="1">
        <v>-5582.2879999999996</v>
      </c>
    </row>
    <row r="610" spans="1:9" hidden="1" x14ac:dyDescent="0.25">
      <c r="A610" s="1" t="s">
        <v>10</v>
      </c>
      <c r="B610" s="1" t="s">
        <v>199</v>
      </c>
      <c r="C610" s="1" t="s">
        <v>143</v>
      </c>
      <c r="D610" s="1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</row>
    <row r="611" spans="1:9" hidden="1" x14ac:dyDescent="0.25">
      <c r="A611" s="1" t="s">
        <v>10</v>
      </c>
      <c r="B611" s="1" t="s">
        <v>199</v>
      </c>
      <c r="C611" s="1" t="s">
        <v>3</v>
      </c>
      <c r="D611" s="1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</row>
    <row r="612" spans="1:9" hidden="1" x14ac:dyDescent="0.25">
      <c r="A612" s="1" t="s">
        <v>125</v>
      </c>
      <c r="B612" s="1" t="s">
        <v>200</v>
      </c>
      <c r="C612" s="1" t="s">
        <v>143</v>
      </c>
      <c r="D612" s="1">
        <v>210.53</v>
      </c>
      <c r="E612" s="1">
        <v>0</v>
      </c>
      <c r="F612" s="1">
        <v>99.4</v>
      </c>
      <c r="G612" s="1">
        <v>656.06299999999999</v>
      </c>
      <c r="H612" s="1">
        <v>1263.1590000000001</v>
      </c>
      <c r="I612" s="1">
        <v>-1263.1590000000001</v>
      </c>
    </row>
    <row r="613" spans="1:9" hidden="1" x14ac:dyDescent="0.25">
      <c r="A613" s="1" t="s">
        <v>125</v>
      </c>
      <c r="B613" s="1" t="s">
        <v>200</v>
      </c>
      <c r="C613" s="1" t="s">
        <v>3</v>
      </c>
      <c r="D613" s="1">
        <v>232.6</v>
      </c>
      <c r="E613" s="1">
        <v>0</v>
      </c>
      <c r="F613" s="1">
        <v>99.4</v>
      </c>
      <c r="G613" s="1">
        <v>656.06299999999999</v>
      </c>
      <c r="H613" s="1">
        <v>1096.5060000000001</v>
      </c>
      <c r="I613" s="1">
        <v>-1395.5719999999999</v>
      </c>
    </row>
    <row r="614" spans="1:9" hidden="1" x14ac:dyDescent="0.25">
      <c r="A614" s="1" t="s">
        <v>126</v>
      </c>
      <c r="B614" s="1" t="s">
        <v>200</v>
      </c>
      <c r="C614" s="1" t="s">
        <v>143</v>
      </c>
      <c r="D614" s="1">
        <v>443.12</v>
      </c>
      <c r="E614" s="1">
        <v>0</v>
      </c>
      <c r="F614" s="1">
        <v>177.77</v>
      </c>
      <c r="G614" s="1">
        <v>1173.2660000000001</v>
      </c>
      <c r="H614" s="1">
        <v>2359.665</v>
      </c>
      <c r="I614" s="1">
        <v>-2658.7310000000002</v>
      </c>
    </row>
    <row r="615" spans="1:9" hidden="1" x14ac:dyDescent="0.25">
      <c r="A615" s="1" t="s">
        <v>126</v>
      </c>
      <c r="B615" s="1" t="s">
        <v>200</v>
      </c>
      <c r="C615" s="1" t="s">
        <v>3</v>
      </c>
      <c r="D615" s="1">
        <v>465.19</v>
      </c>
      <c r="E615" s="1">
        <v>0</v>
      </c>
      <c r="F615" s="1">
        <v>177.77</v>
      </c>
      <c r="G615" s="1">
        <v>1173.2660000000001</v>
      </c>
      <c r="H615" s="1">
        <v>1955.837</v>
      </c>
      <c r="I615" s="1">
        <v>-2791.1439999999998</v>
      </c>
    </row>
    <row r="616" spans="1:9" hidden="1" x14ac:dyDescent="0.25">
      <c r="A616" s="1" t="s">
        <v>127</v>
      </c>
      <c r="B616" s="1" t="s">
        <v>200</v>
      </c>
      <c r="C616" s="1" t="s">
        <v>143</v>
      </c>
      <c r="D616" s="1">
        <v>675.72</v>
      </c>
      <c r="E616" s="1">
        <v>0</v>
      </c>
      <c r="F616" s="1">
        <v>230.01</v>
      </c>
      <c r="G616" s="1">
        <v>1518.068</v>
      </c>
      <c r="H616" s="1">
        <v>3218.9960000000001</v>
      </c>
      <c r="I616" s="1">
        <v>-4054.3029999999999</v>
      </c>
    </row>
    <row r="617" spans="1:9" hidden="1" x14ac:dyDescent="0.25">
      <c r="A617" s="1" t="s">
        <v>127</v>
      </c>
      <c r="B617" s="1" t="s">
        <v>200</v>
      </c>
      <c r="C617" s="1" t="s">
        <v>3</v>
      </c>
      <c r="D617" s="1">
        <v>697.79</v>
      </c>
      <c r="E617" s="1">
        <v>0</v>
      </c>
      <c r="F617" s="1">
        <v>230.01</v>
      </c>
      <c r="G617" s="1">
        <v>1518.068</v>
      </c>
      <c r="H617" s="1">
        <v>2654.9259999999999</v>
      </c>
      <c r="I617" s="1">
        <v>-4186.7160000000003</v>
      </c>
    </row>
    <row r="618" spans="1:9" hidden="1" x14ac:dyDescent="0.25">
      <c r="A618" s="1" t="s">
        <v>9</v>
      </c>
      <c r="B618" s="1" t="s">
        <v>200</v>
      </c>
      <c r="C618" s="1" t="s">
        <v>143</v>
      </c>
      <c r="D618" s="1">
        <v>908.31</v>
      </c>
      <c r="E618" s="1">
        <v>0</v>
      </c>
      <c r="F618" s="1">
        <v>256.13</v>
      </c>
      <c r="G618" s="1">
        <v>1690.4690000000001</v>
      </c>
      <c r="H618" s="1">
        <v>3918.085</v>
      </c>
      <c r="I618" s="1">
        <v>-5449.875</v>
      </c>
    </row>
    <row r="619" spans="1:9" hidden="1" x14ac:dyDescent="0.25">
      <c r="A619" s="1" t="s">
        <v>9</v>
      </c>
      <c r="B619" s="1" t="s">
        <v>200</v>
      </c>
      <c r="C619" s="1" t="s">
        <v>3</v>
      </c>
      <c r="D619" s="1">
        <v>930.38</v>
      </c>
      <c r="E619" s="1">
        <v>0</v>
      </c>
      <c r="F619" s="1">
        <v>256.13</v>
      </c>
      <c r="G619" s="1">
        <v>1690.4690000000001</v>
      </c>
      <c r="H619" s="1">
        <v>3265.7829999999999</v>
      </c>
      <c r="I619" s="1">
        <v>-5582.2879999999996</v>
      </c>
    </row>
    <row r="620" spans="1:9" hidden="1" x14ac:dyDescent="0.25">
      <c r="A620" s="1" t="s">
        <v>10</v>
      </c>
      <c r="B620" s="1" t="s">
        <v>200</v>
      </c>
      <c r="C620" s="1" t="s">
        <v>143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</row>
    <row r="621" spans="1:9" hidden="1" x14ac:dyDescent="0.25">
      <c r="A621" s="1" t="s">
        <v>10</v>
      </c>
      <c r="B621" s="1" t="s">
        <v>200</v>
      </c>
      <c r="C621" s="1" t="s">
        <v>3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</row>
    <row r="622" spans="1:9" hidden="1" x14ac:dyDescent="0.25">
      <c r="A622" s="1" t="s">
        <v>125</v>
      </c>
      <c r="B622" s="1" t="s">
        <v>201</v>
      </c>
      <c r="C622" s="1" t="s">
        <v>143</v>
      </c>
      <c r="D622" s="1">
        <v>210.53</v>
      </c>
      <c r="E622" s="1">
        <v>0</v>
      </c>
      <c r="F622" s="1">
        <v>99.4</v>
      </c>
      <c r="G622" s="1">
        <v>536.779</v>
      </c>
      <c r="H622" s="1">
        <v>1263.1590000000001</v>
      </c>
      <c r="I622" s="1">
        <v>-1263.1590000000001</v>
      </c>
    </row>
    <row r="623" spans="1:9" hidden="1" x14ac:dyDescent="0.25">
      <c r="A623" s="1" t="s">
        <v>125</v>
      </c>
      <c r="B623" s="1" t="s">
        <v>201</v>
      </c>
      <c r="C623" s="1" t="s">
        <v>3</v>
      </c>
      <c r="D623" s="1">
        <v>232.6</v>
      </c>
      <c r="E623" s="1">
        <v>0</v>
      </c>
      <c r="F623" s="1">
        <v>99.4</v>
      </c>
      <c r="G623" s="1">
        <v>536.779</v>
      </c>
      <c r="H623" s="1">
        <v>1096.5060000000001</v>
      </c>
      <c r="I623" s="1">
        <v>-1395.5719999999999</v>
      </c>
    </row>
    <row r="624" spans="1:9" hidden="1" x14ac:dyDescent="0.25">
      <c r="A624" s="1" t="s">
        <v>126</v>
      </c>
      <c r="B624" s="1" t="s">
        <v>201</v>
      </c>
      <c r="C624" s="1" t="s">
        <v>143</v>
      </c>
      <c r="D624" s="1">
        <v>443.12</v>
      </c>
      <c r="E624" s="1">
        <v>0</v>
      </c>
      <c r="F624" s="1">
        <v>177.77</v>
      </c>
      <c r="G624" s="1">
        <v>959.94500000000005</v>
      </c>
      <c r="H624" s="1">
        <v>2359.665</v>
      </c>
      <c r="I624" s="1">
        <v>-2658.7310000000002</v>
      </c>
    </row>
    <row r="625" spans="1:9" hidden="1" x14ac:dyDescent="0.25">
      <c r="A625" s="1" t="s">
        <v>126</v>
      </c>
      <c r="B625" s="1" t="s">
        <v>201</v>
      </c>
      <c r="C625" s="1" t="s">
        <v>3</v>
      </c>
      <c r="D625" s="1">
        <v>465.19</v>
      </c>
      <c r="E625" s="1">
        <v>0</v>
      </c>
      <c r="F625" s="1">
        <v>177.77</v>
      </c>
      <c r="G625" s="1">
        <v>959.94500000000005</v>
      </c>
      <c r="H625" s="1">
        <v>1955.837</v>
      </c>
      <c r="I625" s="1">
        <v>-2791.1439999999998</v>
      </c>
    </row>
    <row r="626" spans="1:9" hidden="1" x14ac:dyDescent="0.25">
      <c r="A626" s="1" t="s">
        <v>127</v>
      </c>
      <c r="B626" s="1" t="s">
        <v>201</v>
      </c>
      <c r="C626" s="1" t="s">
        <v>143</v>
      </c>
      <c r="D626" s="1">
        <v>675.72</v>
      </c>
      <c r="E626" s="1">
        <v>0</v>
      </c>
      <c r="F626" s="1">
        <v>230.01</v>
      </c>
      <c r="G626" s="1">
        <v>1242.056</v>
      </c>
      <c r="H626" s="1">
        <v>3218.9960000000001</v>
      </c>
      <c r="I626" s="1">
        <v>-4054.3029999999999</v>
      </c>
    </row>
    <row r="627" spans="1:9" hidden="1" x14ac:dyDescent="0.25">
      <c r="A627" s="1" t="s">
        <v>127</v>
      </c>
      <c r="B627" s="1" t="s">
        <v>201</v>
      </c>
      <c r="C627" s="1" t="s">
        <v>3</v>
      </c>
      <c r="D627" s="1">
        <v>697.79</v>
      </c>
      <c r="E627" s="1">
        <v>0</v>
      </c>
      <c r="F627" s="1">
        <v>230.01</v>
      </c>
      <c r="G627" s="1">
        <v>1242.056</v>
      </c>
      <c r="H627" s="1">
        <v>2654.9259999999999</v>
      </c>
      <c r="I627" s="1">
        <v>-4186.7160000000003</v>
      </c>
    </row>
    <row r="628" spans="1:9" hidden="1" x14ac:dyDescent="0.25">
      <c r="A628" s="1" t="s">
        <v>9</v>
      </c>
      <c r="B628" s="1" t="s">
        <v>201</v>
      </c>
      <c r="C628" s="1" t="s">
        <v>143</v>
      </c>
      <c r="D628" s="1">
        <v>908.31</v>
      </c>
      <c r="E628" s="1">
        <v>0</v>
      </c>
      <c r="F628" s="1">
        <v>256.13</v>
      </c>
      <c r="G628" s="1">
        <v>1383.1110000000001</v>
      </c>
      <c r="H628" s="1">
        <v>3918.085</v>
      </c>
      <c r="I628" s="1">
        <v>-5449.875</v>
      </c>
    </row>
    <row r="629" spans="1:9" hidden="1" x14ac:dyDescent="0.25">
      <c r="A629" s="1" t="s">
        <v>9</v>
      </c>
      <c r="B629" s="1" t="s">
        <v>201</v>
      </c>
      <c r="C629" s="1" t="s">
        <v>3</v>
      </c>
      <c r="D629" s="1">
        <v>930.38</v>
      </c>
      <c r="E629" s="1">
        <v>0</v>
      </c>
      <c r="F629" s="1">
        <v>256.13</v>
      </c>
      <c r="G629" s="1">
        <v>1383.1110000000001</v>
      </c>
      <c r="H629" s="1">
        <v>3265.7829999999999</v>
      </c>
      <c r="I629" s="1">
        <v>-5582.2879999999996</v>
      </c>
    </row>
    <row r="630" spans="1:9" hidden="1" x14ac:dyDescent="0.25">
      <c r="A630" s="1" t="s">
        <v>10</v>
      </c>
      <c r="B630" s="1" t="s">
        <v>201</v>
      </c>
      <c r="C630" s="1" t="s">
        <v>143</v>
      </c>
      <c r="D630" s="1">
        <v>0</v>
      </c>
      <c r="E630" s="1">
        <v>0</v>
      </c>
      <c r="F630" s="1">
        <v>0</v>
      </c>
      <c r="G630" s="1">
        <v>0</v>
      </c>
      <c r="H630" s="1">
        <v>0</v>
      </c>
      <c r="I630" s="1">
        <v>0</v>
      </c>
    </row>
    <row r="631" spans="1:9" hidden="1" x14ac:dyDescent="0.25">
      <c r="A631" s="1" t="s">
        <v>10</v>
      </c>
      <c r="B631" s="1" t="s">
        <v>201</v>
      </c>
      <c r="C631" s="1" t="s">
        <v>3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</row>
    <row r="632" spans="1:9" hidden="1" x14ac:dyDescent="0.25">
      <c r="A632" s="1" t="s">
        <v>125</v>
      </c>
      <c r="B632" s="1" t="s">
        <v>202</v>
      </c>
      <c r="C632" s="1" t="s">
        <v>143</v>
      </c>
      <c r="D632" s="1">
        <v>190.48</v>
      </c>
      <c r="E632" s="1">
        <v>-99.4</v>
      </c>
      <c r="F632" s="1">
        <v>0</v>
      </c>
      <c r="G632" s="1">
        <v>656.06299999999999</v>
      </c>
      <c r="H632" s="1">
        <v>1142.8579999999999</v>
      </c>
      <c r="I632" s="1">
        <v>-1142.8579999999999</v>
      </c>
    </row>
    <row r="633" spans="1:9" hidden="1" x14ac:dyDescent="0.25">
      <c r="A633" s="1" t="s">
        <v>125</v>
      </c>
      <c r="B633" s="1" t="s">
        <v>202</v>
      </c>
      <c r="C633" s="1" t="s">
        <v>3</v>
      </c>
      <c r="D633" s="1">
        <v>210.44</v>
      </c>
      <c r="E633" s="1">
        <v>-99.4</v>
      </c>
      <c r="F633" s="1">
        <v>0</v>
      </c>
      <c r="G633" s="1">
        <v>656.06299999999999</v>
      </c>
      <c r="H633" s="1">
        <v>1262.6600000000001</v>
      </c>
      <c r="I633" s="1">
        <v>-1561.7270000000001</v>
      </c>
    </row>
    <row r="634" spans="1:9" hidden="1" x14ac:dyDescent="0.25">
      <c r="A634" s="1" t="s">
        <v>126</v>
      </c>
      <c r="B634" s="1" t="s">
        <v>202</v>
      </c>
      <c r="C634" s="1" t="s">
        <v>143</v>
      </c>
      <c r="D634" s="1">
        <v>400.92</v>
      </c>
      <c r="E634" s="1">
        <v>-177.77</v>
      </c>
      <c r="F634" s="1">
        <v>0</v>
      </c>
      <c r="G634" s="1">
        <v>1173.2660000000001</v>
      </c>
      <c r="H634" s="1">
        <v>2405.5189999999998</v>
      </c>
      <c r="I634" s="1">
        <v>-2704.585</v>
      </c>
    </row>
    <row r="635" spans="1:9" hidden="1" x14ac:dyDescent="0.25">
      <c r="A635" s="1" t="s">
        <v>126</v>
      </c>
      <c r="B635" s="1" t="s">
        <v>202</v>
      </c>
      <c r="C635" s="1" t="s">
        <v>3</v>
      </c>
      <c r="D635" s="1">
        <v>420.89</v>
      </c>
      <c r="E635" s="1">
        <v>-177.77</v>
      </c>
      <c r="F635" s="1">
        <v>0</v>
      </c>
      <c r="G635" s="1">
        <v>1173.2660000000001</v>
      </c>
      <c r="H635" s="1">
        <v>2525.3209999999999</v>
      </c>
      <c r="I635" s="1">
        <v>-3360.6280000000002</v>
      </c>
    </row>
    <row r="636" spans="1:9" hidden="1" x14ac:dyDescent="0.25">
      <c r="A636" s="1" t="s">
        <v>127</v>
      </c>
      <c r="B636" s="1" t="s">
        <v>202</v>
      </c>
      <c r="C636" s="1" t="s">
        <v>143</v>
      </c>
      <c r="D636" s="1">
        <v>611.36</v>
      </c>
      <c r="E636" s="1">
        <v>-230.01</v>
      </c>
      <c r="F636" s="1">
        <v>0</v>
      </c>
      <c r="G636" s="1">
        <v>1518.068</v>
      </c>
      <c r="H636" s="1">
        <v>3668.1790000000001</v>
      </c>
      <c r="I636" s="1">
        <v>-4503.4870000000001</v>
      </c>
    </row>
    <row r="637" spans="1:9" hidden="1" x14ac:dyDescent="0.25">
      <c r="A637" s="1" t="s">
        <v>127</v>
      </c>
      <c r="B637" s="1" t="s">
        <v>202</v>
      </c>
      <c r="C637" s="1" t="s">
        <v>3</v>
      </c>
      <c r="D637" s="1">
        <v>631.33000000000004</v>
      </c>
      <c r="E637" s="1">
        <v>-230.01</v>
      </c>
      <c r="F637" s="1">
        <v>0</v>
      </c>
      <c r="G637" s="1">
        <v>1518.068</v>
      </c>
      <c r="H637" s="1">
        <v>3787.9810000000002</v>
      </c>
      <c r="I637" s="1">
        <v>-5319.7719999999999</v>
      </c>
    </row>
    <row r="638" spans="1:9" hidden="1" x14ac:dyDescent="0.25">
      <c r="A638" s="1" t="s">
        <v>9</v>
      </c>
      <c r="B638" s="1" t="s">
        <v>202</v>
      </c>
      <c r="C638" s="1" t="s">
        <v>143</v>
      </c>
      <c r="D638" s="1">
        <v>821.81</v>
      </c>
      <c r="E638" s="1">
        <v>-256.13</v>
      </c>
      <c r="F638" s="1">
        <v>0</v>
      </c>
      <c r="G638" s="1">
        <v>1690.4690000000001</v>
      </c>
      <c r="H638" s="1">
        <v>4930.84</v>
      </c>
      <c r="I638" s="1">
        <v>-6462.63</v>
      </c>
    </row>
    <row r="639" spans="1:9" hidden="1" x14ac:dyDescent="0.25">
      <c r="A639" s="1" t="s">
        <v>9</v>
      </c>
      <c r="B639" s="1" t="s">
        <v>202</v>
      </c>
      <c r="C639" s="1" t="s">
        <v>3</v>
      </c>
      <c r="D639" s="1">
        <v>841.77</v>
      </c>
      <c r="E639" s="1">
        <v>-256.13</v>
      </c>
      <c r="F639" s="1">
        <v>0</v>
      </c>
      <c r="G639" s="1">
        <v>1690.4690000000001</v>
      </c>
      <c r="H639" s="1">
        <v>5050.6419999999998</v>
      </c>
      <c r="I639" s="1">
        <v>-7367.1480000000001</v>
      </c>
    </row>
    <row r="640" spans="1:9" hidden="1" x14ac:dyDescent="0.25">
      <c r="A640" s="1" t="s">
        <v>10</v>
      </c>
      <c r="B640" s="1" t="s">
        <v>202</v>
      </c>
      <c r="C640" s="1" t="s">
        <v>143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</row>
    <row r="641" spans="1:9" hidden="1" x14ac:dyDescent="0.25">
      <c r="A641" s="1" t="s">
        <v>10</v>
      </c>
      <c r="B641" s="1" t="s">
        <v>202</v>
      </c>
      <c r="C641" s="1" t="s">
        <v>3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</row>
    <row r="642" spans="1:9" hidden="1" x14ac:dyDescent="0.25">
      <c r="A642" s="1" t="s">
        <v>125</v>
      </c>
      <c r="B642" s="1" t="s">
        <v>203</v>
      </c>
      <c r="C642" s="1" t="s">
        <v>143</v>
      </c>
      <c r="D642" s="1">
        <v>190.48</v>
      </c>
      <c r="E642" s="1">
        <v>-99.4</v>
      </c>
      <c r="F642" s="1">
        <v>0</v>
      </c>
      <c r="G642" s="1">
        <v>536.779</v>
      </c>
      <c r="H642" s="1">
        <v>1142.8579999999999</v>
      </c>
      <c r="I642" s="1">
        <v>-1142.8579999999999</v>
      </c>
    </row>
    <row r="643" spans="1:9" hidden="1" x14ac:dyDescent="0.25">
      <c r="A643" s="1" t="s">
        <v>125</v>
      </c>
      <c r="B643" s="1" t="s">
        <v>203</v>
      </c>
      <c r="C643" s="1" t="s">
        <v>3</v>
      </c>
      <c r="D643" s="1">
        <v>210.44</v>
      </c>
      <c r="E643" s="1">
        <v>-99.4</v>
      </c>
      <c r="F643" s="1">
        <v>0</v>
      </c>
      <c r="G643" s="1">
        <v>536.779</v>
      </c>
      <c r="H643" s="1">
        <v>1262.6600000000001</v>
      </c>
      <c r="I643" s="1">
        <v>-1561.7270000000001</v>
      </c>
    </row>
    <row r="644" spans="1:9" hidden="1" x14ac:dyDescent="0.25">
      <c r="A644" s="1" t="s">
        <v>126</v>
      </c>
      <c r="B644" s="1" t="s">
        <v>203</v>
      </c>
      <c r="C644" s="1" t="s">
        <v>143</v>
      </c>
      <c r="D644" s="1">
        <v>400.92</v>
      </c>
      <c r="E644" s="1">
        <v>-177.77</v>
      </c>
      <c r="F644" s="1">
        <v>0</v>
      </c>
      <c r="G644" s="1">
        <v>959.94500000000005</v>
      </c>
      <c r="H644" s="1">
        <v>2405.5189999999998</v>
      </c>
      <c r="I644" s="1">
        <v>-2704.585</v>
      </c>
    </row>
    <row r="645" spans="1:9" hidden="1" x14ac:dyDescent="0.25">
      <c r="A645" s="1" t="s">
        <v>126</v>
      </c>
      <c r="B645" s="1" t="s">
        <v>203</v>
      </c>
      <c r="C645" s="1" t="s">
        <v>3</v>
      </c>
      <c r="D645" s="1">
        <v>420.89</v>
      </c>
      <c r="E645" s="1">
        <v>-177.77</v>
      </c>
      <c r="F645" s="1">
        <v>0</v>
      </c>
      <c r="G645" s="1">
        <v>959.94500000000005</v>
      </c>
      <c r="H645" s="1">
        <v>2525.3209999999999</v>
      </c>
      <c r="I645" s="1">
        <v>-3360.6280000000002</v>
      </c>
    </row>
    <row r="646" spans="1:9" hidden="1" x14ac:dyDescent="0.25">
      <c r="A646" s="1" t="s">
        <v>127</v>
      </c>
      <c r="B646" s="1" t="s">
        <v>203</v>
      </c>
      <c r="C646" s="1" t="s">
        <v>143</v>
      </c>
      <c r="D646" s="1">
        <v>611.36</v>
      </c>
      <c r="E646" s="1">
        <v>-230.01</v>
      </c>
      <c r="F646" s="1">
        <v>0</v>
      </c>
      <c r="G646" s="1">
        <v>1242.056</v>
      </c>
      <c r="H646" s="1">
        <v>3668.1790000000001</v>
      </c>
      <c r="I646" s="1">
        <v>-4503.4870000000001</v>
      </c>
    </row>
    <row r="647" spans="1:9" hidden="1" x14ac:dyDescent="0.25">
      <c r="A647" s="1" t="s">
        <v>127</v>
      </c>
      <c r="B647" s="1" t="s">
        <v>203</v>
      </c>
      <c r="C647" s="1" t="s">
        <v>3</v>
      </c>
      <c r="D647" s="1">
        <v>631.33000000000004</v>
      </c>
      <c r="E647" s="1">
        <v>-230.01</v>
      </c>
      <c r="F647" s="1">
        <v>0</v>
      </c>
      <c r="G647" s="1">
        <v>1242.056</v>
      </c>
      <c r="H647" s="1">
        <v>3787.9810000000002</v>
      </c>
      <c r="I647" s="1">
        <v>-5319.7719999999999</v>
      </c>
    </row>
    <row r="648" spans="1:9" hidden="1" x14ac:dyDescent="0.25">
      <c r="A648" s="1" t="s">
        <v>9</v>
      </c>
      <c r="B648" s="1" t="s">
        <v>203</v>
      </c>
      <c r="C648" s="1" t="s">
        <v>143</v>
      </c>
      <c r="D648" s="1">
        <v>821.81</v>
      </c>
      <c r="E648" s="1">
        <v>-256.13</v>
      </c>
      <c r="F648" s="1">
        <v>0</v>
      </c>
      <c r="G648" s="1">
        <v>1383.1110000000001</v>
      </c>
      <c r="H648" s="1">
        <v>4930.84</v>
      </c>
      <c r="I648" s="1">
        <v>-6462.63</v>
      </c>
    </row>
    <row r="649" spans="1:9" hidden="1" x14ac:dyDescent="0.25">
      <c r="A649" s="1" t="s">
        <v>9</v>
      </c>
      <c r="B649" s="1" t="s">
        <v>203</v>
      </c>
      <c r="C649" s="1" t="s">
        <v>3</v>
      </c>
      <c r="D649" s="1">
        <v>841.77</v>
      </c>
      <c r="E649" s="1">
        <v>-256.13</v>
      </c>
      <c r="F649" s="1">
        <v>0</v>
      </c>
      <c r="G649" s="1">
        <v>1383.1110000000001</v>
      </c>
      <c r="H649" s="1">
        <v>5050.6419999999998</v>
      </c>
      <c r="I649" s="1">
        <v>-7367.1480000000001</v>
      </c>
    </row>
    <row r="650" spans="1:9" hidden="1" x14ac:dyDescent="0.25">
      <c r="A650" s="1" t="s">
        <v>10</v>
      </c>
      <c r="B650" s="1" t="s">
        <v>203</v>
      </c>
      <c r="C650" s="1" t="s">
        <v>143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</row>
    <row r="651" spans="1:9" hidden="1" x14ac:dyDescent="0.25">
      <c r="A651" s="1" t="s">
        <v>10</v>
      </c>
      <c r="B651" s="1" t="s">
        <v>203</v>
      </c>
      <c r="C651" s="1" t="s">
        <v>3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</row>
    <row r="652" spans="1:9" hidden="1" x14ac:dyDescent="0.25">
      <c r="A652" s="1" t="s">
        <v>125</v>
      </c>
      <c r="B652" s="1" t="s">
        <v>204</v>
      </c>
      <c r="C652" s="1" t="s">
        <v>143</v>
      </c>
      <c r="D652" s="1">
        <v>190.48</v>
      </c>
      <c r="E652" s="1">
        <v>99.4</v>
      </c>
      <c r="F652" s="1">
        <v>0</v>
      </c>
      <c r="G652" s="1">
        <v>-656.06299999999999</v>
      </c>
      <c r="H652" s="1">
        <v>1142.8579999999999</v>
      </c>
      <c r="I652" s="1">
        <v>-1142.8579999999999</v>
      </c>
    </row>
    <row r="653" spans="1:9" hidden="1" x14ac:dyDescent="0.25">
      <c r="A653" s="1" t="s">
        <v>125</v>
      </c>
      <c r="B653" s="1" t="s">
        <v>204</v>
      </c>
      <c r="C653" s="1" t="s">
        <v>3</v>
      </c>
      <c r="D653" s="1">
        <v>210.44</v>
      </c>
      <c r="E653" s="1">
        <v>99.4</v>
      </c>
      <c r="F653" s="1">
        <v>0</v>
      </c>
      <c r="G653" s="1">
        <v>-656.06299999999999</v>
      </c>
      <c r="H653" s="1">
        <v>1262.6600000000001</v>
      </c>
      <c r="I653" s="1">
        <v>-963.59400000000005</v>
      </c>
    </row>
    <row r="654" spans="1:9" hidden="1" x14ac:dyDescent="0.25">
      <c r="A654" s="1" t="s">
        <v>126</v>
      </c>
      <c r="B654" s="1" t="s">
        <v>204</v>
      </c>
      <c r="C654" s="1" t="s">
        <v>143</v>
      </c>
      <c r="D654" s="1">
        <v>400.92</v>
      </c>
      <c r="E654" s="1">
        <v>177.77</v>
      </c>
      <c r="F654" s="1">
        <v>0</v>
      </c>
      <c r="G654" s="1">
        <v>-1173.2660000000001</v>
      </c>
      <c r="H654" s="1">
        <v>2405.5189999999998</v>
      </c>
      <c r="I654" s="1">
        <v>-2106.4520000000002</v>
      </c>
    </row>
    <row r="655" spans="1:9" hidden="1" x14ac:dyDescent="0.25">
      <c r="A655" s="1" t="s">
        <v>126</v>
      </c>
      <c r="B655" s="1" t="s">
        <v>204</v>
      </c>
      <c r="C655" s="1" t="s">
        <v>3</v>
      </c>
      <c r="D655" s="1">
        <v>420.89</v>
      </c>
      <c r="E655" s="1">
        <v>177.77</v>
      </c>
      <c r="F655" s="1">
        <v>0</v>
      </c>
      <c r="G655" s="1">
        <v>-1173.2660000000001</v>
      </c>
      <c r="H655" s="1">
        <v>2525.3209999999999</v>
      </c>
      <c r="I655" s="1">
        <v>-1690.0129999999999</v>
      </c>
    </row>
    <row r="656" spans="1:9" hidden="1" x14ac:dyDescent="0.25">
      <c r="A656" s="1" t="s">
        <v>127</v>
      </c>
      <c r="B656" s="1" t="s">
        <v>204</v>
      </c>
      <c r="C656" s="1" t="s">
        <v>143</v>
      </c>
      <c r="D656" s="1">
        <v>611.36</v>
      </c>
      <c r="E656" s="1">
        <v>230.01</v>
      </c>
      <c r="F656" s="1">
        <v>0</v>
      </c>
      <c r="G656" s="1">
        <v>-1518.068</v>
      </c>
      <c r="H656" s="1">
        <v>3668.1790000000001</v>
      </c>
      <c r="I656" s="1">
        <v>-2832.8719999999998</v>
      </c>
    </row>
    <row r="657" spans="1:9" hidden="1" x14ac:dyDescent="0.25">
      <c r="A657" s="1" t="s">
        <v>127</v>
      </c>
      <c r="B657" s="1" t="s">
        <v>204</v>
      </c>
      <c r="C657" s="1" t="s">
        <v>3</v>
      </c>
      <c r="D657" s="1">
        <v>631.33000000000004</v>
      </c>
      <c r="E657" s="1">
        <v>230.01</v>
      </c>
      <c r="F657" s="1">
        <v>0</v>
      </c>
      <c r="G657" s="1">
        <v>-1518.068</v>
      </c>
      <c r="H657" s="1">
        <v>3787.9810000000002</v>
      </c>
      <c r="I657" s="1">
        <v>-2256.1909999999998</v>
      </c>
    </row>
    <row r="658" spans="1:9" hidden="1" x14ac:dyDescent="0.25">
      <c r="A658" s="1" t="s">
        <v>9</v>
      </c>
      <c r="B658" s="1" t="s">
        <v>204</v>
      </c>
      <c r="C658" s="1" t="s">
        <v>143</v>
      </c>
      <c r="D658" s="1">
        <v>821.81</v>
      </c>
      <c r="E658" s="1">
        <v>256.13</v>
      </c>
      <c r="F658" s="1">
        <v>0</v>
      </c>
      <c r="G658" s="1">
        <v>-1690.4690000000001</v>
      </c>
      <c r="H658" s="1">
        <v>4930.84</v>
      </c>
      <c r="I658" s="1">
        <v>-3399.049</v>
      </c>
    </row>
    <row r="659" spans="1:9" hidden="1" x14ac:dyDescent="0.25">
      <c r="A659" s="1" t="s">
        <v>9</v>
      </c>
      <c r="B659" s="1" t="s">
        <v>204</v>
      </c>
      <c r="C659" s="1" t="s">
        <v>3</v>
      </c>
      <c r="D659" s="1">
        <v>841.77</v>
      </c>
      <c r="E659" s="1">
        <v>256.13</v>
      </c>
      <c r="F659" s="1">
        <v>0</v>
      </c>
      <c r="G659" s="1">
        <v>-1690.4690000000001</v>
      </c>
      <c r="H659" s="1">
        <v>5050.6419999999998</v>
      </c>
      <c r="I659" s="1">
        <v>-2734.136</v>
      </c>
    </row>
    <row r="660" spans="1:9" hidden="1" x14ac:dyDescent="0.25">
      <c r="A660" s="1" t="s">
        <v>10</v>
      </c>
      <c r="B660" s="1" t="s">
        <v>204</v>
      </c>
      <c r="C660" s="1" t="s">
        <v>143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</row>
    <row r="661" spans="1:9" hidden="1" x14ac:dyDescent="0.25">
      <c r="A661" s="1" t="s">
        <v>10</v>
      </c>
      <c r="B661" s="1" t="s">
        <v>204</v>
      </c>
      <c r="C661" s="1" t="s">
        <v>3</v>
      </c>
      <c r="D661" s="1">
        <v>0</v>
      </c>
      <c r="E661" s="1">
        <v>0</v>
      </c>
      <c r="F661" s="1">
        <v>0</v>
      </c>
      <c r="G661" s="1">
        <v>0</v>
      </c>
      <c r="H661" s="1">
        <v>0</v>
      </c>
      <c r="I661" s="1">
        <v>0</v>
      </c>
    </row>
    <row r="662" spans="1:9" hidden="1" x14ac:dyDescent="0.25">
      <c r="A662" s="1" t="s">
        <v>125</v>
      </c>
      <c r="B662" s="1" t="s">
        <v>205</v>
      </c>
      <c r="C662" s="1" t="s">
        <v>143</v>
      </c>
      <c r="D662" s="1">
        <v>190.48</v>
      </c>
      <c r="E662" s="1">
        <v>99.4</v>
      </c>
      <c r="F662" s="1">
        <v>0</v>
      </c>
      <c r="G662" s="1">
        <v>-536.779</v>
      </c>
      <c r="H662" s="1">
        <v>1142.8579999999999</v>
      </c>
      <c r="I662" s="1">
        <v>-1142.8579999999999</v>
      </c>
    </row>
    <row r="663" spans="1:9" hidden="1" x14ac:dyDescent="0.25">
      <c r="A663" s="1" t="s">
        <v>125</v>
      </c>
      <c r="B663" s="1" t="s">
        <v>205</v>
      </c>
      <c r="C663" s="1" t="s">
        <v>3</v>
      </c>
      <c r="D663" s="1">
        <v>210.44</v>
      </c>
      <c r="E663" s="1">
        <v>99.4</v>
      </c>
      <c r="F663" s="1">
        <v>0</v>
      </c>
      <c r="G663" s="1">
        <v>-536.779</v>
      </c>
      <c r="H663" s="1">
        <v>1262.6600000000001</v>
      </c>
      <c r="I663" s="1">
        <v>-963.59400000000005</v>
      </c>
    </row>
    <row r="664" spans="1:9" hidden="1" x14ac:dyDescent="0.25">
      <c r="A664" s="1" t="s">
        <v>126</v>
      </c>
      <c r="B664" s="1" t="s">
        <v>205</v>
      </c>
      <c r="C664" s="1" t="s">
        <v>143</v>
      </c>
      <c r="D664" s="1">
        <v>400.92</v>
      </c>
      <c r="E664" s="1">
        <v>177.77</v>
      </c>
      <c r="F664" s="1">
        <v>0</v>
      </c>
      <c r="G664" s="1">
        <v>-959.94500000000005</v>
      </c>
      <c r="H664" s="1">
        <v>2405.5189999999998</v>
      </c>
      <c r="I664" s="1">
        <v>-2106.4520000000002</v>
      </c>
    </row>
    <row r="665" spans="1:9" hidden="1" x14ac:dyDescent="0.25">
      <c r="A665" s="1" t="s">
        <v>126</v>
      </c>
      <c r="B665" s="1" t="s">
        <v>205</v>
      </c>
      <c r="C665" s="1" t="s">
        <v>3</v>
      </c>
      <c r="D665" s="1">
        <v>420.89</v>
      </c>
      <c r="E665" s="1">
        <v>177.77</v>
      </c>
      <c r="F665" s="1">
        <v>0</v>
      </c>
      <c r="G665" s="1">
        <v>-959.94500000000005</v>
      </c>
      <c r="H665" s="1">
        <v>2525.3209999999999</v>
      </c>
      <c r="I665" s="1">
        <v>-1690.0129999999999</v>
      </c>
    </row>
    <row r="666" spans="1:9" hidden="1" x14ac:dyDescent="0.25">
      <c r="A666" s="1" t="s">
        <v>127</v>
      </c>
      <c r="B666" s="1" t="s">
        <v>205</v>
      </c>
      <c r="C666" s="1" t="s">
        <v>143</v>
      </c>
      <c r="D666" s="1">
        <v>611.36</v>
      </c>
      <c r="E666" s="1">
        <v>230.01</v>
      </c>
      <c r="F666" s="1">
        <v>0</v>
      </c>
      <c r="G666" s="1">
        <v>-1242.056</v>
      </c>
      <c r="H666" s="1">
        <v>3668.1790000000001</v>
      </c>
      <c r="I666" s="1">
        <v>-2832.8719999999998</v>
      </c>
    </row>
    <row r="667" spans="1:9" hidden="1" x14ac:dyDescent="0.25">
      <c r="A667" s="1" t="s">
        <v>127</v>
      </c>
      <c r="B667" s="1" t="s">
        <v>205</v>
      </c>
      <c r="C667" s="1" t="s">
        <v>3</v>
      </c>
      <c r="D667" s="1">
        <v>631.33000000000004</v>
      </c>
      <c r="E667" s="1">
        <v>230.01</v>
      </c>
      <c r="F667" s="1">
        <v>0</v>
      </c>
      <c r="G667" s="1">
        <v>-1242.056</v>
      </c>
      <c r="H667" s="1">
        <v>3787.9810000000002</v>
      </c>
      <c r="I667" s="1">
        <v>-2256.1909999999998</v>
      </c>
    </row>
    <row r="668" spans="1:9" hidden="1" x14ac:dyDescent="0.25">
      <c r="A668" s="1" t="s">
        <v>9</v>
      </c>
      <c r="B668" s="1" t="s">
        <v>205</v>
      </c>
      <c r="C668" s="1" t="s">
        <v>143</v>
      </c>
      <c r="D668" s="1">
        <v>821.81</v>
      </c>
      <c r="E668" s="1">
        <v>256.13</v>
      </c>
      <c r="F668" s="1">
        <v>0</v>
      </c>
      <c r="G668" s="1">
        <v>-1383.1110000000001</v>
      </c>
      <c r="H668" s="1">
        <v>4930.84</v>
      </c>
      <c r="I668" s="1">
        <v>-3399.049</v>
      </c>
    </row>
    <row r="669" spans="1:9" hidden="1" x14ac:dyDescent="0.25">
      <c r="A669" s="1" t="s">
        <v>9</v>
      </c>
      <c r="B669" s="1" t="s">
        <v>205</v>
      </c>
      <c r="C669" s="1" t="s">
        <v>3</v>
      </c>
      <c r="D669" s="1">
        <v>841.77</v>
      </c>
      <c r="E669" s="1">
        <v>256.13</v>
      </c>
      <c r="F669" s="1">
        <v>0</v>
      </c>
      <c r="G669" s="1">
        <v>-1383.1110000000001</v>
      </c>
      <c r="H669" s="1">
        <v>5050.6419999999998</v>
      </c>
      <c r="I669" s="1">
        <v>-2734.136</v>
      </c>
    </row>
    <row r="670" spans="1:9" hidden="1" x14ac:dyDescent="0.25">
      <c r="A670" s="1" t="s">
        <v>10</v>
      </c>
      <c r="B670" s="1" t="s">
        <v>205</v>
      </c>
      <c r="C670" s="1" t="s">
        <v>143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</row>
    <row r="671" spans="1:9" hidden="1" x14ac:dyDescent="0.25">
      <c r="A671" s="1" t="s">
        <v>10</v>
      </c>
      <c r="B671" s="1" t="s">
        <v>205</v>
      </c>
      <c r="C671" s="1" t="s">
        <v>3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</row>
    <row r="672" spans="1:9" hidden="1" x14ac:dyDescent="0.25">
      <c r="A672" s="1" t="s">
        <v>125</v>
      </c>
      <c r="B672" s="1" t="s">
        <v>206</v>
      </c>
      <c r="C672" s="1" t="s">
        <v>143</v>
      </c>
      <c r="D672" s="1">
        <v>190.48</v>
      </c>
      <c r="E672" s="1">
        <v>0</v>
      </c>
      <c r="F672" s="1">
        <v>-99.4</v>
      </c>
      <c r="G672" s="1">
        <v>-656.06299999999999</v>
      </c>
      <c r="H672" s="1">
        <v>1142.8579999999999</v>
      </c>
      <c r="I672" s="1">
        <v>-1142.8579999999999</v>
      </c>
    </row>
    <row r="673" spans="1:9" hidden="1" x14ac:dyDescent="0.25">
      <c r="A673" s="1" t="s">
        <v>125</v>
      </c>
      <c r="B673" s="1" t="s">
        <v>206</v>
      </c>
      <c r="C673" s="1" t="s">
        <v>3</v>
      </c>
      <c r="D673" s="1">
        <v>210.44</v>
      </c>
      <c r="E673" s="1">
        <v>0</v>
      </c>
      <c r="F673" s="1">
        <v>-99.4</v>
      </c>
      <c r="G673" s="1">
        <v>-656.06299999999999</v>
      </c>
      <c r="H673" s="1">
        <v>1561.7270000000001</v>
      </c>
      <c r="I673" s="1">
        <v>-1262.6600000000001</v>
      </c>
    </row>
    <row r="674" spans="1:9" hidden="1" x14ac:dyDescent="0.25">
      <c r="A674" s="1" t="s">
        <v>126</v>
      </c>
      <c r="B674" s="1" t="s">
        <v>206</v>
      </c>
      <c r="C674" s="1" t="s">
        <v>143</v>
      </c>
      <c r="D674" s="1">
        <v>400.92</v>
      </c>
      <c r="E674" s="1">
        <v>0</v>
      </c>
      <c r="F674" s="1">
        <v>-177.77</v>
      </c>
      <c r="G674" s="1">
        <v>-1173.2660000000001</v>
      </c>
      <c r="H674" s="1">
        <v>2704.585</v>
      </c>
      <c r="I674" s="1">
        <v>-2405.5189999999998</v>
      </c>
    </row>
    <row r="675" spans="1:9" hidden="1" x14ac:dyDescent="0.25">
      <c r="A675" s="1" t="s">
        <v>126</v>
      </c>
      <c r="B675" s="1" t="s">
        <v>206</v>
      </c>
      <c r="C675" s="1" t="s">
        <v>3</v>
      </c>
      <c r="D675" s="1">
        <v>420.89</v>
      </c>
      <c r="E675" s="1">
        <v>0</v>
      </c>
      <c r="F675" s="1">
        <v>-177.77</v>
      </c>
      <c r="G675" s="1">
        <v>-1173.2660000000001</v>
      </c>
      <c r="H675" s="1">
        <v>3360.6280000000002</v>
      </c>
      <c r="I675" s="1">
        <v>-2525.3209999999999</v>
      </c>
    </row>
    <row r="676" spans="1:9" hidden="1" x14ac:dyDescent="0.25">
      <c r="A676" s="1" t="s">
        <v>127</v>
      </c>
      <c r="B676" s="1" t="s">
        <v>206</v>
      </c>
      <c r="C676" s="1" t="s">
        <v>143</v>
      </c>
      <c r="D676" s="1">
        <v>611.36</v>
      </c>
      <c r="E676" s="1">
        <v>0</v>
      </c>
      <c r="F676" s="1">
        <v>-230.01</v>
      </c>
      <c r="G676" s="1">
        <v>-1518.068</v>
      </c>
      <c r="H676" s="1">
        <v>4503.4870000000001</v>
      </c>
      <c r="I676" s="1">
        <v>-3668.1790000000001</v>
      </c>
    </row>
    <row r="677" spans="1:9" hidden="1" x14ac:dyDescent="0.25">
      <c r="A677" s="1" t="s">
        <v>127</v>
      </c>
      <c r="B677" s="1" t="s">
        <v>206</v>
      </c>
      <c r="C677" s="1" t="s">
        <v>3</v>
      </c>
      <c r="D677" s="1">
        <v>631.33000000000004</v>
      </c>
      <c r="E677" s="1">
        <v>0</v>
      </c>
      <c r="F677" s="1">
        <v>-230.01</v>
      </c>
      <c r="G677" s="1">
        <v>-1518.068</v>
      </c>
      <c r="H677" s="1">
        <v>5319.7719999999999</v>
      </c>
      <c r="I677" s="1">
        <v>-3787.9810000000002</v>
      </c>
    </row>
    <row r="678" spans="1:9" hidden="1" x14ac:dyDescent="0.25">
      <c r="A678" s="1" t="s">
        <v>9</v>
      </c>
      <c r="B678" s="1" t="s">
        <v>206</v>
      </c>
      <c r="C678" s="1" t="s">
        <v>143</v>
      </c>
      <c r="D678" s="1">
        <v>821.81</v>
      </c>
      <c r="E678" s="1">
        <v>0</v>
      </c>
      <c r="F678" s="1">
        <v>-256.13</v>
      </c>
      <c r="G678" s="1">
        <v>-1690.4690000000001</v>
      </c>
      <c r="H678" s="1">
        <v>6462.63</v>
      </c>
      <c r="I678" s="1">
        <v>-4930.84</v>
      </c>
    </row>
    <row r="679" spans="1:9" hidden="1" x14ac:dyDescent="0.25">
      <c r="A679" s="1" t="s">
        <v>9</v>
      </c>
      <c r="B679" s="1" t="s">
        <v>206</v>
      </c>
      <c r="C679" s="1" t="s">
        <v>3</v>
      </c>
      <c r="D679" s="1">
        <v>841.77</v>
      </c>
      <c r="E679" s="1">
        <v>0</v>
      </c>
      <c r="F679" s="1">
        <v>-256.13</v>
      </c>
      <c r="G679" s="1">
        <v>-1690.4690000000001</v>
      </c>
      <c r="H679" s="1">
        <v>7367.1480000000001</v>
      </c>
      <c r="I679" s="1">
        <v>-5050.6419999999998</v>
      </c>
    </row>
    <row r="680" spans="1:9" hidden="1" x14ac:dyDescent="0.25">
      <c r="A680" s="1" t="s">
        <v>10</v>
      </c>
      <c r="B680" s="1" t="s">
        <v>206</v>
      </c>
      <c r="C680" s="1" t="s">
        <v>143</v>
      </c>
      <c r="D680" s="1">
        <v>0</v>
      </c>
      <c r="E680" s="1">
        <v>0</v>
      </c>
      <c r="F680" s="1">
        <v>0</v>
      </c>
      <c r="G680" s="1">
        <v>0</v>
      </c>
      <c r="H680" s="1">
        <v>0</v>
      </c>
      <c r="I680" s="1">
        <v>0</v>
      </c>
    </row>
    <row r="681" spans="1:9" hidden="1" x14ac:dyDescent="0.25">
      <c r="A681" s="1" t="s">
        <v>10</v>
      </c>
      <c r="B681" s="1" t="s">
        <v>206</v>
      </c>
      <c r="C681" s="1" t="s">
        <v>3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</row>
    <row r="682" spans="1:9" hidden="1" x14ac:dyDescent="0.25">
      <c r="A682" s="1" t="s">
        <v>125</v>
      </c>
      <c r="B682" s="1" t="s">
        <v>207</v>
      </c>
      <c r="C682" s="1" t="s">
        <v>143</v>
      </c>
      <c r="D682" s="1">
        <v>190.48</v>
      </c>
      <c r="E682" s="1">
        <v>0</v>
      </c>
      <c r="F682" s="1">
        <v>-99.4</v>
      </c>
      <c r="G682" s="1">
        <v>-536.779</v>
      </c>
      <c r="H682" s="1">
        <v>1142.8579999999999</v>
      </c>
      <c r="I682" s="1">
        <v>-1142.8579999999999</v>
      </c>
    </row>
    <row r="683" spans="1:9" hidden="1" x14ac:dyDescent="0.25">
      <c r="A683" s="1" t="s">
        <v>125</v>
      </c>
      <c r="B683" s="1" t="s">
        <v>207</v>
      </c>
      <c r="C683" s="1" t="s">
        <v>3</v>
      </c>
      <c r="D683" s="1">
        <v>210.44</v>
      </c>
      <c r="E683" s="1">
        <v>0</v>
      </c>
      <c r="F683" s="1">
        <v>-99.4</v>
      </c>
      <c r="G683" s="1">
        <v>-536.779</v>
      </c>
      <c r="H683" s="1">
        <v>1561.7270000000001</v>
      </c>
      <c r="I683" s="1">
        <v>-1262.6600000000001</v>
      </c>
    </row>
    <row r="684" spans="1:9" hidden="1" x14ac:dyDescent="0.25">
      <c r="A684" s="1" t="s">
        <v>126</v>
      </c>
      <c r="B684" s="1" t="s">
        <v>207</v>
      </c>
      <c r="C684" s="1" t="s">
        <v>143</v>
      </c>
      <c r="D684" s="1">
        <v>400.92</v>
      </c>
      <c r="E684" s="1">
        <v>0</v>
      </c>
      <c r="F684" s="1">
        <v>-177.77</v>
      </c>
      <c r="G684" s="1">
        <v>-959.94500000000005</v>
      </c>
      <c r="H684" s="1">
        <v>2704.585</v>
      </c>
      <c r="I684" s="1">
        <v>-2405.5189999999998</v>
      </c>
    </row>
    <row r="685" spans="1:9" hidden="1" x14ac:dyDescent="0.25">
      <c r="A685" s="1" t="s">
        <v>126</v>
      </c>
      <c r="B685" s="1" t="s">
        <v>207</v>
      </c>
      <c r="C685" s="1" t="s">
        <v>3</v>
      </c>
      <c r="D685" s="1">
        <v>420.89</v>
      </c>
      <c r="E685" s="1">
        <v>0</v>
      </c>
      <c r="F685" s="1">
        <v>-177.77</v>
      </c>
      <c r="G685" s="1">
        <v>-959.94500000000005</v>
      </c>
      <c r="H685" s="1">
        <v>3360.6280000000002</v>
      </c>
      <c r="I685" s="1">
        <v>-2525.3209999999999</v>
      </c>
    </row>
    <row r="686" spans="1:9" hidden="1" x14ac:dyDescent="0.25">
      <c r="A686" s="1" t="s">
        <v>127</v>
      </c>
      <c r="B686" s="1" t="s">
        <v>207</v>
      </c>
      <c r="C686" s="1" t="s">
        <v>143</v>
      </c>
      <c r="D686" s="1">
        <v>611.36</v>
      </c>
      <c r="E686" s="1">
        <v>0</v>
      </c>
      <c r="F686" s="1">
        <v>-230.01</v>
      </c>
      <c r="G686" s="1">
        <v>-1242.056</v>
      </c>
      <c r="H686" s="1">
        <v>4503.4870000000001</v>
      </c>
      <c r="I686" s="1">
        <v>-3668.1790000000001</v>
      </c>
    </row>
    <row r="687" spans="1:9" hidden="1" x14ac:dyDescent="0.25">
      <c r="A687" s="1" t="s">
        <v>127</v>
      </c>
      <c r="B687" s="1" t="s">
        <v>207</v>
      </c>
      <c r="C687" s="1" t="s">
        <v>3</v>
      </c>
      <c r="D687" s="1">
        <v>631.33000000000004</v>
      </c>
      <c r="E687" s="1">
        <v>0</v>
      </c>
      <c r="F687" s="1">
        <v>-230.01</v>
      </c>
      <c r="G687" s="1">
        <v>-1242.056</v>
      </c>
      <c r="H687" s="1">
        <v>5319.7719999999999</v>
      </c>
      <c r="I687" s="1">
        <v>-3787.9810000000002</v>
      </c>
    </row>
    <row r="688" spans="1:9" hidden="1" x14ac:dyDescent="0.25">
      <c r="A688" s="1" t="s">
        <v>9</v>
      </c>
      <c r="B688" s="1" t="s">
        <v>207</v>
      </c>
      <c r="C688" s="1" t="s">
        <v>143</v>
      </c>
      <c r="D688" s="1">
        <v>821.81</v>
      </c>
      <c r="E688" s="1">
        <v>0</v>
      </c>
      <c r="F688" s="1">
        <v>-256.13</v>
      </c>
      <c r="G688" s="1">
        <v>-1383.1110000000001</v>
      </c>
      <c r="H688" s="1">
        <v>6462.63</v>
      </c>
      <c r="I688" s="1">
        <v>-4930.84</v>
      </c>
    </row>
    <row r="689" spans="1:9" hidden="1" x14ac:dyDescent="0.25">
      <c r="A689" s="1" t="s">
        <v>9</v>
      </c>
      <c r="B689" s="1" t="s">
        <v>207</v>
      </c>
      <c r="C689" s="1" t="s">
        <v>3</v>
      </c>
      <c r="D689" s="1">
        <v>841.77</v>
      </c>
      <c r="E689" s="1">
        <v>0</v>
      </c>
      <c r="F689" s="1">
        <v>-256.13</v>
      </c>
      <c r="G689" s="1">
        <v>-1383.1110000000001</v>
      </c>
      <c r="H689" s="1">
        <v>7367.1480000000001</v>
      </c>
      <c r="I689" s="1">
        <v>-5050.6419999999998</v>
      </c>
    </row>
    <row r="690" spans="1:9" hidden="1" x14ac:dyDescent="0.25">
      <c r="A690" s="1" t="s">
        <v>10</v>
      </c>
      <c r="B690" s="1" t="s">
        <v>207</v>
      </c>
      <c r="C690" s="1" t="s">
        <v>143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</row>
    <row r="691" spans="1:9" hidden="1" x14ac:dyDescent="0.25">
      <c r="A691" s="1" t="s">
        <v>10</v>
      </c>
      <c r="B691" s="1" t="s">
        <v>207</v>
      </c>
      <c r="C691" s="1" t="s">
        <v>3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</row>
    <row r="692" spans="1:9" hidden="1" x14ac:dyDescent="0.25">
      <c r="A692" s="1" t="s">
        <v>125</v>
      </c>
      <c r="B692" s="1" t="s">
        <v>208</v>
      </c>
      <c r="C692" s="1" t="s">
        <v>143</v>
      </c>
      <c r="D692" s="1">
        <v>190.48</v>
      </c>
      <c r="E692" s="1">
        <v>0</v>
      </c>
      <c r="F692" s="1">
        <v>99.4</v>
      </c>
      <c r="G692" s="1">
        <v>656.06299999999999</v>
      </c>
      <c r="H692" s="1">
        <v>1142.8579999999999</v>
      </c>
      <c r="I692" s="1">
        <v>-1142.8579999999999</v>
      </c>
    </row>
    <row r="693" spans="1:9" hidden="1" x14ac:dyDescent="0.25">
      <c r="A693" s="1" t="s">
        <v>125</v>
      </c>
      <c r="B693" s="1" t="s">
        <v>208</v>
      </c>
      <c r="C693" s="1" t="s">
        <v>3</v>
      </c>
      <c r="D693" s="1">
        <v>210.44</v>
      </c>
      <c r="E693" s="1">
        <v>0</v>
      </c>
      <c r="F693" s="1">
        <v>99.4</v>
      </c>
      <c r="G693" s="1">
        <v>656.06299999999999</v>
      </c>
      <c r="H693" s="1">
        <v>963.59400000000005</v>
      </c>
      <c r="I693" s="1">
        <v>-1262.6600000000001</v>
      </c>
    </row>
    <row r="694" spans="1:9" hidden="1" x14ac:dyDescent="0.25">
      <c r="A694" s="1" t="s">
        <v>126</v>
      </c>
      <c r="B694" s="1" t="s">
        <v>208</v>
      </c>
      <c r="C694" s="1" t="s">
        <v>143</v>
      </c>
      <c r="D694" s="1">
        <v>400.92</v>
      </c>
      <c r="E694" s="1">
        <v>0</v>
      </c>
      <c r="F694" s="1">
        <v>177.77</v>
      </c>
      <c r="G694" s="1">
        <v>1173.2660000000001</v>
      </c>
      <c r="H694" s="1">
        <v>2106.4520000000002</v>
      </c>
      <c r="I694" s="1">
        <v>-2405.5189999999998</v>
      </c>
    </row>
    <row r="695" spans="1:9" hidden="1" x14ac:dyDescent="0.25">
      <c r="A695" s="1" t="s">
        <v>126</v>
      </c>
      <c r="B695" s="1" t="s">
        <v>208</v>
      </c>
      <c r="C695" s="1" t="s">
        <v>3</v>
      </c>
      <c r="D695" s="1">
        <v>420.89</v>
      </c>
      <c r="E695" s="1">
        <v>0</v>
      </c>
      <c r="F695" s="1">
        <v>177.77</v>
      </c>
      <c r="G695" s="1">
        <v>1173.2660000000001</v>
      </c>
      <c r="H695" s="1">
        <v>1690.0129999999999</v>
      </c>
      <c r="I695" s="1">
        <v>-2525.3209999999999</v>
      </c>
    </row>
    <row r="696" spans="1:9" hidden="1" x14ac:dyDescent="0.25">
      <c r="A696" s="1" t="s">
        <v>127</v>
      </c>
      <c r="B696" s="1" t="s">
        <v>208</v>
      </c>
      <c r="C696" s="1" t="s">
        <v>143</v>
      </c>
      <c r="D696" s="1">
        <v>611.36</v>
      </c>
      <c r="E696" s="1">
        <v>0</v>
      </c>
      <c r="F696" s="1">
        <v>230.01</v>
      </c>
      <c r="G696" s="1">
        <v>1518.068</v>
      </c>
      <c r="H696" s="1">
        <v>2832.8719999999998</v>
      </c>
      <c r="I696" s="1">
        <v>-3668.1790000000001</v>
      </c>
    </row>
    <row r="697" spans="1:9" hidden="1" x14ac:dyDescent="0.25">
      <c r="A697" s="1" t="s">
        <v>127</v>
      </c>
      <c r="B697" s="1" t="s">
        <v>208</v>
      </c>
      <c r="C697" s="1" t="s">
        <v>3</v>
      </c>
      <c r="D697" s="1">
        <v>631.33000000000004</v>
      </c>
      <c r="E697" s="1">
        <v>0</v>
      </c>
      <c r="F697" s="1">
        <v>230.01</v>
      </c>
      <c r="G697" s="1">
        <v>1518.068</v>
      </c>
      <c r="H697" s="1">
        <v>2256.1909999999998</v>
      </c>
      <c r="I697" s="1">
        <v>-3787.9810000000002</v>
      </c>
    </row>
    <row r="698" spans="1:9" hidden="1" x14ac:dyDescent="0.25">
      <c r="A698" s="1" t="s">
        <v>9</v>
      </c>
      <c r="B698" s="1" t="s">
        <v>208</v>
      </c>
      <c r="C698" s="1" t="s">
        <v>143</v>
      </c>
      <c r="D698" s="1">
        <v>821.81</v>
      </c>
      <c r="E698" s="1">
        <v>0</v>
      </c>
      <c r="F698" s="1">
        <v>256.13</v>
      </c>
      <c r="G698" s="1">
        <v>1690.4690000000001</v>
      </c>
      <c r="H698" s="1">
        <v>3399.049</v>
      </c>
      <c r="I698" s="1">
        <v>-4930.84</v>
      </c>
    </row>
    <row r="699" spans="1:9" hidden="1" x14ac:dyDescent="0.25">
      <c r="A699" s="1" t="s">
        <v>9</v>
      </c>
      <c r="B699" s="1" t="s">
        <v>208</v>
      </c>
      <c r="C699" s="1" t="s">
        <v>3</v>
      </c>
      <c r="D699" s="1">
        <v>841.77</v>
      </c>
      <c r="E699" s="1">
        <v>0</v>
      </c>
      <c r="F699" s="1">
        <v>256.13</v>
      </c>
      <c r="G699" s="1">
        <v>1690.4690000000001</v>
      </c>
      <c r="H699" s="1">
        <v>2734.136</v>
      </c>
      <c r="I699" s="1">
        <v>-5050.6419999999998</v>
      </c>
    </row>
    <row r="700" spans="1:9" hidden="1" x14ac:dyDescent="0.25">
      <c r="A700" s="1" t="s">
        <v>10</v>
      </c>
      <c r="B700" s="1" t="s">
        <v>208</v>
      </c>
      <c r="C700" s="1" t="s">
        <v>143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</row>
    <row r="701" spans="1:9" hidden="1" x14ac:dyDescent="0.25">
      <c r="A701" s="1" t="s">
        <v>10</v>
      </c>
      <c r="B701" s="1" t="s">
        <v>208</v>
      </c>
      <c r="C701" s="1" t="s">
        <v>3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</row>
    <row r="702" spans="1:9" hidden="1" x14ac:dyDescent="0.25">
      <c r="A702" s="1" t="s">
        <v>125</v>
      </c>
      <c r="B702" s="1" t="s">
        <v>209</v>
      </c>
      <c r="C702" s="1" t="s">
        <v>143</v>
      </c>
      <c r="D702" s="1">
        <v>190.48</v>
      </c>
      <c r="E702" s="1">
        <v>0</v>
      </c>
      <c r="F702" s="1">
        <v>99.4</v>
      </c>
      <c r="G702" s="1">
        <v>536.779</v>
      </c>
      <c r="H702" s="1">
        <v>1142.8579999999999</v>
      </c>
      <c r="I702" s="1">
        <v>-1142.8579999999999</v>
      </c>
    </row>
    <row r="703" spans="1:9" hidden="1" x14ac:dyDescent="0.25">
      <c r="A703" s="1" t="s">
        <v>125</v>
      </c>
      <c r="B703" s="1" t="s">
        <v>209</v>
      </c>
      <c r="C703" s="1" t="s">
        <v>3</v>
      </c>
      <c r="D703" s="1">
        <v>210.44</v>
      </c>
      <c r="E703" s="1">
        <v>0</v>
      </c>
      <c r="F703" s="1">
        <v>99.4</v>
      </c>
      <c r="G703" s="1">
        <v>536.779</v>
      </c>
      <c r="H703" s="1">
        <v>963.59400000000005</v>
      </c>
      <c r="I703" s="1">
        <v>-1262.6600000000001</v>
      </c>
    </row>
    <row r="704" spans="1:9" hidden="1" x14ac:dyDescent="0.25">
      <c r="A704" s="1" t="s">
        <v>126</v>
      </c>
      <c r="B704" s="1" t="s">
        <v>209</v>
      </c>
      <c r="C704" s="1" t="s">
        <v>143</v>
      </c>
      <c r="D704" s="1">
        <v>400.92</v>
      </c>
      <c r="E704" s="1">
        <v>0</v>
      </c>
      <c r="F704" s="1">
        <v>177.77</v>
      </c>
      <c r="G704" s="1">
        <v>959.94500000000005</v>
      </c>
      <c r="H704" s="1">
        <v>2106.4520000000002</v>
      </c>
      <c r="I704" s="1">
        <v>-2405.5189999999998</v>
      </c>
    </row>
    <row r="705" spans="1:9" hidden="1" x14ac:dyDescent="0.25">
      <c r="A705" s="1" t="s">
        <v>126</v>
      </c>
      <c r="B705" s="1" t="s">
        <v>209</v>
      </c>
      <c r="C705" s="1" t="s">
        <v>3</v>
      </c>
      <c r="D705" s="1">
        <v>420.89</v>
      </c>
      <c r="E705" s="1">
        <v>0</v>
      </c>
      <c r="F705" s="1">
        <v>177.77</v>
      </c>
      <c r="G705" s="1">
        <v>959.94500000000005</v>
      </c>
      <c r="H705" s="1">
        <v>1690.0129999999999</v>
      </c>
      <c r="I705" s="1">
        <v>-2525.3209999999999</v>
      </c>
    </row>
    <row r="706" spans="1:9" hidden="1" x14ac:dyDescent="0.25">
      <c r="A706" s="1" t="s">
        <v>127</v>
      </c>
      <c r="B706" s="1" t="s">
        <v>209</v>
      </c>
      <c r="C706" s="1" t="s">
        <v>143</v>
      </c>
      <c r="D706" s="1">
        <v>611.36</v>
      </c>
      <c r="E706" s="1">
        <v>0</v>
      </c>
      <c r="F706" s="1">
        <v>230.01</v>
      </c>
      <c r="G706" s="1">
        <v>1242.056</v>
      </c>
      <c r="H706" s="1">
        <v>2832.8719999999998</v>
      </c>
      <c r="I706" s="1">
        <v>-3668.1790000000001</v>
      </c>
    </row>
    <row r="707" spans="1:9" hidden="1" x14ac:dyDescent="0.25">
      <c r="A707" s="1" t="s">
        <v>127</v>
      </c>
      <c r="B707" s="1" t="s">
        <v>209</v>
      </c>
      <c r="C707" s="1" t="s">
        <v>3</v>
      </c>
      <c r="D707" s="1">
        <v>631.33000000000004</v>
      </c>
      <c r="E707" s="1">
        <v>0</v>
      </c>
      <c r="F707" s="1">
        <v>230.01</v>
      </c>
      <c r="G707" s="1">
        <v>1242.056</v>
      </c>
      <c r="H707" s="1">
        <v>2256.1909999999998</v>
      </c>
      <c r="I707" s="1">
        <v>-3787.9810000000002</v>
      </c>
    </row>
    <row r="708" spans="1:9" hidden="1" x14ac:dyDescent="0.25">
      <c r="A708" s="1" t="s">
        <v>9</v>
      </c>
      <c r="B708" s="1" t="s">
        <v>209</v>
      </c>
      <c r="C708" s="1" t="s">
        <v>143</v>
      </c>
      <c r="D708" s="1">
        <v>821.81</v>
      </c>
      <c r="E708" s="1">
        <v>0</v>
      </c>
      <c r="F708" s="1">
        <v>256.13</v>
      </c>
      <c r="G708" s="1">
        <v>1383.1110000000001</v>
      </c>
      <c r="H708" s="1">
        <v>3399.049</v>
      </c>
      <c r="I708" s="1">
        <v>-4930.84</v>
      </c>
    </row>
    <row r="709" spans="1:9" hidden="1" x14ac:dyDescent="0.25">
      <c r="A709" s="1" t="s">
        <v>9</v>
      </c>
      <c r="B709" s="1" t="s">
        <v>209</v>
      </c>
      <c r="C709" s="1" t="s">
        <v>3</v>
      </c>
      <c r="D709" s="1">
        <v>841.77</v>
      </c>
      <c r="E709" s="1">
        <v>0</v>
      </c>
      <c r="F709" s="1">
        <v>256.13</v>
      </c>
      <c r="G709" s="1">
        <v>1383.1110000000001</v>
      </c>
      <c r="H709" s="1">
        <v>2734.136</v>
      </c>
      <c r="I709" s="1">
        <v>-5050.6419999999998</v>
      </c>
    </row>
    <row r="710" spans="1:9" hidden="1" x14ac:dyDescent="0.25">
      <c r="A710" s="1" t="s">
        <v>10</v>
      </c>
      <c r="B710" s="1" t="s">
        <v>209</v>
      </c>
      <c r="C710" s="1" t="s">
        <v>143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</row>
    <row r="711" spans="1:9" hidden="1" x14ac:dyDescent="0.25">
      <c r="A711" s="1" t="s">
        <v>10</v>
      </c>
      <c r="B711" s="1" t="s">
        <v>209</v>
      </c>
      <c r="C711" s="1" t="s">
        <v>3</v>
      </c>
      <c r="D711" s="1">
        <v>0</v>
      </c>
      <c r="E711" s="1">
        <v>0</v>
      </c>
      <c r="F711" s="1">
        <v>0</v>
      </c>
      <c r="G711" s="1">
        <v>0</v>
      </c>
      <c r="H711" s="1">
        <v>0</v>
      </c>
      <c r="I711" s="1">
        <v>0</v>
      </c>
    </row>
    <row r="712" spans="1:9" hidden="1" x14ac:dyDescent="0.25">
      <c r="A712" s="1" t="s">
        <v>125</v>
      </c>
      <c r="B712" s="1" t="s">
        <v>210</v>
      </c>
      <c r="C712" s="1" t="s">
        <v>143</v>
      </c>
      <c r="D712" s="1">
        <v>233.92</v>
      </c>
      <c r="E712" s="1">
        <v>-29.82</v>
      </c>
      <c r="F712" s="1">
        <v>0</v>
      </c>
      <c r="G712" s="1">
        <v>196.81899999999999</v>
      </c>
      <c r="H712" s="1">
        <v>1403.51</v>
      </c>
      <c r="I712" s="1">
        <v>-1403.51</v>
      </c>
    </row>
    <row r="713" spans="1:9" hidden="1" x14ac:dyDescent="0.25">
      <c r="A713" s="1" t="s">
        <v>125</v>
      </c>
      <c r="B713" s="1" t="s">
        <v>210</v>
      </c>
      <c r="C713" s="1" t="s">
        <v>3</v>
      </c>
      <c r="D713" s="1">
        <v>258.44</v>
      </c>
      <c r="E713" s="1">
        <v>-29.82</v>
      </c>
      <c r="F713" s="1">
        <v>0</v>
      </c>
      <c r="G713" s="1">
        <v>196.81899999999999</v>
      </c>
      <c r="H713" s="1">
        <v>1550.636</v>
      </c>
      <c r="I713" s="1">
        <v>-1640.356</v>
      </c>
    </row>
    <row r="714" spans="1:9" hidden="1" x14ac:dyDescent="0.25">
      <c r="A714" s="1" t="s">
        <v>126</v>
      </c>
      <c r="B714" s="1" t="s">
        <v>210</v>
      </c>
      <c r="C714" s="1" t="s">
        <v>143</v>
      </c>
      <c r="D714" s="1">
        <v>492.36</v>
      </c>
      <c r="E714" s="1">
        <v>-53.33</v>
      </c>
      <c r="F714" s="1">
        <v>0</v>
      </c>
      <c r="G714" s="1">
        <v>351.98</v>
      </c>
      <c r="H714" s="1">
        <v>2954.1460000000002</v>
      </c>
      <c r="I714" s="1">
        <v>-3043.866</v>
      </c>
    </row>
    <row r="715" spans="1:9" hidden="1" x14ac:dyDescent="0.25">
      <c r="A715" s="1" t="s">
        <v>126</v>
      </c>
      <c r="B715" s="1" t="s">
        <v>210</v>
      </c>
      <c r="C715" s="1" t="s">
        <v>3</v>
      </c>
      <c r="D715" s="1">
        <v>516.88</v>
      </c>
      <c r="E715" s="1">
        <v>-53.33</v>
      </c>
      <c r="F715" s="1">
        <v>0</v>
      </c>
      <c r="G715" s="1">
        <v>351.98</v>
      </c>
      <c r="H715" s="1">
        <v>3101.2710000000002</v>
      </c>
      <c r="I715" s="1">
        <v>-3351.864</v>
      </c>
    </row>
    <row r="716" spans="1:9" hidden="1" x14ac:dyDescent="0.25">
      <c r="A716" s="1" t="s">
        <v>127</v>
      </c>
      <c r="B716" s="1" t="s">
        <v>210</v>
      </c>
      <c r="C716" s="1" t="s">
        <v>143</v>
      </c>
      <c r="D716" s="1">
        <v>750.8</v>
      </c>
      <c r="E716" s="1">
        <v>-69</v>
      </c>
      <c r="F716" s="1">
        <v>0</v>
      </c>
      <c r="G716" s="1">
        <v>455.42</v>
      </c>
      <c r="H716" s="1">
        <v>4504.7809999999999</v>
      </c>
      <c r="I716" s="1">
        <v>-4755.3739999999998</v>
      </c>
    </row>
    <row r="717" spans="1:9" hidden="1" x14ac:dyDescent="0.25">
      <c r="A717" s="1" t="s">
        <v>127</v>
      </c>
      <c r="B717" s="1" t="s">
        <v>210</v>
      </c>
      <c r="C717" s="1" t="s">
        <v>3</v>
      </c>
      <c r="D717" s="1">
        <v>775.32</v>
      </c>
      <c r="E717" s="1">
        <v>-69</v>
      </c>
      <c r="F717" s="1">
        <v>0</v>
      </c>
      <c r="G717" s="1">
        <v>455.42</v>
      </c>
      <c r="H717" s="1">
        <v>4651.9070000000002</v>
      </c>
      <c r="I717" s="1">
        <v>-5111.4440000000004</v>
      </c>
    </row>
    <row r="718" spans="1:9" hidden="1" x14ac:dyDescent="0.25">
      <c r="A718" s="1" t="s">
        <v>9</v>
      </c>
      <c r="B718" s="1" t="s">
        <v>210</v>
      </c>
      <c r="C718" s="1" t="s">
        <v>143</v>
      </c>
      <c r="D718" s="1">
        <v>1009.24</v>
      </c>
      <c r="E718" s="1">
        <v>-76.84</v>
      </c>
      <c r="F718" s="1">
        <v>0</v>
      </c>
      <c r="G718" s="1">
        <v>507.14100000000002</v>
      </c>
      <c r="H718" s="1">
        <v>6055.4170000000004</v>
      </c>
      <c r="I718" s="1">
        <v>-6514.9539999999997</v>
      </c>
    </row>
    <row r="719" spans="1:9" hidden="1" x14ac:dyDescent="0.25">
      <c r="A719" s="1" t="s">
        <v>9</v>
      </c>
      <c r="B719" s="1" t="s">
        <v>210</v>
      </c>
      <c r="C719" s="1" t="s">
        <v>3</v>
      </c>
      <c r="D719" s="1">
        <v>1033.76</v>
      </c>
      <c r="E719" s="1">
        <v>-76.84</v>
      </c>
      <c r="F719" s="1">
        <v>0</v>
      </c>
      <c r="G719" s="1">
        <v>507.14100000000002</v>
      </c>
      <c r="H719" s="1">
        <v>6202.5429999999997</v>
      </c>
      <c r="I719" s="1">
        <v>-6897.4939999999997</v>
      </c>
    </row>
    <row r="720" spans="1:9" hidden="1" x14ac:dyDescent="0.25">
      <c r="A720" s="1" t="s">
        <v>10</v>
      </c>
      <c r="B720" s="1" t="s">
        <v>210</v>
      </c>
      <c r="C720" s="1" t="s">
        <v>143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</row>
    <row r="721" spans="1:9" hidden="1" x14ac:dyDescent="0.25">
      <c r="A721" s="1" t="s">
        <v>10</v>
      </c>
      <c r="B721" s="1" t="s">
        <v>210</v>
      </c>
      <c r="C721" s="1" t="s">
        <v>3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</row>
    <row r="722" spans="1:9" hidden="1" x14ac:dyDescent="0.25">
      <c r="A722" s="1" t="s">
        <v>125</v>
      </c>
      <c r="B722" s="1" t="s">
        <v>211</v>
      </c>
      <c r="C722" s="1" t="s">
        <v>143</v>
      </c>
      <c r="D722" s="1">
        <v>233.92</v>
      </c>
      <c r="E722" s="1">
        <v>-29.82</v>
      </c>
      <c r="F722" s="1">
        <v>0</v>
      </c>
      <c r="G722" s="1">
        <v>161.03399999999999</v>
      </c>
      <c r="H722" s="1">
        <v>1403.51</v>
      </c>
      <c r="I722" s="1">
        <v>-1403.51</v>
      </c>
    </row>
    <row r="723" spans="1:9" hidden="1" x14ac:dyDescent="0.25">
      <c r="A723" s="1" t="s">
        <v>125</v>
      </c>
      <c r="B723" s="1" t="s">
        <v>211</v>
      </c>
      <c r="C723" s="1" t="s">
        <v>3</v>
      </c>
      <c r="D723" s="1">
        <v>258.44</v>
      </c>
      <c r="E723" s="1">
        <v>-29.82</v>
      </c>
      <c r="F723" s="1">
        <v>0</v>
      </c>
      <c r="G723" s="1">
        <v>161.03399999999999</v>
      </c>
      <c r="H723" s="1">
        <v>1550.636</v>
      </c>
      <c r="I723" s="1">
        <v>-1640.356</v>
      </c>
    </row>
    <row r="724" spans="1:9" hidden="1" x14ac:dyDescent="0.25">
      <c r="A724" s="1" t="s">
        <v>126</v>
      </c>
      <c r="B724" s="1" t="s">
        <v>211</v>
      </c>
      <c r="C724" s="1" t="s">
        <v>143</v>
      </c>
      <c r="D724" s="1">
        <v>492.36</v>
      </c>
      <c r="E724" s="1">
        <v>-53.33</v>
      </c>
      <c r="F724" s="1">
        <v>0</v>
      </c>
      <c r="G724" s="1">
        <v>287.98399999999998</v>
      </c>
      <c r="H724" s="1">
        <v>2954.1460000000002</v>
      </c>
      <c r="I724" s="1">
        <v>-3043.866</v>
      </c>
    </row>
    <row r="725" spans="1:9" hidden="1" x14ac:dyDescent="0.25">
      <c r="A725" s="1" t="s">
        <v>126</v>
      </c>
      <c r="B725" s="1" t="s">
        <v>211</v>
      </c>
      <c r="C725" s="1" t="s">
        <v>3</v>
      </c>
      <c r="D725" s="1">
        <v>516.88</v>
      </c>
      <c r="E725" s="1">
        <v>-53.33</v>
      </c>
      <c r="F725" s="1">
        <v>0</v>
      </c>
      <c r="G725" s="1">
        <v>287.98399999999998</v>
      </c>
      <c r="H725" s="1">
        <v>3101.2710000000002</v>
      </c>
      <c r="I725" s="1">
        <v>-3351.864</v>
      </c>
    </row>
    <row r="726" spans="1:9" hidden="1" x14ac:dyDescent="0.25">
      <c r="A726" s="1" t="s">
        <v>127</v>
      </c>
      <c r="B726" s="1" t="s">
        <v>211</v>
      </c>
      <c r="C726" s="1" t="s">
        <v>143</v>
      </c>
      <c r="D726" s="1">
        <v>750.8</v>
      </c>
      <c r="E726" s="1">
        <v>-69</v>
      </c>
      <c r="F726" s="1">
        <v>0</v>
      </c>
      <c r="G726" s="1">
        <v>372.61700000000002</v>
      </c>
      <c r="H726" s="1">
        <v>4504.7809999999999</v>
      </c>
      <c r="I726" s="1">
        <v>-4755.3739999999998</v>
      </c>
    </row>
    <row r="727" spans="1:9" hidden="1" x14ac:dyDescent="0.25">
      <c r="A727" s="1" t="s">
        <v>127</v>
      </c>
      <c r="B727" s="1" t="s">
        <v>211</v>
      </c>
      <c r="C727" s="1" t="s">
        <v>3</v>
      </c>
      <c r="D727" s="1">
        <v>775.32</v>
      </c>
      <c r="E727" s="1">
        <v>-69</v>
      </c>
      <c r="F727" s="1">
        <v>0</v>
      </c>
      <c r="G727" s="1">
        <v>372.61700000000002</v>
      </c>
      <c r="H727" s="1">
        <v>4651.9070000000002</v>
      </c>
      <c r="I727" s="1">
        <v>-5111.4440000000004</v>
      </c>
    </row>
    <row r="728" spans="1:9" hidden="1" x14ac:dyDescent="0.25">
      <c r="A728" s="1" t="s">
        <v>9</v>
      </c>
      <c r="B728" s="1" t="s">
        <v>211</v>
      </c>
      <c r="C728" s="1" t="s">
        <v>143</v>
      </c>
      <c r="D728" s="1">
        <v>1009.24</v>
      </c>
      <c r="E728" s="1">
        <v>-76.84</v>
      </c>
      <c r="F728" s="1">
        <v>0</v>
      </c>
      <c r="G728" s="1">
        <v>414.93299999999999</v>
      </c>
      <c r="H728" s="1">
        <v>6055.4170000000004</v>
      </c>
      <c r="I728" s="1">
        <v>-6514.9539999999997</v>
      </c>
    </row>
    <row r="729" spans="1:9" hidden="1" x14ac:dyDescent="0.25">
      <c r="A729" s="1" t="s">
        <v>9</v>
      </c>
      <c r="B729" s="1" t="s">
        <v>211</v>
      </c>
      <c r="C729" s="1" t="s">
        <v>3</v>
      </c>
      <c r="D729" s="1">
        <v>1033.76</v>
      </c>
      <c r="E729" s="1">
        <v>-76.84</v>
      </c>
      <c r="F729" s="1">
        <v>0</v>
      </c>
      <c r="G729" s="1">
        <v>414.93299999999999</v>
      </c>
      <c r="H729" s="1">
        <v>6202.5429999999997</v>
      </c>
      <c r="I729" s="1">
        <v>-6897.4939999999997</v>
      </c>
    </row>
    <row r="730" spans="1:9" hidden="1" x14ac:dyDescent="0.25">
      <c r="A730" s="1" t="s">
        <v>10</v>
      </c>
      <c r="B730" s="1" t="s">
        <v>211</v>
      </c>
      <c r="C730" s="1" t="s">
        <v>143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</row>
    <row r="731" spans="1:9" hidden="1" x14ac:dyDescent="0.25">
      <c r="A731" s="1" t="s">
        <v>10</v>
      </c>
      <c r="B731" s="1" t="s">
        <v>211</v>
      </c>
      <c r="C731" s="1" t="s">
        <v>3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</row>
    <row r="732" spans="1:9" hidden="1" x14ac:dyDescent="0.25">
      <c r="A732" s="1" t="s">
        <v>125</v>
      </c>
      <c r="B732" s="1" t="s">
        <v>212</v>
      </c>
      <c r="C732" s="1" t="s">
        <v>143</v>
      </c>
      <c r="D732" s="1">
        <v>233.92</v>
      </c>
      <c r="E732" s="1">
        <v>29.82</v>
      </c>
      <c r="F732" s="1">
        <v>0</v>
      </c>
      <c r="G732" s="1">
        <v>-196.81899999999999</v>
      </c>
      <c r="H732" s="1">
        <v>1403.51</v>
      </c>
      <c r="I732" s="1">
        <v>-1403.51</v>
      </c>
    </row>
    <row r="733" spans="1:9" hidden="1" x14ac:dyDescent="0.25">
      <c r="A733" s="1" t="s">
        <v>125</v>
      </c>
      <c r="B733" s="1" t="s">
        <v>212</v>
      </c>
      <c r="C733" s="1" t="s">
        <v>3</v>
      </c>
      <c r="D733" s="1">
        <v>258.44</v>
      </c>
      <c r="E733" s="1">
        <v>29.82</v>
      </c>
      <c r="F733" s="1">
        <v>0</v>
      </c>
      <c r="G733" s="1">
        <v>-196.81899999999999</v>
      </c>
      <c r="H733" s="1">
        <v>1550.636</v>
      </c>
      <c r="I733" s="1">
        <v>-1460.9159999999999</v>
      </c>
    </row>
    <row r="734" spans="1:9" hidden="1" x14ac:dyDescent="0.25">
      <c r="A734" s="1" t="s">
        <v>126</v>
      </c>
      <c r="B734" s="1" t="s">
        <v>212</v>
      </c>
      <c r="C734" s="1" t="s">
        <v>143</v>
      </c>
      <c r="D734" s="1">
        <v>492.36</v>
      </c>
      <c r="E734" s="1">
        <v>53.33</v>
      </c>
      <c r="F734" s="1">
        <v>0</v>
      </c>
      <c r="G734" s="1">
        <v>-351.98</v>
      </c>
      <c r="H734" s="1">
        <v>2954.1460000000002</v>
      </c>
      <c r="I734" s="1">
        <v>-2864.4259999999999</v>
      </c>
    </row>
    <row r="735" spans="1:9" hidden="1" x14ac:dyDescent="0.25">
      <c r="A735" s="1" t="s">
        <v>126</v>
      </c>
      <c r="B735" s="1" t="s">
        <v>212</v>
      </c>
      <c r="C735" s="1" t="s">
        <v>3</v>
      </c>
      <c r="D735" s="1">
        <v>516.88</v>
      </c>
      <c r="E735" s="1">
        <v>53.33</v>
      </c>
      <c r="F735" s="1">
        <v>0</v>
      </c>
      <c r="G735" s="1">
        <v>-351.98</v>
      </c>
      <c r="H735" s="1">
        <v>3101.2710000000002</v>
      </c>
      <c r="I735" s="1">
        <v>-2850.6790000000001</v>
      </c>
    </row>
    <row r="736" spans="1:9" hidden="1" x14ac:dyDescent="0.25">
      <c r="A736" s="1" t="s">
        <v>127</v>
      </c>
      <c r="B736" s="1" t="s">
        <v>212</v>
      </c>
      <c r="C736" s="1" t="s">
        <v>143</v>
      </c>
      <c r="D736" s="1">
        <v>750.8</v>
      </c>
      <c r="E736" s="1">
        <v>69</v>
      </c>
      <c r="F736" s="1">
        <v>0</v>
      </c>
      <c r="G736" s="1">
        <v>-455.42</v>
      </c>
      <c r="H736" s="1">
        <v>4504.7809999999999</v>
      </c>
      <c r="I736" s="1">
        <v>-4254.1890000000003</v>
      </c>
    </row>
    <row r="737" spans="1:9" hidden="1" x14ac:dyDescent="0.25">
      <c r="A737" s="1" t="s">
        <v>127</v>
      </c>
      <c r="B737" s="1" t="s">
        <v>212</v>
      </c>
      <c r="C737" s="1" t="s">
        <v>3</v>
      </c>
      <c r="D737" s="1">
        <v>775.32</v>
      </c>
      <c r="E737" s="1">
        <v>69</v>
      </c>
      <c r="F737" s="1">
        <v>0</v>
      </c>
      <c r="G737" s="1">
        <v>-455.42</v>
      </c>
      <c r="H737" s="1">
        <v>4651.9070000000002</v>
      </c>
      <c r="I737" s="1">
        <v>-4192.37</v>
      </c>
    </row>
    <row r="738" spans="1:9" hidden="1" x14ac:dyDescent="0.25">
      <c r="A738" s="1" t="s">
        <v>9</v>
      </c>
      <c r="B738" s="1" t="s">
        <v>212</v>
      </c>
      <c r="C738" s="1" t="s">
        <v>143</v>
      </c>
      <c r="D738" s="1">
        <v>1009.24</v>
      </c>
      <c r="E738" s="1">
        <v>76.84</v>
      </c>
      <c r="F738" s="1">
        <v>0</v>
      </c>
      <c r="G738" s="1">
        <v>-507.14100000000002</v>
      </c>
      <c r="H738" s="1">
        <v>6055.4170000000004</v>
      </c>
      <c r="I738" s="1">
        <v>-5595.88</v>
      </c>
    </row>
    <row r="739" spans="1:9" hidden="1" x14ac:dyDescent="0.25">
      <c r="A739" s="1" t="s">
        <v>9</v>
      </c>
      <c r="B739" s="1" t="s">
        <v>212</v>
      </c>
      <c r="C739" s="1" t="s">
        <v>3</v>
      </c>
      <c r="D739" s="1">
        <v>1033.76</v>
      </c>
      <c r="E739" s="1">
        <v>76.84</v>
      </c>
      <c r="F739" s="1">
        <v>0</v>
      </c>
      <c r="G739" s="1">
        <v>-507.14100000000002</v>
      </c>
      <c r="H739" s="1">
        <v>6202.5429999999997</v>
      </c>
      <c r="I739" s="1">
        <v>-5507.5910000000003</v>
      </c>
    </row>
    <row r="740" spans="1:9" hidden="1" x14ac:dyDescent="0.25">
      <c r="A740" s="1" t="s">
        <v>10</v>
      </c>
      <c r="B740" s="1" t="s">
        <v>212</v>
      </c>
      <c r="C740" s="1" t="s">
        <v>143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</row>
    <row r="741" spans="1:9" hidden="1" x14ac:dyDescent="0.25">
      <c r="A741" s="1" t="s">
        <v>10</v>
      </c>
      <c r="B741" s="1" t="s">
        <v>212</v>
      </c>
      <c r="C741" s="1" t="s">
        <v>3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</row>
    <row r="742" spans="1:9" hidden="1" x14ac:dyDescent="0.25">
      <c r="A742" s="1" t="s">
        <v>125</v>
      </c>
      <c r="B742" s="1" t="s">
        <v>213</v>
      </c>
      <c r="C742" s="1" t="s">
        <v>143</v>
      </c>
      <c r="D742" s="1">
        <v>233.92</v>
      </c>
      <c r="E742" s="1">
        <v>29.82</v>
      </c>
      <c r="F742" s="1">
        <v>0</v>
      </c>
      <c r="G742" s="1">
        <v>-161.03399999999999</v>
      </c>
      <c r="H742" s="1">
        <v>1403.51</v>
      </c>
      <c r="I742" s="1">
        <v>-1403.51</v>
      </c>
    </row>
    <row r="743" spans="1:9" hidden="1" x14ac:dyDescent="0.25">
      <c r="A743" s="1" t="s">
        <v>125</v>
      </c>
      <c r="B743" s="1" t="s">
        <v>213</v>
      </c>
      <c r="C743" s="1" t="s">
        <v>3</v>
      </c>
      <c r="D743" s="1">
        <v>258.44</v>
      </c>
      <c r="E743" s="1">
        <v>29.82</v>
      </c>
      <c r="F743" s="1">
        <v>0</v>
      </c>
      <c r="G743" s="1">
        <v>-161.03399999999999</v>
      </c>
      <c r="H743" s="1">
        <v>1550.636</v>
      </c>
      <c r="I743" s="1">
        <v>-1460.9159999999999</v>
      </c>
    </row>
    <row r="744" spans="1:9" hidden="1" x14ac:dyDescent="0.25">
      <c r="A744" s="1" t="s">
        <v>126</v>
      </c>
      <c r="B744" s="1" t="s">
        <v>213</v>
      </c>
      <c r="C744" s="1" t="s">
        <v>143</v>
      </c>
      <c r="D744" s="1">
        <v>492.36</v>
      </c>
      <c r="E744" s="1">
        <v>53.33</v>
      </c>
      <c r="F744" s="1">
        <v>0</v>
      </c>
      <c r="G744" s="1">
        <v>-287.98399999999998</v>
      </c>
      <c r="H744" s="1">
        <v>2954.1460000000002</v>
      </c>
      <c r="I744" s="1">
        <v>-2864.4259999999999</v>
      </c>
    </row>
    <row r="745" spans="1:9" hidden="1" x14ac:dyDescent="0.25">
      <c r="A745" s="1" t="s">
        <v>126</v>
      </c>
      <c r="B745" s="1" t="s">
        <v>213</v>
      </c>
      <c r="C745" s="1" t="s">
        <v>3</v>
      </c>
      <c r="D745" s="1">
        <v>516.88</v>
      </c>
      <c r="E745" s="1">
        <v>53.33</v>
      </c>
      <c r="F745" s="1">
        <v>0</v>
      </c>
      <c r="G745" s="1">
        <v>-287.98399999999998</v>
      </c>
      <c r="H745" s="1">
        <v>3101.2710000000002</v>
      </c>
      <c r="I745" s="1">
        <v>-2850.6790000000001</v>
      </c>
    </row>
    <row r="746" spans="1:9" hidden="1" x14ac:dyDescent="0.25">
      <c r="A746" s="1" t="s">
        <v>127</v>
      </c>
      <c r="B746" s="1" t="s">
        <v>213</v>
      </c>
      <c r="C746" s="1" t="s">
        <v>143</v>
      </c>
      <c r="D746" s="1">
        <v>750.8</v>
      </c>
      <c r="E746" s="1">
        <v>69</v>
      </c>
      <c r="F746" s="1">
        <v>0</v>
      </c>
      <c r="G746" s="1">
        <v>-372.61700000000002</v>
      </c>
      <c r="H746" s="1">
        <v>4504.7809999999999</v>
      </c>
      <c r="I746" s="1">
        <v>-4254.1890000000003</v>
      </c>
    </row>
    <row r="747" spans="1:9" hidden="1" x14ac:dyDescent="0.25">
      <c r="A747" s="1" t="s">
        <v>127</v>
      </c>
      <c r="B747" s="1" t="s">
        <v>213</v>
      </c>
      <c r="C747" s="1" t="s">
        <v>3</v>
      </c>
      <c r="D747" s="1">
        <v>775.32</v>
      </c>
      <c r="E747" s="1">
        <v>69</v>
      </c>
      <c r="F747" s="1">
        <v>0</v>
      </c>
      <c r="G747" s="1">
        <v>-372.61700000000002</v>
      </c>
      <c r="H747" s="1">
        <v>4651.9070000000002</v>
      </c>
      <c r="I747" s="1">
        <v>-4192.37</v>
      </c>
    </row>
    <row r="748" spans="1:9" hidden="1" x14ac:dyDescent="0.25">
      <c r="A748" s="1" t="s">
        <v>9</v>
      </c>
      <c r="B748" s="1" t="s">
        <v>213</v>
      </c>
      <c r="C748" s="1" t="s">
        <v>143</v>
      </c>
      <c r="D748" s="1">
        <v>1009.24</v>
      </c>
      <c r="E748" s="1">
        <v>76.84</v>
      </c>
      <c r="F748" s="1">
        <v>0</v>
      </c>
      <c r="G748" s="1">
        <v>-414.93299999999999</v>
      </c>
      <c r="H748" s="1">
        <v>6055.4170000000004</v>
      </c>
      <c r="I748" s="1">
        <v>-5595.88</v>
      </c>
    </row>
    <row r="749" spans="1:9" hidden="1" x14ac:dyDescent="0.25">
      <c r="A749" s="1" t="s">
        <v>9</v>
      </c>
      <c r="B749" s="1" t="s">
        <v>213</v>
      </c>
      <c r="C749" s="1" t="s">
        <v>3</v>
      </c>
      <c r="D749" s="1">
        <v>1033.76</v>
      </c>
      <c r="E749" s="1">
        <v>76.84</v>
      </c>
      <c r="F749" s="1">
        <v>0</v>
      </c>
      <c r="G749" s="1">
        <v>-414.93299999999999</v>
      </c>
      <c r="H749" s="1">
        <v>6202.5429999999997</v>
      </c>
      <c r="I749" s="1">
        <v>-5507.5910000000003</v>
      </c>
    </row>
    <row r="750" spans="1:9" hidden="1" x14ac:dyDescent="0.25">
      <c r="A750" s="1" t="s">
        <v>10</v>
      </c>
      <c r="B750" s="1" t="s">
        <v>213</v>
      </c>
      <c r="C750" s="1" t="s">
        <v>143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</row>
    <row r="751" spans="1:9" hidden="1" x14ac:dyDescent="0.25">
      <c r="A751" s="1" t="s">
        <v>10</v>
      </c>
      <c r="B751" s="1" t="s">
        <v>213</v>
      </c>
      <c r="C751" s="1" t="s">
        <v>3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</row>
    <row r="752" spans="1:9" hidden="1" x14ac:dyDescent="0.25">
      <c r="A752" s="1" t="s">
        <v>125</v>
      </c>
      <c r="B752" s="1" t="s">
        <v>214</v>
      </c>
      <c r="C752" s="1" t="s">
        <v>143</v>
      </c>
      <c r="D752" s="1">
        <v>233.92</v>
      </c>
      <c r="E752" s="1">
        <v>0</v>
      </c>
      <c r="F752" s="1">
        <v>-29.82</v>
      </c>
      <c r="G752" s="1">
        <v>-196.81899999999999</v>
      </c>
      <c r="H752" s="1">
        <v>1403.51</v>
      </c>
      <c r="I752" s="1">
        <v>-1403.51</v>
      </c>
    </row>
    <row r="753" spans="1:9" hidden="1" x14ac:dyDescent="0.25">
      <c r="A753" s="1" t="s">
        <v>125</v>
      </c>
      <c r="B753" s="1" t="s">
        <v>214</v>
      </c>
      <c r="C753" s="1" t="s">
        <v>3</v>
      </c>
      <c r="D753" s="1">
        <v>258.44</v>
      </c>
      <c r="E753" s="1">
        <v>0</v>
      </c>
      <c r="F753" s="1">
        <v>-29.82</v>
      </c>
      <c r="G753" s="1">
        <v>-196.81899999999999</v>
      </c>
      <c r="H753" s="1">
        <v>1640.356</v>
      </c>
      <c r="I753" s="1">
        <v>-1550.636</v>
      </c>
    </row>
    <row r="754" spans="1:9" hidden="1" x14ac:dyDescent="0.25">
      <c r="A754" s="1" t="s">
        <v>126</v>
      </c>
      <c r="B754" s="1" t="s">
        <v>214</v>
      </c>
      <c r="C754" s="1" t="s">
        <v>143</v>
      </c>
      <c r="D754" s="1">
        <v>492.36</v>
      </c>
      <c r="E754" s="1">
        <v>0</v>
      </c>
      <c r="F754" s="1">
        <v>-53.33</v>
      </c>
      <c r="G754" s="1">
        <v>-351.98</v>
      </c>
      <c r="H754" s="1">
        <v>3043.866</v>
      </c>
      <c r="I754" s="1">
        <v>-2954.1460000000002</v>
      </c>
    </row>
    <row r="755" spans="1:9" hidden="1" x14ac:dyDescent="0.25">
      <c r="A755" s="1" t="s">
        <v>126</v>
      </c>
      <c r="B755" s="1" t="s">
        <v>214</v>
      </c>
      <c r="C755" s="1" t="s">
        <v>3</v>
      </c>
      <c r="D755" s="1">
        <v>516.88</v>
      </c>
      <c r="E755" s="1">
        <v>0</v>
      </c>
      <c r="F755" s="1">
        <v>-53.33</v>
      </c>
      <c r="G755" s="1">
        <v>-351.98</v>
      </c>
      <c r="H755" s="1">
        <v>3351.864</v>
      </c>
      <c r="I755" s="1">
        <v>-3101.2710000000002</v>
      </c>
    </row>
    <row r="756" spans="1:9" hidden="1" x14ac:dyDescent="0.25">
      <c r="A756" s="1" t="s">
        <v>127</v>
      </c>
      <c r="B756" s="1" t="s">
        <v>214</v>
      </c>
      <c r="C756" s="1" t="s">
        <v>143</v>
      </c>
      <c r="D756" s="1">
        <v>750.8</v>
      </c>
      <c r="E756" s="1">
        <v>0</v>
      </c>
      <c r="F756" s="1">
        <v>-69</v>
      </c>
      <c r="G756" s="1">
        <v>-455.42</v>
      </c>
      <c r="H756" s="1">
        <v>4755.3739999999998</v>
      </c>
      <c r="I756" s="1">
        <v>-4504.7809999999999</v>
      </c>
    </row>
    <row r="757" spans="1:9" hidden="1" x14ac:dyDescent="0.25">
      <c r="A757" s="1" t="s">
        <v>127</v>
      </c>
      <c r="B757" s="1" t="s">
        <v>214</v>
      </c>
      <c r="C757" s="1" t="s">
        <v>3</v>
      </c>
      <c r="D757" s="1">
        <v>775.32</v>
      </c>
      <c r="E757" s="1">
        <v>0</v>
      </c>
      <c r="F757" s="1">
        <v>-69</v>
      </c>
      <c r="G757" s="1">
        <v>-455.42</v>
      </c>
      <c r="H757" s="1">
        <v>5111.4440000000004</v>
      </c>
      <c r="I757" s="1">
        <v>-4651.9070000000002</v>
      </c>
    </row>
    <row r="758" spans="1:9" hidden="1" x14ac:dyDescent="0.25">
      <c r="A758" s="1" t="s">
        <v>9</v>
      </c>
      <c r="B758" s="1" t="s">
        <v>214</v>
      </c>
      <c r="C758" s="1" t="s">
        <v>143</v>
      </c>
      <c r="D758" s="1">
        <v>1009.24</v>
      </c>
      <c r="E758" s="1">
        <v>0</v>
      </c>
      <c r="F758" s="1">
        <v>-76.84</v>
      </c>
      <c r="G758" s="1">
        <v>-507.14100000000002</v>
      </c>
      <c r="H758" s="1">
        <v>6514.9539999999997</v>
      </c>
      <c r="I758" s="1">
        <v>-6055.4170000000004</v>
      </c>
    </row>
    <row r="759" spans="1:9" hidden="1" x14ac:dyDescent="0.25">
      <c r="A759" s="1" t="s">
        <v>9</v>
      </c>
      <c r="B759" s="1" t="s">
        <v>214</v>
      </c>
      <c r="C759" s="1" t="s">
        <v>3</v>
      </c>
      <c r="D759" s="1">
        <v>1033.76</v>
      </c>
      <c r="E759" s="1">
        <v>0</v>
      </c>
      <c r="F759" s="1">
        <v>-76.84</v>
      </c>
      <c r="G759" s="1">
        <v>-507.14100000000002</v>
      </c>
      <c r="H759" s="1">
        <v>6897.4939999999997</v>
      </c>
      <c r="I759" s="1">
        <v>-6202.5429999999997</v>
      </c>
    </row>
    <row r="760" spans="1:9" hidden="1" x14ac:dyDescent="0.25">
      <c r="A760" s="1" t="s">
        <v>10</v>
      </c>
      <c r="B760" s="1" t="s">
        <v>214</v>
      </c>
      <c r="C760" s="1" t="s">
        <v>143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</row>
    <row r="761" spans="1:9" hidden="1" x14ac:dyDescent="0.25">
      <c r="A761" s="1" t="s">
        <v>10</v>
      </c>
      <c r="B761" s="1" t="s">
        <v>214</v>
      </c>
      <c r="C761" s="1" t="s">
        <v>3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</row>
    <row r="762" spans="1:9" hidden="1" x14ac:dyDescent="0.25">
      <c r="A762" s="1" t="s">
        <v>125</v>
      </c>
      <c r="B762" s="1" t="s">
        <v>215</v>
      </c>
      <c r="C762" s="1" t="s">
        <v>143</v>
      </c>
      <c r="D762" s="1">
        <v>233.92</v>
      </c>
      <c r="E762" s="1">
        <v>0</v>
      </c>
      <c r="F762" s="1">
        <v>-29.82</v>
      </c>
      <c r="G762" s="1">
        <v>-161.03399999999999</v>
      </c>
      <c r="H762" s="1">
        <v>1403.51</v>
      </c>
      <c r="I762" s="1">
        <v>-1403.51</v>
      </c>
    </row>
    <row r="763" spans="1:9" hidden="1" x14ac:dyDescent="0.25">
      <c r="A763" s="1" t="s">
        <v>125</v>
      </c>
      <c r="B763" s="1" t="s">
        <v>215</v>
      </c>
      <c r="C763" s="1" t="s">
        <v>3</v>
      </c>
      <c r="D763" s="1">
        <v>258.44</v>
      </c>
      <c r="E763" s="1">
        <v>0</v>
      </c>
      <c r="F763" s="1">
        <v>-29.82</v>
      </c>
      <c r="G763" s="1">
        <v>-161.03399999999999</v>
      </c>
      <c r="H763" s="1">
        <v>1640.356</v>
      </c>
      <c r="I763" s="1">
        <v>-1550.636</v>
      </c>
    </row>
    <row r="764" spans="1:9" hidden="1" x14ac:dyDescent="0.25">
      <c r="A764" s="1" t="s">
        <v>126</v>
      </c>
      <c r="B764" s="1" t="s">
        <v>215</v>
      </c>
      <c r="C764" s="1" t="s">
        <v>143</v>
      </c>
      <c r="D764" s="1">
        <v>492.36</v>
      </c>
      <c r="E764" s="1">
        <v>0</v>
      </c>
      <c r="F764" s="1">
        <v>-53.33</v>
      </c>
      <c r="G764" s="1">
        <v>-287.98399999999998</v>
      </c>
      <c r="H764" s="1">
        <v>3043.866</v>
      </c>
      <c r="I764" s="1">
        <v>-2954.1460000000002</v>
      </c>
    </row>
    <row r="765" spans="1:9" hidden="1" x14ac:dyDescent="0.25">
      <c r="A765" s="1" t="s">
        <v>126</v>
      </c>
      <c r="B765" s="1" t="s">
        <v>215</v>
      </c>
      <c r="C765" s="1" t="s">
        <v>3</v>
      </c>
      <c r="D765" s="1">
        <v>516.88</v>
      </c>
      <c r="E765" s="1">
        <v>0</v>
      </c>
      <c r="F765" s="1">
        <v>-53.33</v>
      </c>
      <c r="G765" s="1">
        <v>-287.98399999999998</v>
      </c>
      <c r="H765" s="1">
        <v>3351.864</v>
      </c>
      <c r="I765" s="1">
        <v>-3101.2710000000002</v>
      </c>
    </row>
    <row r="766" spans="1:9" hidden="1" x14ac:dyDescent="0.25">
      <c r="A766" s="1" t="s">
        <v>127</v>
      </c>
      <c r="B766" s="1" t="s">
        <v>215</v>
      </c>
      <c r="C766" s="1" t="s">
        <v>143</v>
      </c>
      <c r="D766" s="1">
        <v>750.8</v>
      </c>
      <c r="E766" s="1">
        <v>0</v>
      </c>
      <c r="F766" s="1">
        <v>-69</v>
      </c>
      <c r="G766" s="1">
        <v>-372.61700000000002</v>
      </c>
      <c r="H766" s="1">
        <v>4755.3739999999998</v>
      </c>
      <c r="I766" s="1">
        <v>-4504.7809999999999</v>
      </c>
    </row>
    <row r="767" spans="1:9" hidden="1" x14ac:dyDescent="0.25">
      <c r="A767" s="1" t="s">
        <v>127</v>
      </c>
      <c r="B767" s="1" t="s">
        <v>215</v>
      </c>
      <c r="C767" s="1" t="s">
        <v>3</v>
      </c>
      <c r="D767" s="1">
        <v>775.32</v>
      </c>
      <c r="E767" s="1">
        <v>0</v>
      </c>
      <c r="F767" s="1">
        <v>-69</v>
      </c>
      <c r="G767" s="1">
        <v>-372.61700000000002</v>
      </c>
      <c r="H767" s="1">
        <v>5111.4440000000004</v>
      </c>
      <c r="I767" s="1">
        <v>-4651.9070000000002</v>
      </c>
    </row>
    <row r="768" spans="1:9" hidden="1" x14ac:dyDescent="0.25">
      <c r="A768" s="1" t="s">
        <v>9</v>
      </c>
      <c r="B768" s="1" t="s">
        <v>215</v>
      </c>
      <c r="C768" s="1" t="s">
        <v>143</v>
      </c>
      <c r="D768" s="1">
        <v>1009.24</v>
      </c>
      <c r="E768" s="1">
        <v>0</v>
      </c>
      <c r="F768" s="1">
        <v>-76.84</v>
      </c>
      <c r="G768" s="1">
        <v>-414.93299999999999</v>
      </c>
      <c r="H768" s="1">
        <v>6514.9539999999997</v>
      </c>
      <c r="I768" s="1">
        <v>-6055.4170000000004</v>
      </c>
    </row>
    <row r="769" spans="1:9" hidden="1" x14ac:dyDescent="0.25">
      <c r="A769" s="1" t="s">
        <v>9</v>
      </c>
      <c r="B769" s="1" t="s">
        <v>215</v>
      </c>
      <c r="C769" s="1" t="s">
        <v>3</v>
      </c>
      <c r="D769" s="1">
        <v>1033.76</v>
      </c>
      <c r="E769" s="1">
        <v>0</v>
      </c>
      <c r="F769" s="1">
        <v>-76.84</v>
      </c>
      <c r="G769" s="1">
        <v>-414.93299999999999</v>
      </c>
      <c r="H769" s="1">
        <v>6897.4939999999997</v>
      </c>
      <c r="I769" s="1">
        <v>-6202.5429999999997</v>
      </c>
    </row>
    <row r="770" spans="1:9" hidden="1" x14ac:dyDescent="0.25">
      <c r="A770" s="1" t="s">
        <v>10</v>
      </c>
      <c r="B770" s="1" t="s">
        <v>215</v>
      </c>
      <c r="C770" s="1" t="s">
        <v>143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</row>
    <row r="771" spans="1:9" hidden="1" x14ac:dyDescent="0.25">
      <c r="A771" s="1" t="s">
        <v>10</v>
      </c>
      <c r="B771" s="1" t="s">
        <v>215</v>
      </c>
      <c r="C771" s="1" t="s">
        <v>3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</row>
    <row r="772" spans="1:9" hidden="1" x14ac:dyDescent="0.25">
      <c r="A772" s="1" t="s">
        <v>125</v>
      </c>
      <c r="B772" s="1" t="s">
        <v>216</v>
      </c>
      <c r="C772" s="1" t="s">
        <v>143</v>
      </c>
      <c r="D772" s="1">
        <v>233.92</v>
      </c>
      <c r="E772" s="1">
        <v>0</v>
      </c>
      <c r="F772" s="1">
        <v>29.82</v>
      </c>
      <c r="G772" s="1">
        <v>196.81899999999999</v>
      </c>
      <c r="H772" s="1">
        <v>1403.51</v>
      </c>
      <c r="I772" s="1">
        <v>-1403.51</v>
      </c>
    </row>
    <row r="773" spans="1:9" hidden="1" x14ac:dyDescent="0.25">
      <c r="A773" s="1" t="s">
        <v>125</v>
      </c>
      <c r="B773" s="1" t="s">
        <v>216</v>
      </c>
      <c r="C773" s="1" t="s">
        <v>3</v>
      </c>
      <c r="D773" s="1">
        <v>258.44</v>
      </c>
      <c r="E773" s="1">
        <v>0</v>
      </c>
      <c r="F773" s="1">
        <v>29.82</v>
      </c>
      <c r="G773" s="1">
        <v>196.81899999999999</v>
      </c>
      <c r="H773" s="1">
        <v>1460.9159999999999</v>
      </c>
      <c r="I773" s="1">
        <v>-1550.636</v>
      </c>
    </row>
    <row r="774" spans="1:9" hidden="1" x14ac:dyDescent="0.25">
      <c r="A774" s="1" t="s">
        <v>126</v>
      </c>
      <c r="B774" s="1" t="s">
        <v>216</v>
      </c>
      <c r="C774" s="1" t="s">
        <v>143</v>
      </c>
      <c r="D774" s="1">
        <v>492.36</v>
      </c>
      <c r="E774" s="1">
        <v>0</v>
      </c>
      <c r="F774" s="1">
        <v>53.33</v>
      </c>
      <c r="G774" s="1">
        <v>351.98</v>
      </c>
      <c r="H774" s="1">
        <v>2864.4259999999999</v>
      </c>
      <c r="I774" s="1">
        <v>-2954.1460000000002</v>
      </c>
    </row>
    <row r="775" spans="1:9" hidden="1" x14ac:dyDescent="0.25">
      <c r="A775" s="1" t="s">
        <v>126</v>
      </c>
      <c r="B775" s="1" t="s">
        <v>216</v>
      </c>
      <c r="C775" s="1" t="s">
        <v>3</v>
      </c>
      <c r="D775" s="1">
        <v>516.88</v>
      </c>
      <c r="E775" s="1">
        <v>0</v>
      </c>
      <c r="F775" s="1">
        <v>53.33</v>
      </c>
      <c r="G775" s="1">
        <v>351.98</v>
      </c>
      <c r="H775" s="1">
        <v>2850.6790000000001</v>
      </c>
      <c r="I775" s="1">
        <v>-3101.2710000000002</v>
      </c>
    </row>
    <row r="776" spans="1:9" hidden="1" x14ac:dyDescent="0.25">
      <c r="A776" s="1" t="s">
        <v>127</v>
      </c>
      <c r="B776" s="1" t="s">
        <v>216</v>
      </c>
      <c r="C776" s="1" t="s">
        <v>143</v>
      </c>
      <c r="D776" s="1">
        <v>750.8</v>
      </c>
      <c r="E776" s="1">
        <v>0</v>
      </c>
      <c r="F776" s="1">
        <v>69</v>
      </c>
      <c r="G776" s="1">
        <v>455.42</v>
      </c>
      <c r="H776" s="1">
        <v>4254.1890000000003</v>
      </c>
      <c r="I776" s="1">
        <v>-4504.7809999999999</v>
      </c>
    </row>
    <row r="777" spans="1:9" hidden="1" x14ac:dyDescent="0.25">
      <c r="A777" s="1" t="s">
        <v>127</v>
      </c>
      <c r="B777" s="1" t="s">
        <v>216</v>
      </c>
      <c r="C777" s="1" t="s">
        <v>3</v>
      </c>
      <c r="D777" s="1">
        <v>775.32</v>
      </c>
      <c r="E777" s="1">
        <v>0</v>
      </c>
      <c r="F777" s="1">
        <v>69</v>
      </c>
      <c r="G777" s="1">
        <v>455.42</v>
      </c>
      <c r="H777" s="1">
        <v>4192.37</v>
      </c>
      <c r="I777" s="1">
        <v>-4651.9070000000002</v>
      </c>
    </row>
    <row r="778" spans="1:9" hidden="1" x14ac:dyDescent="0.25">
      <c r="A778" s="1" t="s">
        <v>9</v>
      </c>
      <c r="B778" s="1" t="s">
        <v>216</v>
      </c>
      <c r="C778" s="1" t="s">
        <v>143</v>
      </c>
      <c r="D778" s="1">
        <v>1009.24</v>
      </c>
      <c r="E778" s="1">
        <v>0</v>
      </c>
      <c r="F778" s="1">
        <v>76.84</v>
      </c>
      <c r="G778" s="1">
        <v>507.14100000000002</v>
      </c>
      <c r="H778" s="1">
        <v>5595.88</v>
      </c>
      <c r="I778" s="1">
        <v>-6055.4170000000004</v>
      </c>
    </row>
    <row r="779" spans="1:9" hidden="1" x14ac:dyDescent="0.25">
      <c r="A779" s="1" t="s">
        <v>9</v>
      </c>
      <c r="B779" s="1" t="s">
        <v>216</v>
      </c>
      <c r="C779" s="1" t="s">
        <v>3</v>
      </c>
      <c r="D779" s="1">
        <v>1033.76</v>
      </c>
      <c r="E779" s="1">
        <v>0</v>
      </c>
      <c r="F779" s="1">
        <v>76.84</v>
      </c>
      <c r="G779" s="1">
        <v>507.14100000000002</v>
      </c>
      <c r="H779" s="1">
        <v>5507.5910000000003</v>
      </c>
      <c r="I779" s="1">
        <v>-6202.5429999999997</v>
      </c>
    </row>
    <row r="780" spans="1:9" hidden="1" x14ac:dyDescent="0.25">
      <c r="A780" s="1" t="s">
        <v>10</v>
      </c>
      <c r="B780" s="1" t="s">
        <v>216</v>
      </c>
      <c r="C780" s="1" t="s">
        <v>143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</row>
    <row r="781" spans="1:9" hidden="1" x14ac:dyDescent="0.25">
      <c r="A781" s="1" t="s">
        <v>10</v>
      </c>
      <c r="B781" s="1" t="s">
        <v>216</v>
      </c>
      <c r="C781" s="1" t="s">
        <v>3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</row>
    <row r="782" spans="1:9" hidden="1" x14ac:dyDescent="0.25">
      <c r="A782" s="1" t="s">
        <v>125</v>
      </c>
      <c r="B782" s="1" t="s">
        <v>217</v>
      </c>
      <c r="C782" s="1" t="s">
        <v>143</v>
      </c>
      <c r="D782" s="1">
        <v>233.92</v>
      </c>
      <c r="E782" s="1">
        <v>0</v>
      </c>
      <c r="F782" s="1">
        <v>29.82</v>
      </c>
      <c r="G782" s="1">
        <v>161.03399999999999</v>
      </c>
      <c r="H782" s="1">
        <v>1403.51</v>
      </c>
      <c r="I782" s="1">
        <v>-1403.51</v>
      </c>
    </row>
    <row r="783" spans="1:9" hidden="1" x14ac:dyDescent="0.25">
      <c r="A783" s="1" t="s">
        <v>125</v>
      </c>
      <c r="B783" s="1" t="s">
        <v>217</v>
      </c>
      <c r="C783" s="1" t="s">
        <v>3</v>
      </c>
      <c r="D783" s="1">
        <v>258.44</v>
      </c>
      <c r="E783" s="1">
        <v>0</v>
      </c>
      <c r="F783" s="1">
        <v>29.82</v>
      </c>
      <c r="G783" s="1">
        <v>161.03399999999999</v>
      </c>
      <c r="H783" s="1">
        <v>1460.9159999999999</v>
      </c>
      <c r="I783" s="1">
        <v>-1550.636</v>
      </c>
    </row>
    <row r="784" spans="1:9" hidden="1" x14ac:dyDescent="0.25">
      <c r="A784" s="1" t="s">
        <v>126</v>
      </c>
      <c r="B784" s="1" t="s">
        <v>217</v>
      </c>
      <c r="C784" s="1" t="s">
        <v>143</v>
      </c>
      <c r="D784" s="1">
        <v>492.36</v>
      </c>
      <c r="E784" s="1">
        <v>0</v>
      </c>
      <c r="F784" s="1">
        <v>53.33</v>
      </c>
      <c r="G784" s="1">
        <v>287.98399999999998</v>
      </c>
      <c r="H784" s="1">
        <v>2864.4259999999999</v>
      </c>
      <c r="I784" s="1">
        <v>-2954.1460000000002</v>
      </c>
    </row>
    <row r="785" spans="1:9" hidden="1" x14ac:dyDescent="0.25">
      <c r="A785" s="1" t="s">
        <v>126</v>
      </c>
      <c r="B785" s="1" t="s">
        <v>217</v>
      </c>
      <c r="C785" s="1" t="s">
        <v>3</v>
      </c>
      <c r="D785" s="1">
        <v>516.88</v>
      </c>
      <c r="E785" s="1">
        <v>0</v>
      </c>
      <c r="F785" s="1">
        <v>53.33</v>
      </c>
      <c r="G785" s="1">
        <v>287.98399999999998</v>
      </c>
      <c r="H785" s="1">
        <v>2850.6790000000001</v>
      </c>
      <c r="I785" s="1">
        <v>-3101.2710000000002</v>
      </c>
    </row>
    <row r="786" spans="1:9" hidden="1" x14ac:dyDescent="0.25">
      <c r="A786" s="1" t="s">
        <v>127</v>
      </c>
      <c r="B786" s="1" t="s">
        <v>217</v>
      </c>
      <c r="C786" s="1" t="s">
        <v>143</v>
      </c>
      <c r="D786" s="1">
        <v>750.8</v>
      </c>
      <c r="E786" s="1">
        <v>0</v>
      </c>
      <c r="F786" s="1">
        <v>69</v>
      </c>
      <c r="G786" s="1">
        <v>372.61700000000002</v>
      </c>
      <c r="H786" s="1">
        <v>4254.1890000000003</v>
      </c>
      <c r="I786" s="1">
        <v>-4504.7809999999999</v>
      </c>
    </row>
    <row r="787" spans="1:9" hidden="1" x14ac:dyDescent="0.25">
      <c r="A787" s="1" t="s">
        <v>127</v>
      </c>
      <c r="B787" s="1" t="s">
        <v>217</v>
      </c>
      <c r="C787" s="1" t="s">
        <v>3</v>
      </c>
      <c r="D787" s="1">
        <v>775.32</v>
      </c>
      <c r="E787" s="1">
        <v>0</v>
      </c>
      <c r="F787" s="1">
        <v>69</v>
      </c>
      <c r="G787" s="1">
        <v>372.61700000000002</v>
      </c>
      <c r="H787" s="1">
        <v>4192.37</v>
      </c>
      <c r="I787" s="1">
        <v>-4651.9070000000002</v>
      </c>
    </row>
    <row r="788" spans="1:9" hidden="1" x14ac:dyDescent="0.25">
      <c r="A788" s="1" t="s">
        <v>9</v>
      </c>
      <c r="B788" s="1" t="s">
        <v>217</v>
      </c>
      <c r="C788" s="1" t="s">
        <v>143</v>
      </c>
      <c r="D788" s="1">
        <v>1009.24</v>
      </c>
      <c r="E788" s="1">
        <v>0</v>
      </c>
      <c r="F788" s="1">
        <v>76.84</v>
      </c>
      <c r="G788" s="1">
        <v>414.93299999999999</v>
      </c>
      <c r="H788" s="1">
        <v>5595.88</v>
      </c>
      <c r="I788" s="1">
        <v>-6055.4170000000004</v>
      </c>
    </row>
    <row r="789" spans="1:9" hidden="1" x14ac:dyDescent="0.25">
      <c r="A789" s="1" t="s">
        <v>9</v>
      </c>
      <c r="B789" s="1" t="s">
        <v>217</v>
      </c>
      <c r="C789" s="1" t="s">
        <v>3</v>
      </c>
      <c r="D789" s="1">
        <v>1033.76</v>
      </c>
      <c r="E789" s="1">
        <v>0</v>
      </c>
      <c r="F789" s="1">
        <v>76.84</v>
      </c>
      <c r="G789" s="1">
        <v>414.93299999999999</v>
      </c>
      <c r="H789" s="1">
        <v>5507.5910000000003</v>
      </c>
      <c r="I789" s="1">
        <v>-6202.5429999999997</v>
      </c>
    </row>
    <row r="790" spans="1:9" hidden="1" x14ac:dyDescent="0.25">
      <c r="A790" s="1" t="s">
        <v>10</v>
      </c>
      <c r="B790" s="1" t="s">
        <v>217</v>
      </c>
      <c r="C790" s="1" t="s">
        <v>143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</row>
    <row r="791" spans="1:9" hidden="1" x14ac:dyDescent="0.25">
      <c r="A791" s="1" t="s">
        <v>10</v>
      </c>
      <c r="B791" s="1" t="s">
        <v>217</v>
      </c>
      <c r="C791" s="1" t="s">
        <v>3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</row>
    <row r="792" spans="1:9" hidden="1" x14ac:dyDescent="0.25">
      <c r="A792" s="1" t="s">
        <v>125</v>
      </c>
      <c r="B792" s="1" t="s">
        <v>218</v>
      </c>
      <c r="C792" s="1" t="s">
        <v>143</v>
      </c>
      <c r="D792" s="1">
        <v>167.08</v>
      </c>
      <c r="E792" s="1">
        <v>-29.82</v>
      </c>
      <c r="F792" s="1">
        <v>0</v>
      </c>
      <c r="G792" s="1">
        <v>196.81899999999999</v>
      </c>
      <c r="H792" s="1">
        <v>1002.5069999999999</v>
      </c>
      <c r="I792" s="1">
        <v>-1002.5069999999999</v>
      </c>
    </row>
    <row r="793" spans="1:9" hidden="1" x14ac:dyDescent="0.25">
      <c r="A793" s="1" t="s">
        <v>125</v>
      </c>
      <c r="B793" s="1" t="s">
        <v>218</v>
      </c>
      <c r="C793" s="1" t="s">
        <v>3</v>
      </c>
      <c r="D793" s="1">
        <v>184.6</v>
      </c>
      <c r="E793" s="1">
        <v>-29.82</v>
      </c>
      <c r="F793" s="1">
        <v>0</v>
      </c>
      <c r="G793" s="1">
        <v>196.81899999999999</v>
      </c>
      <c r="H793" s="1">
        <v>1107.597</v>
      </c>
      <c r="I793" s="1">
        <v>-1197.317</v>
      </c>
    </row>
    <row r="794" spans="1:9" hidden="1" x14ac:dyDescent="0.25">
      <c r="A794" s="1" t="s">
        <v>126</v>
      </c>
      <c r="B794" s="1" t="s">
        <v>218</v>
      </c>
      <c r="C794" s="1" t="s">
        <v>143</v>
      </c>
      <c r="D794" s="1">
        <v>351.68</v>
      </c>
      <c r="E794" s="1">
        <v>-53.33</v>
      </c>
      <c r="F794" s="1">
        <v>0</v>
      </c>
      <c r="G794" s="1">
        <v>351.98</v>
      </c>
      <c r="H794" s="1">
        <v>2110.1039999999998</v>
      </c>
      <c r="I794" s="1">
        <v>-2199.8240000000001</v>
      </c>
    </row>
    <row r="795" spans="1:9" hidden="1" x14ac:dyDescent="0.25">
      <c r="A795" s="1" t="s">
        <v>126</v>
      </c>
      <c r="B795" s="1" t="s">
        <v>218</v>
      </c>
      <c r="C795" s="1" t="s">
        <v>3</v>
      </c>
      <c r="D795" s="1">
        <v>369.2</v>
      </c>
      <c r="E795" s="1">
        <v>-53.33</v>
      </c>
      <c r="F795" s="1">
        <v>0</v>
      </c>
      <c r="G795" s="1">
        <v>351.98</v>
      </c>
      <c r="H795" s="1">
        <v>2215.194</v>
      </c>
      <c r="I795" s="1">
        <v>-2465.7860000000001</v>
      </c>
    </row>
    <row r="796" spans="1:9" hidden="1" x14ac:dyDescent="0.25">
      <c r="A796" s="1" t="s">
        <v>127</v>
      </c>
      <c r="B796" s="1" t="s">
        <v>218</v>
      </c>
      <c r="C796" s="1" t="s">
        <v>143</v>
      </c>
      <c r="D796" s="1">
        <v>536.28</v>
      </c>
      <c r="E796" s="1">
        <v>-69</v>
      </c>
      <c r="F796" s="1">
        <v>0</v>
      </c>
      <c r="G796" s="1">
        <v>455.42</v>
      </c>
      <c r="H796" s="1">
        <v>3217.701</v>
      </c>
      <c r="I796" s="1">
        <v>-3468.2930000000001</v>
      </c>
    </row>
    <row r="797" spans="1:9" hidden="1" x14ac:dyDescent="0.25">
      <c r="A797" s="1" t="s">
        <v>127</v>
      </c>
      <c r="B797" s="1" t="s">
        <v>218</v>
      </c>
      <c r="C797" s="1" t="s">
        <v>3</v>
      </c>
      <c r="D797" s="1">
        <v>553.79999999999995</v>
      </c>
      <c r="E797" s="1">
        <v>-69</v>
      </c>
      <c r="F797" s="1">
        <v>0</v>
      </c>
      <c r="G797" s="1">
        <v>455.42</v>
      </c>
      <c r="H797" s="1">
        <v>3322.7910000000002</v>
      </c>
      <c r="I797" s="1">
        <v>-3782.328</v>
      </c>
    </row>
    <row r="798" spans="1:9" hidden="1" x14ac:dyDescent="0.25">
      <c r="A798" s="1" t="s">
        <v>9</v>
      </c>
      <c r="B798" s="1" t="s">
        <v>218</v>
      </c>
      <c r="C798" s="1" t="s">
        <v>143</v>
      </c>
      <c r="D798" s="1">
        <v>720.88</v>
      </c>
      <c r="E798" s="1">
        <v>-76.84</v>
      </c>
      <c r="F798" s="1">
        <v>0</v>
      </c>
      <c r="G798" s="1">
        <v>507.14100000000002</v>
      </c>
      <c r="H798" s="1">
        <v>4325.2979999999998</v>
      </c>
      <c r="I798" s="1">
        <v>-4784.835</v>
      </c>
    </row>
    <row r="799" spans="1:9" hidden="1" x14ac:dyDescent="0.25">
      <c r="A799" s="1" t="s">
        <v>9</v>
      </c>
      <c r="B799" s="1" t="s">
        <v>218</v>
      </c>
      <c r="C799" s="1" t="s">
        <v>3</v>
      </c>
      <c r="D799" s="1">
        <v>738.4</v>
      </c>
      <c r="E799" s="1">
        <v>-76.84</v>
      </c>
      <c r="F799" s="1">
        <v>0</v>
      </c>
      <c r="G799" s="1">
        <v>507.14100000000002</v>
      </c>
      <c r="H799" s="1">
        <v>4430.3879999999999</v>
      </c>
      <c r="I799" s="1">
        <v>-5125.3389999999999</v>
      </c>
    </row>
    <row r="800" spans="1:9" hidden="1" x14ac:dyDescent="0.25">
      <c r="A800" s="1" t="s">
        <v>10</v>
      </c>
      <c r="B800" s="1" t="s">
        <v>218</v>
      </c>
      <c r="C800" s="1" t="s">
        <v>143</v>
      </c>
      <c r="D800" s="1">
        <v>0</v>
      </c>
      <c r="E800" s="1">
        <v>0</v>
      </c>
      <c r="F800" s="1">
        <v>0</v>
      </c>
      <c r="G800" s="1">
        <v>0</v>
      </c>
      <c r="H800" s="1">
        <v>0</v>
      </c>
      <c r="I800" s="1">
        <v>0</v>
      </c>
    </row>
    <row r="801" spans="1:9" hidden="1" x14ac:dyDescent="0.25">
      <c r="A801" s="1" t="s">
        <v>10</v>
      </c>
      <c r="B801" s="1" t="s">
        <v>218</v>
      </c>
      <c r="C801" s="1" t="s">
        <v>3</v>
      </c>
      <c r="D801" s="1">
        <v>0</v>
      </c>
      <c r="E801" s="1">
        <v>0</v>
      </c>
      <c r="F801" s="1">
        <v>0</v>
      </c>
      <c r="G801" s="1">
        <v>0</v>
      </c>
      <c r="H801" s="1">
        <v>0</v>
      </c>
      <c r="I801" s="1">
        <v>0</v>
      </c>
    </row>
    <row r="802" spans="1:9" hidden="1" x14ac:dyDescent="0.25">
      <c r="A802" s="1" t="s">
        <v>125</v>
      </c>
      <c r="B802" s="1" t="s">
        <v>219</v>
      </c>
      <c r="C802" s="1" t="s">
        <v>143</v>
      </c>
      <c r="D802" s="1">
        <v>167.08</v>
      </c>
      <c r="E802" s="1">
        <v>-29.82</v>
      </c>
      <c r="F802" s="1">
        <v>0</v>
      </c>
      <c r="G802" s="1">
        <v>161.03399999999999</v>
      </c>
      <c r="H802" s="1">
        <v>1002.5069999999999</v>
      </c>
      <c r="I802" s="1">
        <v>-1002.5069999999999</v>
      </c>
    </row>
    <row r="803" spans="1:9" hidden="1" x14ac:dyDescent="0.25">
      <c r="A803" s="1" t="s">
        <v>125</v>
      </c>
      <c r="B803" s="1" t="s">
        <v>219</v>
      </c>
      <c r="C803" s="1" t="s">
        <v>3</v>
      </c>
      <c r="D803" s="1">
        <v>184.6</v>
      </c>
      <c r="E803" s="1">
        <v>-29.82</v>
      </c>
      <c r="F803" s="1">
        <v>0</v>
      </c>
      <c r="G803" s="1">
        <v>161.03399999999999</v>
      </c>
      <c r="H803" s="1">
        <v>1107.597</v>
      </c>
      <c r="I803" s="1">
        <v>-1197.317</v>
      </c>
    </row>
    <row r="804" spans="1:9" hidden="1" x14ac:dyDescent="0.25">
      <c r="A804" s="1" t="s">
        <v>126</v>
      </c>
      <c r="B804" s="1" t="s">
        <v>219</v>
      </c>
      <c r="C804" s="1" t="s">
        <v>143</v>
      </c>
      <c r="D804" s="1">
        <v>351.68</v>
      </c>
      <c r="E804" s="1">
        <v>-53.33</v>
      </c>
      <c r="F804" s="1">
        <v>0</v>
      </c>
      <c r="G804" s="1">
        <v>287.98399999999998</v>
      </c>
      <c r="H804" s="1">
        <v>2110.1039999999998</v>
      </c>
      <c r="I804" s="1">
        <v>-2199.8240000000001</v>
      </c>
    </row>
    <row r="805" spans="1:9" hidden="1" x14ac:dyDescent="0.25">
      <c r="A805" s="1" t="s">
        <v>126</v>
      </c>
      <c r="B805" s="1" t="s">
        <v>219</v>
      </c>
      <c r="C805" s="1" t="s">
        <v>3</v>
      </c>
      <c r="D805" s="1">
        <v>369.2</v>
      </c>
      <c r="E805" s="1">
        <v>-53.33</v>
      </c>
      <c r="F805" s="1">
        <v>0</v>
      </c>
      <c r="G805" s="1">
        <v>287.98399999999998</v>
      </c>
      <c r="H805" s="1">
        <v>2215.194</v>
      </c>
      <c r="I805" s="1">
        <v>-2465.7860000000001</v>
      </c>
    </row>
    <row r="806" spans="1:9" hidden="1" x14ac:dyDescent="0.25">
      <c r="A806" s="1" t="s">
        <v>127</v>
      </c>
      <c r="B806" s="1" t="s">
        <v>219</v>
      </c>
      <c r="C806" s="1" t="s">
        <v>143</v>
      </c>
      <c r="D806" s="1">
        <v>536.28</v>
      </c>
      <c r="E806" s="1">
        <v>-69</v>
      </c>
      <c r="F806" s="1">
        <v>0</v>
      </c>
      <c r="G806" s="1">
        <v>372.61700000000002</v>
      </c>
      <c r="H806" s="1">
        <v>3217.701</v>
      </c>
      <c r="I806" s="1">
        <v>-3468.2930000000001</v>
      </c>
    </row>
    <row r="807" spans="1:9" hidden="1" x14ac:dyDescent="0.25">
      <c r="A807" s="1" t="s">
        <v>127</v>
      </c>
      <c r="B807" s="1" t="s">
        <v>219</v>
      </c>
      <c r="C807" s="1" t="s">
        <v>3</v>
      </c>
      <c r="D807" s="1">
        <v>553.79999999999995</v>
      </c>
      <c r="E807" s="1">
        <v>-69</v>
      </c>
      <c r="F807" s="1">
        <v>0</v>
      </c>
      <c r="G807" s="1">
        <v>372.61700000000002</v>
      </c>
      <c r="H807" s="1">
        <v>3322.7910000000002</v>
      </c>
      <c r="I807" s="1">
        <v>-3782.328</v>
      </c>
    </row>
    <row r="808" spans="1:9" hidden="1" x14ac:dyDescent="0.25">
      <c r="A808" s="1" t="s">
        <v>9</v>
      </c>
      <c r="B808" s="1" t="s">
        <v>219</v>
      </c>
      <c r="C808" s="1" t="s">
        <v>143</v>
      </c>
      <c r="D808" s="1">
        <v>720.88</v>
      </c>
      <c r="E808" s="1">
        <v>-76.84</v>
      </c>
      <c r="F808" s="1">
        <v>0</v>
      </c>
      <c r="G808" s="1">
        <v>414.93299999999999</v>
      </c>
      <c r="H808" s="1">
        <v>4325.2979999999998</v>
      </c>
      <c r="I808" s="1">
        <v>-4784.835</v>
      </c>
    </row>
    <row r="809" spans="1:9" hidden="1" x14ac:dyDescent="0.25">
      <c r="A809" s="1" t="s">
        <v>9</v>
      </c>
      <c r="B809" s="1" t="s">
        <v>219</v>
      </c>
      <c r="C809" s="1" t="s">
        <v>3</v>
      </c>
      <c r="D809" s="1">
        <v>738.4</v>
      </c>
      <c r="E809" s="1">
        <v>-76.84</v>
      </c>
      <c r="F809" s="1">
        <v>0</v>
      </c>
      <c r="G809" s="1">
        <v>414.93299999999999</v>
      </c>
      <c r="H809" s="1">
        <v>4430.3879999999999</v>
      </c>
      <c r="I809" s="1">
        <v>-5125.3389999999999</v>
      </c>
    </row>
    <row r="810" spans="1:9" hidden="1" x14ac:dyDescent="0.25">
      <c r="A810" s="1" t="s">
        <v>10</v>
      </c>
      <c r="B810" s="1" t="s">
        <v>219</v>
      </c>
      <c r="C810" s="1" t="s">
        <v>143</v>
      </c>
      <c r="D810" s="1">
        <v>0</v>
      </c>
      <c r="E810" s="1">
        <v>0</v>
      </c>
      <c r="F810" s="1">
        <v>0</v>
      </c>
      <c r="G810" s="1">
        <v>0</v>
      </c>
      <c r="H810" s="1">
        <v>0</v>
      </c>
      <c r="I810" s="1">
        <v>0</v>
      </c>
    </row>
    <row r="811" spans="1:9" hidden="1" x14ac:dyDescent="0.25">
      <c r="A811" s="1" t="s">
        <v>10</v>
      </c>
      <c r="B811" s="1" t="s">
        <v>219</v>
      </c>
      <c r="C811" s="1" t="s">
        <v>3</v>
      </c>
      <c r="D811" s="1">
        <v>0</v>
      </c>
      <c r="E811" s="1">
        <v>0</v>
      </c>
      <c r="F811" s="1">
        <v>0</v>
      </c>
      <c r="G811" s="1">
        <v>0</v>
      </c>
      <c r="H811" s="1">
        <v>0</v>
      </c>
      <c r="I811" s="1">
        <v>0</v>
      </c>
    </row>
    <row r="812" spans="1:9" hidden="1" x14ac:dyDescent="0.25">
      <c r="A812" s="1" t="s">
        <v>125</v>
      </c>
      <c r="B812" s="1" t="s">
        <v>220</v>
      </c>
      <c r="C812" s="1" t="s">
        <v>143</v>
      </c>
      <c r="D812" s="1">
        <v>167.08</v>
      </c>
      <c r="E812" s="1">
        <v>29.82</v>
      </c>
      <c r="F812" s="1">
        <v>0</v>
      </c>
      <c r="G812" s="1">
        <v>-196.81899999999999</v>
      </c>
      <c r="H812" s="1">
        <v>1002.5069999999999</v>
      </c>
      <c r="I812" s="1">
        <v>-1002.5069999999999</v>
      </c>
    </row>
    <row r="813" spans="1:9" hidden="1" x14ac:dyDescent="0.25">
      <c r="A813" s="1" t="s">
        <v>125</v>
      </c>
      <c r="B813" s="1" t="s">
        <v>220</v>
      </c>
      <c r="C813" s="1" t="s">
        <v>3</v>
      </c>
      <c r="D813" s="1">
        <v>184.6</v>
      </c>
      <c r="E813" s="1">
        <v>29.82</v>
      </c>
      <c r="F813" s="1">
        <v>0</v>
      </c>
      <c r="G813" s="1">
        <v>-196.81899999999999</v>
      </c>
      <c r="H813" s="1">
        <v>1107.597</v>
      </c>
      <c r="I813" s="1">
        <v>-1017.877</v>
      </c>
    </row>
    <row r="814" spans="1:9" hidden="1" x14ac:dyDescent="0.25">
      <c r="A814" s="1" t="s">
        <v>126</v>
      </c>
      <c r="B814" s="1" t="s">
        <v>220</v>
      </c>
      <c r="C814" s="1" t="s">
        <v>143</v>
      </c>
      <c r="D814" s="1">
        <v>351.68</v>
      </c>
      <c r="E814" s="1">
        <v>53.33</v>
      </c>
      <c r="F814" s="1">
        <v>0</v>
      </c>
      <c r="G814" s="1">
        <v>-351.98</v>
      </c>
      <c r="H814" s="1">
        <v>2110.1039999999998</v>
      </c>
      <c r="I814" s="1">
        <v>-2020.384</v>
      </c>
    </row>
    <row r="815" spans="1:9" hidden="1" x14ac:dyDescent="0.25">
      <c r="A815" s="1" t="s">
        <v>126</v>
      </c>
      <c r="B815" s="1" t="s">
        <v>220</v>
      </c>
      <c r="C815" s="1" t="s">
        <v>3</v>
      </c>
      <c r="D815" s="1">
        <v>369.2</v>
      </c>
      <c r="E815" s="1">
        <v>53.33</v>
      </c>
      <c r="F815" s="1">
        <v>0</v>
      </c>
      <c r="G815" s="1">
        <v>-351.98</v>
      </c>
      <c r="H815" s="1">
        <v>2215.194</v>
      </c>
      <c r="I815" s="1">
        <v>-1964.6020000000001</v>
      </c>
    </row>
    <row r="816" spans="1:9" hidden="1" x14ac:dyDescent="0.25">
      <c r="A816" s="1" t="s">
        <v>127</v>
      </c>
      <c r="B816" s="1" t="s">
        <v>220</v>
      </c>
      <c r="C816" s="1" t="s">
        <v>143</v>
      </c>
      <c r="D816" s="1">
        <v>536.28</v>
      </c>
      <c r="E816" s="1">
        <v>69</v>
      </c>
      <c r="F816" s="1">
        <v>0</v>
      </c>
      <c r="G816" s="1">
        <v>-455.42</v>
      </c>
      <c r="H816" s="1">
        <v>3217.701</v>
      </c>
      <c r="I816" s="1">
        <v>-2967.1089999999999</v>
      </c>
    </row>
    <row r="817" spans="1:9" hidden="1" x14ac:dyDescent="0.25">
      <c r="A817" s="1" t="s">
        <v>127</v>
      </c>
      <c r="B817" s="1" t="s">
        <v>220</v>
      </c>
      <c r="C817" s="1" t="s">
        <v>3</v>
      </c>
      <c r="D817" s="1">
        <v>553.79999999999995</v>
      </c>
      <c r="E817" s="1">
        <v>69</v>
      </c>
      <c r="F817" s="1">
        <v>0</v>
      </c>
      <c r="G817" s="1">
        <v>-455.42</v>
      </c>
      <c r="H817" s="1">
        <v>3322.7910000000002</v>
      </c>
      <c r="I817" s="1">
        <v>-2863.2539999999999</v>
      </c>
    </row>
    <row r="818" spans="1:9" hidden="1" x14ac:dyDescent="0.25">
      <c r="A818" s="1" t="s">
        <v>9</v>
      </c>
      <c r="B818" s="1" t="s">
        <v>220</v>
      </c>
      <c r="C818" s="1" t="s">
        <v>143</v>
      </c>
      <c r="D818" s="1">
        <v>720.88</v>
      </c>
      <c r="E818" s="1">
        <v>76.84</v>
      </c>
      <c r="F818" s="1">
        <v>0</v>
      </c>
      <c r="G818" s="1">
        <v>-507.14100000000002</v>
      </c>
      <c r="H818" s="1">
        <v>4325.2979999999998</v>
      </c>
      <c r="I818" s="1">
        <v>-3865.761</v>
      </c>
    </row>
    <row r="819" spans="1:9" hidden="1" x14ac:dyDescent="0.25">
      <c r="A819" s="1" t="s">
        <v>9</v>
      </c>
      <c r="B819" s="1" t="s">
        <v>220</v>
      </c>
      <c r="C819" s="1" t="s">
        <v>3</v>
      </c>
      <c r="D819" s="1">
        <v>738.4</v>
      </c>
      <c r="E819" s="1">
        <v>76.84</v>
      </c>
      <c r="F819" s="1">
        <v>0</v>
      </c>
      <c r="G819" s="1">
        <v>-507.14100000000002</v>
      </c>
      <c r="H819" s="1">
        <v>4430.3879999999999</v>
      </c>
      <c r="I819" s="1">
        <v>-3735.4360000000001</v>
      </c>
    </row>
    <row r="820" spans="1:9" hidden="1" x14ac:dyDescent="0.25">
      <c r="A820" s="1" t="s">
        <v>10</v>
      </c>
      <c r="B820" s="1" t="s">
        <v>220</v>
      </c>
      <c r="C820" s="1" t="s">
        <v>143</v>
      </c>
      <c r="D820" s="1">
        <v>0</v>
      </c>
      <c r="E820" s="1">
        <v>0</v>
      </c>
      <c r="F820" s="1">
        <v>0</v>
      </c>
      <c r="G820" s="1">
        <v>0</v>
      </c>
      <c r="H820" s="1">
        <v>0</v>
      </c>
      <c r="I820" s="1">
        <v>0</v>
      </c>
    </row>
    <row r="821" spans="1:9" hidden="1" x14ac:dyDescent="0.25">
      <c r="A821" s="1" t="s">
        <v>10</v>
      </c>
      <c r="B821" s="1" t="s">
        <v>220</v>
      </c>
      <c r="C821" s="1" t="s">
        <v>3</v>
      </c>
      <c r="D821" s="1">
        <v>0</v>
      </c>
      <c r="E821" s="1">
        <v>0</v>
      </c>
      <c r="F821" s="1">
        <v>0</v>
      </c>
      <c r="G821" s="1">
        <v>0</v>
      </c>
      <c r="H821" s="1">
        <v>0</v>
      </c>
      <c r="I821" s="1">
        <v>0</v>
      </c>
    </row>
    <row r="822" spans="1:9" hidden="1" x14ac:dyDescent="0.25">
      <c r="A822" s="1" t="s">
        <v>125</v>
      </c>
      <c r="B822" s="1" t="s">
        <v>221</v>
      </c>
      <c r="C822" s="1" t="s">
        <v>143</v>
      </c>
      <c r="D822" s="1">
        <v>167.08</v>
      </c>
      <c r="E822" s="1">
        <v>29.82</v>
      </c>
      <c r="F822" s="1">
        <v>0</v>
      </c>
      <c r="G822" s="1">
        <v>-161.03399999999999</v>
      </c>
      <c r="H822" s="1">
        <v>1002.5069999999999</v>
      </c>
      <c r="I822" s="1">
        <v>-1002.5069999999999</v>
      </c>
    </row>
    <row r="823" spans="1:9" hidden="1" x14ac:dyDescent="0.25">
      <c r="A823" s="1" t="s">
        <v>125</v>
      </c>
      <c r="B823" s="1" t="s">
        <v>221</v>
      </c>
      <c r="C823" s="1" t="s">
        <v>3</v>
      </c>
      <c r="D823" s="1">
        <v>184.6</v>
      </c>
      <c r="E823" s="1">
        <v>29.82</v>
      </c>
      <c r="F823" s="1">
        <v>0</v>
      </c>
      <c r="G823" s="1">
        <v>-161.03399999999999</v>
      </c>
      <c r="H823" s="1">
        <v>1107.597</v>
      </c>
      <c r="I823" s="1">
        <v>-1017.877</v>
      </c>
    </row>
    <row r="824" spans="1:9" hidden="1" x14ac:dyDescent="0.25">
      <c r="A824" s="1" t="s">
        <v>126</v>
      </c>
      <c r="B824" s="1" t="s">
        <v>221</v>
      </c>
      <c r="C824" s="1" t="s">
        <v>143</v>
      </c>
      <c r="D824" s="1">
        <v>351.68</v>
      </c>
      <c r="E824" s="1">
        <v>53.33</v>
      </c>
      <c r="F824" s="1">
        <v>0</v>
      </c>
      <c r="G824" s="1">
        <v>-287.98399999999998</v>
      </c>
      <c r="H824" s="1">
        <v>2110.1039999999998</v>
      </c>
      <c r="I824" s="1">
        <v>-2020.384</v>
      </c>
    </row>
    <row r="825" spans="1:9" hidden="1" x14ac:dyDescent="0.25">
      <c r="A825" s="1" t="s">
        <v>126</v>
      </c>
      <c r="B825" s="1" t="s">
        <v>221</v>
      </c>
      <c r="C825" s="1" t="s">
        <v>3</v>
      </c>
      <c r="D825" s="1">
        <v>369.2</v>
      </c>
      <c r="E825" s="1">
        <v>53.33</v>
      </c>
      <c r="F825" s="1">
        <v>0</v>
      </c>
      <c r="G825" s="1">
        <v>-287.98399999999998</v>
      </c>
      <c r="H825" s="1">
        <v>2215.194</v>
      </c>
      <c r="I825" s="1">
        <v>-1964.6020000000001</v>
      </c>
    </row>
    <row r="826" spans="1:9" hidden="1" x14ac:dyDescent="0.25">
      <c r="A826" s="1" t="s">
        <v>127</v>
      </c>
      <c r="B826" s="1" t="s">
        <v>221</v>
      </c>
      <c r="C826" s="1" t="s">
        <v>143</v>
      </c>
      <c r="D826" s="1">
        <v>536.28</v>
      </c>
      <c r="E826" s="1">
        <v>69</v>
      </c>
      <c r="F826" s="1">
        <v>0</v>
      </c>
      <c r="G826" s="1">
        <v>-372.61700000000002</v>
      </c>
      <c r="H826" s="1">
        <v>3217.701</v>
      </c>
      <c r="I826" s="1">
        <v>-2967.1089999999999</v>
      </c>
    </row>
    <row r="827" spans="1:9" hidden="1" x14ac:dyDescent="0.25">
      <c r="A827" s="1" t="s">
        <v>127</v>
      </c>
      <c r="B827" s="1" t="s">
        <v>221</v>
      </c>
      <c r="C827" s="1" t="s">
        <v>3</v>
      </c>
      <c r="D827" s="1">
        <v>553.79999999999995</v>
      </c>
      <c r="E827" s="1">
        <v>69</v>
      </c>
      <c r="F827" s="1">
        <v>0</v>
      </c>
      <c r="G827" s="1">
        <v>-372.61700000000002</v>
      </c>
      <c r="H827" s="1">
        <v>3322.7910000000002</v>
      </c>
      <c r="I827" s="1">
        <v>-2863.2539999999999</v>
      </c>
    </row>
    <row r="828" spans="1:9" hidden="1" x14ac:dyDescent="0.25">
      <c r="A828" s="1" t="s">
        <v>9</v>
      </c>
      <c r="B828" s="1" t="s">
        <v>221</v>
      </c>
      <c r="C828" s="1" t="s">
        <v>143</v>
      </c>
      <c r="D828" s="1">
        <v>720.88</v>
      </c>
      <c r="E828" s="1">
        <v>76.84</v>
      </c>
      <c r="F828" s="1">
        <v>0</v>
      </c>
      <c r="G828" s="1">
        <v>-414.93299999999999</v>
      </c>
      <c r="H828" s="1">
        <v>4325.2979999999998</v>
      </c>
      <c r="I828" s="1">
        <v>-3865.761</v>
      </c>
    </row>
    <row r="829" spans="1:9" hidden="1" x14ac:dyDescent="0.25">
      <c r="A829" s="1" t="s">
        <v>9</v>
      </c>
      <c r="B829" s="1" t="s">
        <v>221</v>
      </c>
      <c r="C829" s="1" t="s">
        <v>3</v>
      </c>
      <c r="D829" s="1">
        <v>738.4</v>
      </c>
      <c r="E829" s="1">
        <v>76.84</v>
      </c>
      <c r="F829" s="1">
        <v>0</v>
      </c>
      <c r="G829" s="1">
        <v>-414.93299999999999</v>
      </c>
      <c r="H829" s="1">
        <v>4430.3879999999999</v>
      </c>
      <c r="I829" s="1">
        <v>-3735.4360000000001</v>
      </c>
    </row>
    <row r="830" spans="1:9" hidden="1" x14ac:dyDescent="0.25">
      <c r="A830" s="1" t="s">
        <v>10</v>
      </c>
      <c r="B830" s="1" t="s">
        <v>221</v>
      </c>
      <c r="C830" s="1" t="s">
        <v>143</v>
      </c>
      <c r="D830" s="1">
        <v>0</v>
      </c>
      <c r="E830" s="1">
        <v>0</v>
      </c>
      <c r="F830" s="1">
        <v>0</v>
      </c>
      <c r="G830" s="1">
        <v>0</v>
      </c>
      <c r="H830" s="1">
        <v>0</v>
      </c>
      <c r="I830" s="1">
        <v>0</v>
      </c>
    </row>
    <row r="831" spans="1:9" hidden="1" x14ac:dyDescent="0.25">
      <c r="A831" s="1" t="s">
        <v>10</v>
      </c>
      <c r="B831" s="1" t="s">
        <v>221</v>
      </c>
      <c r="C831" s="1" t="s">
        <v>3</v>
      </c>
      <c r="D831" s="1">
        <v>0</v>
      </c>
      <c r="E831" s="1">
        <v>0</v>
      </c>
      <c r="F831" s="1">
        <v>0</v>
      </c>
      <c r="G831" s="1">
        <v>0</v>
      </c>
      <c r="H831" s="1">
        <v>0</v>
      </c>
      <c r="I831" s="1">
        <v>0</v>
      </c>
    </row>
    <row r="832" spans="1:9" hidden="1" x14ac:dyDescent="0.25">
      <c r="A832" s="1" t="s">
        <v>125</v>
      </c>
      <c r="B832" s="1" t="s">
        <v>222</v>
      </c>
      <c r="C832" s="1" t="s">
        <v>143</v>
      </c>
      <c r="D832" s="1">
        <v>167.08</v>
      </c>
      <c r="E832" s="1">
        <v>0</v>
      </c>
      <c r="F832" s="1">
        <v>-29.82</v>
      </c>
      <c r="G832" s="1">
        <v>-196.81899999999999</v>
      </c>
      <c r="H832" s="1">
        <v>1002.5069999999999</v>
      </c>
      <c r="I832" s="1">
        <v>-1002.5069999999999</v>
      </c>
    </row>
    <row r="833" spans="1:9" hidden="1" x14ac:dyDescent="0.25">
      <c r="A833" s="1" t="s">
        <v>125</v>
      </c>
      <c r="B833" s="1" t="s">
        <v>222</v>
      </c>
      <c r="C833" s="1" t="s">
        <v>3</v>
      </c>
      <c r="D833" s="1">
        <v>184.6</v>
      </c>
      <c r="E833" s="1">
        <v>0</v>
      </c>
      <c r="F833" s="1">
        <v>-29.82</v>
      </c>
      <c r="G833" s="1">
        <v>-196.81899999999999</v>
      </c>
      <c r="H833" s="1">
        <v>1197.317</v>
      </c>
      <c r="I833" s="1">
        <v>-1107.597</v>
      </c>
    </row>
    <row r="834" spans="1:9" hidden="1" x14ac:dyDescent="0.25">
      <c r="A834" s="1" t="s">
        <v>126</v>
      </c>
      <c r="B834" s="1" t="s">
        <v>222</v>
      </c>
      <c r="C834" s="1" t="s">
        <v>143</v>
      </c>
      <c r="D834" s="1">
        <v>351.68</v>
      </c>
      <c r="E834" s="1">
        <v>0</v>
      </c>
      <c r="F834" s="1">
        <v>-53.33</v>
      </c>
      <c r="G834" s="1">
        <v>-351.98</v>
      </c>
      <c r="H834" s="1">
        <v>2199.8240000000001</v>
      </c>
      <c r="I834" s="1">
        <v>-2110.1039999999998</v>
      </c>
    </row>
    <row r="835" spans="1:9" hidden="1" x14ac:dyDescent="0.25">
      <c r="A835" s="1" t="s">
        <v>126</v>
      </c>
      <c r="B835" s="1" t="s">
        <v>222</v>
      </c>
      <c r="C835" s="1" t="s">
        <v>3</v>
      </c>
      <c r="D835" s="1">
        <v>369.2</v>
      </c>
      <c r="E835" s="1">
        <v>0</v>
      </c>
      <c r="F835" s="1">
        <v>-53.33</v>
      </c>
      <c r="G835" s="1">
        <v>-351.98</v>
      </c>
      <c r="H835" s="1">
        <v>2465.7860000000001</v>
      </c>
      <c r="I835" s="1">
        <v>-2215.194</v>
      </c>
    </row>
    <row r="836" spans="1:9" hidden="1" x14ac:dyDescent="0.25">
      <c r="A836" s="1" t="s">
        <v>127</v>
      </c>
      <c r="B836" s="1" t="s">
        <v>222</v>
      </c>
      <c r="C836" s="1" t="s">
        <v>143</v>
      </c>
      <c r="D836" s="1">
        <v>536.28</v>
      </c>
      <c r="E836" s="1">
        <v>0</v>
      </c>
      <c r="F836" s="1">
        <v>-69</v>
      </c>
      <c r="G836" s="1">
        <v>-455.42</v>
      </c>
      <c r="H836" s="1">
        <v>3468.2930000000001</v>
      </c>
      <c r="I836" s="1">
        <v>-3217.701</v>
      </c>
    </row>
    <row r="837" spans="1:9" hidden="1" x14ac:dyDescent="0.25">
      <c r="A837" s="1" t="s">
        <v>127</v>
      </c>
      <c r="B837" s="1" t="s">
        <v>222</v>
      </c>
      <c r="C837" s="1" t="s">
        <v>3</v>
      </c>
      <c r="D837" s="1">
        <v>553.79999999999995</v>
      </c>
      <c r="E837" s="1">
        <v>0</v>
      </c>
      <c r="F837" s="1">
        <v>-69</v>
      </c>
      <c r="G837" s="1">
        <v>-455.42</v>
      </c>
      <c r="H837" s="1">
        <v>3782.328</v>
      </c>
      <c r="I837" s="1">
        <v>-3322.7910000000002</v>
      </c>
    </row>
    <row r="838" spans="1:9" hidden="1" x14ac:dyDescent="0.25">
      <c r="A838" s="1" t="s">
        <v>9</v>
      </c>
      <c r="B838" s="1" t="s">
        <v>222</v>
      </c>
      <c r="C838" s="1" t="s">
        <v>143</v>
      </c>
      <c r="D838" s="1">
        <v>720.88</v>
      </c>
      <c r="E838" s="1">
        <v>0</v>
      </c>
      <c r="F838" s="1">
        <v>-76.84</v>
      </c>
      <c r="G838" s="1">
        <v>-507.14100000000002</v>
      </c>
      <c r="H838" s="1">
        <v>4784.835</v>
      </c>
      <c r="I838" s="1">
        <v>-4325.2979999999998</v>
      </c>
    </row>
    <row r="839" spans="1:9" hidden="1" x14ac:dyDescent="0.25">
      <c r="A839" s="1" t="s">
        <v>9</v>
      </c>
      <c r="B839" s="1" t="s">
        <v>222</v>
      </c>
      <c r="C839" s="1" t="s">
        <v>3</v>
      </c>
      <c r="D839" s="1">
        <v>738.4</v>
      </c>
      <c r="E839" s="1">
        <v>0</v>
      </c>
      <c r="F839" s="1">
        <v>-76.84</v>
      </c>
      <c r="G839" s="1">
        <v>-507.14100000000002</v>
      </c>
      <c r="H839" s="1">
        <v>5125.3389999999999</v>
      </c>
      <c r="I839" s="1">
        <v>-4430.3879999999999</v>
      </c>
    </row>
    <row r="840" spans="1:9" hidden="1" x14ac:dyDescent="0.25">
      <c r="A840" s="1" t="s">
        <v>10</v>
      </c>
      <c r="B840" s="1" t="s">
        <v>222</v>
      </c>
      <c r="C840" s="1" t="s">
        <v>143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10</v>
      </c>
      <c r="B841" s="1" t="s">
        <v>222</v>
      </c>
      <c r="C841" s="1" t="s">
        <v>3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125</v>
      </c>
      <c r="B842" s="1" t="s">
        <v>223</v>
      </c>
      <c r="C842" s="1" t="s">
        <v>143</v>
      </c>
      <c r="D842" s="1">
        <v>167.08</v>
      </c>
      <c r="E842" s="1">
        <v>0</v>
      </c>
      <c r="F842" s="1">
        <v>-29.82</v>
      </c>
      <c r="G842" s="1">
        <v>-161.03399999999999</v>
      </c>
      <c r="H842" s="1">
        <v>1002.5069999999999</v>
      </c>
      <c r="I842" s="1">
        <v>-1002.5069999999999</v>
      </c>
    </row>
    <row r="843" spans="1:9" hidden="1" x14ac:dyDescent="0.25">
      <c r="A843" s="1" t="s">
        <v>125</v>
      </c>
      <c r="B843" s="1" t="s">
        <v>223</v>
      </c>
      <c r="C843" s="1" t="s">
        <v>3</v>
      </c>
      <c r="D843" s="1">
        <v>184.6</v>
      </c>
      <c r="E843" s="1">
        <v>0</v>
      </c>
      <c r="F843" s="1">
        <v>-29.82</v>
      </c>
      <c r="G843" s="1">
        <v>-161.03399999999999</v>
      </c>
      <c r="H843" s="1">
        <v>1197.317</v>
      </c>
      <c r="I843" s="1">
        <v>-1107.597</v>
      </c>
    </row>
    <row r="844" spans="1:9" hidden="1" x14ac:dyDescent="0.25">
      <c r="A844" s="1" t="s">
        <v>126</v>
      </c>
      <c r="B844" s="1" t="s">
        <v>223</v>
      </c>
      <c r="C844" s="1" t="s">
        <v>143</v>
      </c>
      <c r="D844" s="1">
        <v>351.68</v>
      </c>
      <c r="E844" s="1">
        <v>0</v>
      </c>
      <c r="F844" s="1">
        <v>-53.33</v>
      </c>
      <c r="G844" s="1">
        <v>-287.98399999999998</v>
      </c>
      <c r="H844" s="1">
        <v>2199.8240000000001</v>
      </c>
      <c r="I844" s="1">
        <v>-2110.1039999999998</v>
      </c>
    </row>
    <row r="845" spans="1:9" hidden="1" x14ac:dyDescent="0.25">
      <c r="A845" s="1" t="s">
        <v>126</v>
      </c>
      <c r="B845" s="1" t="s">
        <v>223</v>
      </c>
      <c r="C845" s="1" t="s">
        <v>3</v>
      </c>
      <c r="D845" s="1">
        <v>369.2</v>
      </c>
      <c r="E845" s="1">
        <v>0</v>
      </c>
      <c r="F845" s="1">
        <v>-53.33</v>
      </c>
      <c r="G845" s="1">
        <v>-287.98399999999998</v>
      </c>
      <c r="H845" s="1">
        <v>2465.7860000000001</v>
      </c>
      <c r="I845" s="1">
        <v>-2215.194</v>
      </c>
    </row>
    <row r="846" spans="1:9" hidden="1" x14ac:dyDescent="0.25">
      <c r="A846" s="1" t="s">
        <v>127</v>
      </c>
      <c r="B846" s="1" t="s">
        <v>223</v>
      </c>
      <c r="C846" s="1" t="s">
        <v>143</v>
      </c>
      <c r="D846" s="1">
        <v>536.28</v>
      </c>
      <c r="E846" s="1">
        <v>0</v>
      </c>
      <c r="F846" s="1">
        <v>-69</v>
      </c>
      <c r="G846" s="1">
        <v>-372.61700000000002</v>
      </c>
      <c r="H846" s="1">
        <v>3468.2930000000001</v>
      </c>
      <c r="I846" s="1">
        <v>-3217.701</v>
      </c>
    </row>
    <row r="847" spans="1:9" hidden="1" x14ac:dyDescent="0.25">
      <c r="A847" s="1" t="s">
        <v>127</v>
      </c>
      <c r="B847" s="1" t="s">
        <v>223</v>
      </c>
      <c r="C847" s="1" t="s">
        <v>3</v>
      </c>
      <c r="D847" s="1">
        <v>553.79999999999995</v>
      </c>
      <c r="E847" s="1">
        <v>0</v>
      </c>
      <c r="F847" s="1">
        <v>-69</v>
      </c>
      <c r="G847" s="1">
        <v>-372.61700000000002</v>
      </c>
      <c r="H847" s="1">
        <v>3782.328</v>
      </c>
      <c r="I847" s="1">
        <v>-3322.7910000000002</v>
      </c>
    </row>
    <row r="848" spans="1:9" hidden="1" x14ac:dyDescent="0.25">
      <c r="A848" s="1" t="s">
        <v>9</v>
      </c>
      <c r="B848" s="1" t="s">
        <v>223</v>
      </c>
      <c r="C848" s="1" t="s">
        <v>143</v>
      </c>
      <c r="D848" s="1">
        <v>720.88</v>
      </c>
      <c r="E848" s="1">
        <v>0</v>
      </c>
      <c r="F848" s="1">
        <v>-76.84</v>
      </c>
      <c r="G848" s="1">
        <v>-414.93299999999999</v>
      </c>
      <c r="H848" s="1">
        <v>4784.835</v>
      </c>
      <c r="I848" s="1">
        <v>-4325.2979999999998</v>
      </c>
    </row>
    <row r="849" spans="1:9" hidden="1" x14ac:dyDescent="0.25">
      <c r="A849" s="1" t="s">
        <v>9</v>
      </c>
      <c r="B849" s="1" t="s">
        <v>223</v>
      </c>
      <c r="C849" s="1" t="s">
        <v>3</v>
      </c>
      <c r="D849" s="1">
        <v>738.4</v>
      </c>
      <c r="E849" s="1">
        <v>0</v>
      </c>
      <c r="F849" s="1">
        <v>-76.84</v>
      </c>
      <c r="G849" s="1">
        <v>-414.93299999999999</v>
      </c>
      <c r="H849" s="1">
        <v>5125.3389999999999</v>
      </c>
      <c r="I849" s="1">
        <v>-4430.3879999999999</v>
      </c>
    </row>
    <row r="850" spans="1:9" hidden="1" x14ac:dyDescent="0.25">
      <c r="A850" s="1" t="s">
        <v>10</v>
      </c>
      <c r="B850" s="1" t="s">
        <v>223</v>
      </c>
      <c r="C850" s="1" t="s">
        <v>143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10</v>
      </c>
      <c r="B851" s="1" t="s">
        <v>223</v>
      </c>
      <c r="C851" s="1" t="s">
        <v>3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125</v>
      </c>
      <c r="B852" s="1" t="s">
        <v>224</v>
      </c>
      <c r="C852" s="1" t="s">
        <v>143</v>
      </c>
      <c r="D852" s="1">
        <v>167.08</v>
      </c>
      <c r="E852" s="1">
        <v>0</v>
      </c>
      <c r="F852" s="1">
        <v>29.82</v>
      </c>
      <c r="G852" s="1">
        <v>196.81899999999999</v>
      </c>
      <c r="H852" s="1">
        <v>1002.5069999999999</v>
      </c>
      <c r="I852" s="1">
        <v>-1002.5069999999999</v>
      </c>
    </row>
    <row r="853" spans="1:9" hidden="1" x14ac:dyDescent="0.25">
      <c r="A853" s="1" t="s">
        <v>125</v>
      </c>
      <c r="B853" s="1" t="s">
        <v>224</v>
      </c>
      <c r="C853" s="1" t="s">
        <v>3</v>
      </c>
      <c r="D853" s="1">
        <v>184.6</v>
      </c>
      <c r="E853" s="1">
        <v>0</v>
      </c>
      <c r="F853" s="1">
        <v>29.82</v>
      </c>
      <c r="G853" s="1">
        <v>196.81899999999999</v>
      </c>
      <c r="H853" s="1">
        <v>1017.877</v>
      </c>
      <c r="I853" s="1">
        <v>-1107.597</v>
      </c>
    </row>
    <row r="854" spans="1:9" hidden="1" x14ac:dyDescent="0.25">
      <c r="A854" s="1" t="s">
        <v>126</v>
      </c>
      <c r="B854" s="1" t="s">
        <v>224</v>
      </c>
      <c r="C854" s="1" t="s">
        <v>143</v>
      </c>
      <c r="D854" s="1">
        <v>351.68</v>
      </c>
      <c r="E854" s="1">
        <v>0</v>
      </c>
      <c r="F854" s="1">
        <v>53.33</v>
      </c>
      <c r="G854" s="1">
        <v>351.98</v>
      </c>
      <c r="H854" s="1">
        <v>2020.384</v>
      </c>
      <c r="I854" s="1">
        <v>-2110.1039999999998</v>
      </c>
    </row>
    <row r="855" spans="1:9" hidden="1" x14ac:dyDescent="0.25">
      <c r="A855" s="1" t="s">
        <v>126</v>
      </c>
      <c r="B855" s="1" t="s">
        <v>224</v>
      </c>
      <c r="C855" s="1" t="s">
        <v>3</v>
      </c>
      <c r="D855" s="1">
        <v>369.2</v>
      </c>
      <c r="E855" s="1">
        <v>0</v>
      </c>
      <c r="F855" s="1">
        <v>53.33</v>
      </c>
      <c r="G855" s="1">
        <v>351.98</v>
      </c>
      <c r="H855" s="1">
        <v>1964.6020000000001</v>
      </c>
      <c r="I855" s="1">
        <v>-2215.194</v>
      </c>
    </row>
    <row r="856" spans="1:9" hidden="1" x14ac:dyDescent="0.25">
      <c r="A856" s="1" t="s">
        <v>127</v>
      </c>
      <c r="B856" s="1" t="s">
        <v>224</v>
      </c>
      <c r="C856" s="1" t="s">
        <v>143</v>
      </c>
      <c r="D856" s="1">
        <v>536.28</v>
      </c>
      <c r="E856" s="1">
        <v>0</v>
      </c>
      <c r="F856" s="1">
        <v>69</v>
      </c>
      <c r="G856" s="1">
        <v>455.42</v>
      </c>
      <c r="H856" s="1">
        <v>2967.1089999999999</v>
      </c>
      <c r="I856" s="1">
        <v>-3217.701</v>
      </c>
    </row>
    <row r="857" spans="1:9" hidden="1" x14ac:dyDescent="0.25">
      <c r="A857" s="1" t="s">
        <v>127</v>
      </c>
      <c r="B857" s="1" t="s">
        <v>224</v>
      </c>
      <c r="C857" s="1" t="s">
        <v>3</v>
      </c>
      <c r="D857" s="1">
        <v>553.79999999999995</v>
      </c>
      <c r="E857" s="1">
        <v>0</v>
      </c>
      <c r="F857" s="1">
        <v>69</v>
      </c>
      <c r="G857" s="1">
        <v>455.42</v>
      </c>
      <c r="H857" s="1">
        <v>2863.2539999999999</v>
      </c>
      <c r="I857" s="1">
        <v>-3322.7910000000002</v>
      </c>
    </row>
    <row r="858" spans="1:9" hidden="1" x14ac:dyDescent="0.25">
      <c r="A858" s="1" t="s">
        <v>9</v>
      </c>
      <c r="B858" s="1" t="s">
        <v>224</v>
      </c>
      <c r="C858" s="1" t="s">
        <v>143</v>
      </c>
      <c r="D858" s="1">
        <v>720.88</v>
      </c>
      <c r="E858" s="1">
        <v>0</v>
      </c>
      <c r="F858" s="1">
        <v>76.84</v>
      </c>
      <c r="G858" s="1">
        <v>507.14100000000002</v>
      </c>
      <c r="H858" s="1">
        <v>3865.761</v>
      </c>
      <c r="I858" s="1">
        <v>-4325.2979999999998</v>
      </c>
    </row>
    <row r="859" spans="1:9" hidden="1" x14ac:dyDescent="0.25">
      <c r="A859" s="1" t="s">
        <v>9</v>
      </c>
      <c r="B859" s="1" t="s">
        <v>224</v>
      </c>
      <c r="C859" s="1" t="s">
        <v>3</v>
      </c>
      <c r="D859" s="1">
        <v>738.4</v>
      </c>
      <c r="E859" s="1">
        <v>0</v>
      </c>
      <c r="F859" s="1">
        <v>76.84</v>
      </c>
      <c r="G859" s="1">
        <v>507.14100000000002</v>
      </c>
      <c r="H859" s="1">
        <v>3735.4360000000001</v>
      </c>
      <c r="I859" s="1">
        <v>-4430.3879999999999</v>
      </c>
    </row>
    <row r="860" spans="1:9" hidden="1" x14ac:dyDescent="0.25">
      <c r="A860" s="1" t="s">
        <v>10</v>
      </c>
      <c r="B860" s="1" t="s">
        <v>224</v>
      </c>
      <c r="C860" s="1" t="s">
        <v>143</v>
      </c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</row>
    <row r="861" spans="1:9" hidden="1" x14ac:dyDescent="0.25">
      <c r="A861" s="1" t="s">
        <v>10</v>
      </c>
      <c r="B861" s="1" t="s">
        <v>224</v>
      </c>
      <c r="C861" s="1" t="s">
        <v>3</v>
      </c>
      <c r="D861" s="1">
        <v>0</v>
      </c>
      <c r="E861" s="1">
        <v>0</v>
      </c>
      <c r="F861" s="1">
        <v>0</v>
      </c>
      <c r="G861" s="1">
        <v>0</v>
      </c>
      <c r="H861" s="1">
        <v>0</v>
      </c>
      <c r="I861" s="1">
        <v>0</v>
      </c>
    </row>
    <row r="862" spans="1:9" hidden="1" x14ac:dyDescent="0.25">
      <c r="A862" s="1" t="s">
        <v>125</v>
      </c>
      <c r="B862" s="1" t="s">
        <v>225</v>
      </c>
      <c r="C862" s="1" t="s">
        <v>143</v>
      </c>
      <c r="D862" s="1">
        <v>167.08</v>
      </c>
      <c r="E862" s="1">
        <v>0</v>
      </c>
      <c r="F862" s="1">
        <v>29.82</v>
      </c>
      <c r="G862" s="1">
        <v>161.03399999999999</v>
      </c>
      <c r="H862" s="1">
        <v>1002.5069999999999</v>
      </c>
      <c r="I862" s="1">
        <v>-1002.5069999999999</v>
      </c>
    </row>
    <row r="863" spans="1:9" hidden="1" x14ac:dyDescent="0.25">
      <c r="A863" s="1" t="s">
        <v>125</v>
      </c>
      <c r="B863" s="1" t="s">
        <v>225</v>
      </c>
      <c r="C863" s="1" t="s">
        <v>3</v>
      </c>
      <c r="D863" s="1">
        <v>184.6</v>
      </c>
      <c r="E863" s="1">
        <v>0</v>
      </c>
      <c r="F863" s="1">
        <v>29.82</v>
      </c>
      <c r="G863" s="1">
        <v>161.03399999999999</v>
      </c>
      <c r="H863" s="1">
        <v>1017.877</v>
      </c>
      <c r="I863" s="1">
        <v>-1107.597</v>
      </c>
    </row>
    <row r="864" spans="1:9" hidden="1" x14ac:dyDescent="0.25">
      <c r="A864" s="1" t="s">
        <v>126</v>
      </c>
      <c r="B864" s="1" t="s">
        <v>225</v>
      </c>
      <c r="C864" s="1" t="s">
        <v>143</v>
      </c>
      <c r="D864" s="1">
        <v>351.68</v>
      </c>
      <c r="E864" s="1">
        <v>0</v>
      </c>
      <c r="F864" s="1">
        <v>53.33</v>
      </c>
      <c r="G864" s="1">
        <v>287.98399999999998</v>
      </c>
      <c r="H864" s="1">
        <v>2020.384</v>
      </c>
      <c r="I864" s="1">
        <v>-2110.1039999999998</v>
      </c>
    </row>
    <row r="865" spans="1:9" hidden="1" x14ac:dyDescent="0.25">
      <c r="A865" s="1" t="s">
        <v>126</v>
      </c>
      <c r="B865" s="1" t="s">
        <v>225</v>
      </c>
      <c r="C865" s="1" t="s">
        <v>3</v>
      </c>
      <c r="D865" s="1">
        <v>369.2</v>
      </c>
      <c r="E865" s="1">
        <v>0</v>
      </c>
      <c r="F865" s="1">
        <v>53.33</v>
      </c>
      <c r="G865" s="1">
        <v>287.98399999999998</v>
      </c>
      <c r="H865" s="1">
        <v>1964.6020000000001</v>
      </c>
      <c r="I865" s="1">
        <v>-2215.194</v>
      </c>
    </row>
    <row r="866" spans="1:9" hidden="1" x14ac:dyDescent="0.25">
      <c r="A866" s="1" t="s">
        <v>127</v>
      </c>
      <c r="B866" s="1" t="s">
        <v>225</v>
      </c>
      <c r="C866" s="1" t="s">
        <v>143</v>
      </c>
      <c r="D866" s="1">
        <v>536.28</v>
      </c>
      <c r="E866" s="1">
        <v>0</v>
      </c>
      <c r="F866" s="1">
        <v>69</v>
      </c>
      <c r="G866" s="1">
        <v>372.61700000000002</v>
      </c>
      <c r="H866" s="1">
        <v>2967.1089999999999</v>
      </c>
      <c r="I866" s="1">
        <v>-3217.701</v>
      </c>
    </row>
    <row r="867" spans="1:9" hidden="1" x14ac:dyDescent="0.25">
      <c r="A867" s="1" t="s">
        <v>127</v>
      </c>
      <c r="B867" s="1" t="s">
        <v>225</v>
      </c>
      <c r="C867" s="1" t="s">
        <v>3</v>
      </c>
      <c r="D867" s="1">
        <v>553.79999999999995</v>
      </c>
      <c r="E867" s="1">
        <v>0</v>
      </c>
      <c r="F867" s="1">
        <v>69</v>
      </c>
      <c r="G867" s="1">
        <v>372.61700000000002</v>
      </c>
      <c r="H867" s="1">
        <v>2863.2539999999999</v>
      </c>
      <c r="I867" s="1">
        <v>-3322.7910000000002</v>
      </c>
    </row>
    <row r="868" spans="1:9" hidden="1" x14ac:dyDescent="0.25">
      <c r="A868" s="1" t="s">
        <v>9</v>
      </c>
      <c r="B868" s="1" t="s">
        <v>225</v>
      </c>
      <c r="C868" s="1" t="s">
        <v>143</v>
      </c>
      <c r="D868" s="1">
        <v>720.88</v>
      </c>
      <c r="E868" s="1">
        <v>0</v>
      </c>
      <c r="F868" s="1">
        <v>76.84</v>
      </c>
      <c r="G868" s="1">
        <v>414.93299999999999</v>
      </c>
      <c r="H868" s="1">
        <v>3865.761</v>
      </c>
      <c r="I868" s="1">
        <v>-4325.2979999999998</v>
      </c>
    </row>
    <row r="869" spans="1:9" hidden="1" x14ac:dyDescent="0.25">
      <c r="A869" s="1" t="s">
        <v>9</v>
      </c>
      <c r="B869" s="1" t="s">
        <v>225</v>
      </c>
      <c r="C869" s="1" t="s">
        <v>3</v>
      </c>
      <c r="D869" s="1">
        <v>738.4</v>
      </c>
      <c r="E869" s="1">
        <v>0</v>
      </c>
      <c r="F869" s="1">
        <v>76.84</v>
      </c>
      <c r="G869" s="1">
        <v>414.93299999999999</v>
      </c>
      <c r="H869" s="1">
        <v>3735.4360000000001</v>
      </c>
      <c r="I869" s="1">
        <v>-4430.3879999999999</v>
      </c>
    </row>
    <row r="870" spans="1:9" hidden="1" x14ac:dyDescent="0.25">
      <c r="A870" s="1" t="s">
        <v>10</v>
      </c>
      <c r="B870" s="1" t="s">
        <v>225</v>
      </c>
      <c r="C870" s="1" t="s">
        <v>143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10</v>
      </c>
      <c r="B871" s="1" t="s">
        <v>225</v>
      </c>
      <c r="C871" s="1" t="s">
        <v>3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125</v>
      </c>
      <c r="B872" s="1" t="s">
        <v>226</v>
      </c>
      <c r="C872" s="1" t="s">
        <v>143</v>
      </c>
      <c r="D872" s="1">
        <v>298.95999999999998</v>
      </c>
      <c r="E872" s="1">
        <v>90.93</v>
      </c>
      <c r="F872" s="1">
        <v>0</v>
      </c>
      <c r="G872" s="1">
        <v>600.15700000000004</v>
      </c>
      <c r="H872" s="1">
        <v>1793.7619999999999</v>
      </c>
      <c r="I872" s="1">
        <v>-1793.7619999999999</v>
      </c>
    </row>
    <row r="873" spans="1:9" hidden="1" x14ac:dyDescent="0.25">
      <c r="A873" s="1" t="s">
        <v>125</v>
      </c>
      <c r="B873" s="1" t="s">
        <v>226</v>
      </c>
      <c r="C873" s="1" t="s">
        <v>3</v>
      </c>
      <c r="D873" s="1">
        <v>328.04</v>
      </c>
      <c r="E873" s="1">
        <v>90.93</v>
      </c>
      <c r="F873" s="1">
        <v>0</v>
      </c>
      <c r="G873" s="1">
        <v>600.15700000000004</v>
      </c>
      <c r="H873" s="1">
        <v>1968.211</v>
      </c>
      <c r="I873" s="1">
        <v>-1694.6010000000001</v>
      </c>
    </row>
    <row r="874" spans="1:9" hidden="1" x14ac:dyDescent="0.25">
      <c r="A874" s="1" t="s">
        <v>126</v>
      </c>
      <c r="B874" s="1" t="s">
        <v>226</v>
      </c>
      <c r="C874" s="1" t="s">
        <v>143</v>
      </c>
      <c r="D874" s="1">
        <v>627</v>
      </c>
      <c r="E874" s="1">
        <v>174.68</v>
      </c>
      <c r="F874" s="1">
        <v>0</v>
      </c>
      <c r="G874" s="1">
        <v>1153.7639999999999</v>
      </c>
      <c r="H874" s="1">
        <v>3761.973</v>
      </c>
      <c r="I874" s="1">
        <v>-3488.3629999999998</v>
      </c>
    </row>
    <row r="875" spans="1:9" hidden="1" x14ac:dyDescent="0.25">
      <c r="A875" s="1" t="s">
        <v>126</v>
      </c>
      <c r="B875" s="1" t="s">
        <v>226</v>
      </c>
      <c r="C875" s="1" t="s">
        <v>3</v>
      </c>
      <c r="D875" s="1">
        <v>656.07</v>
      </c>
      <c r="E875" s="1">
        <v>174.68</v>
      </c>
      <c r="F875" s="1">
        <v>0</v>
      </c>
      <c r="G875" s="1">
        <v>1153.7639999999999</v>
      </c>
      <c r="H875" s="1">
        <v>3936.422</v>
      </c>
      <c r="I875" s="1">
        <v>-3137.1680000000001</v>
      </c>
    </row>
    <row r="876" spans="1:9" hidden="1" x14ac:dyDescent="0.25">
      <c r="A876" s="1" t="s">
        <v>127</v>
      </c>
      <c r="B876" s="1" t="s">
        <v>226</v>
      </c>
      <c r="C876" s="1" t="s">
        <v>143</v>
      </c>
      <c r="D876" s="1">
        <v>955.03</v>
      </c>
      <c r="E876" s="1">
        <v>243.05</v>
      </c>
      <c r="F876" s="1">
        <v>0</v>
      </c>
      <c r="G876" s="1">
        <v>1607.0250000000001</v>
      </c>
      <c r="H876" s="1">
        <v>5730.1840000000002</v>
      </c>
      <c r="I876" s="1">
        <v>-4930.93</v>
      </c>
    </row>
    <row r="877" spans="1:9" hidden="1" x14ac:dyDescent="0.25">
      <c r="A877" s="1" t="s">
        <v>127</v>
      </c>
      <c r="B877" s="1" t="s">
        <v>226</v>
      </c>
      <c r="C877" s="1" t="s">
        <v>3</v>
      </c>
      <c r="D877" s="1">
        <v>984.11</v>
      </c>
      <c r="E877" s="1">
        <v>243.05</v>
      </c>
      <c r="F877" s="1">
        <v>0</v>
      </c>
      <c r="G877" s="1">
        <v>1607.0250000000001</v>
      </c>
      <c r="H877" s="1">
        <v>5904.6329999999998</v>
      </c>
      <c r="I877" s="1">
        <v>-4373.1409999999996</v>
      </c>
    </row>
    <row r="878" spans="1:9" hidden="1" x14ac:dyDescent="0.25">
      <c r="A878" s="1" t="s">
        <v>9</v>
      </c>
      <c r="B878" s="1" t="s">
        <v>226</v>
      </c>
      <c r="C878" s="1" t="s">
        <v>143</v>
      </c>
      <c r="D878" s="1">
        <v>1283.07</v>
      </c>
      <c r="E878" s="1">
        <v>289.55</v>
      </c>
      <c r="F878" s="1">
        <v>0</v>
      </c>
      <c r="G878" s="1">
        <v>1916.9390000000001</v>
      </c>
      <c r="H878" s="1">
        <v>7698.3950000000004</v>
      </c>
      <c r="I878" s="1">
        <v>-6166.9030000000002</v>
      </c>
    </row>
    <row r="879" spans="1:9" hidden="1" x14ac:dyDescent="0.25">
      <c r="A879" s="1" t="s">
        <v>9</v>
      </c>
      <c r="B879" s="1" t="s">
        <v>226</v>
      </c>
      <c r="C879" s="1" t="s">
        <v>3</v>
      </c>
      <c r="D879" s="1">
        <v>1312.14</v>
      </c>
      <c r="E879" s="1">
        <v>289.55</v>
      </c>
      <c r="F879" s="1">
        <v>0</v>
      </c>
      <c r="G879" s="1">
        <v>1916.9390000000001</v>
      </c>
      <c r="H879" s="1">
        <v>7872.8440000000001</v>
      </c>
      <c r="I879" s="1">
        <v>-5460.5010000000002</v>
      </c>
    </row>
    <row r="880" spans="1:9" hidden="1" x14ac:dyDescent="0.25">
      <c r="A880" s="1" t="s">
        <v>10</v>
      </c>
      <c r="B880" s="1" t="s">
        <v>226</v>
      </c>
      <c r="C880" s="1" t="s">
        <v>143</v>
      </c>
      <c r="D880" s="1">
        <v>0</v>
      </c>
      <c r="E880" s="1">
        <v>0</v>
      </c>
      <c r="F880" s="1">
        <v>0</v>
      </c>
      <c r="G880" s="1">
        <v>0</v>
      </c>
      <c r="H880" s="1">
        <v>0</v>
      </c>
      <c r="I880" s="1">
        <v>0</v>
      </c>
    </row>
    <row r="881" spans="1:9" hidden="1" x14ac:dyDescent="0.25">
      <c r="A881" s="1" t="s">
        <v>10</v>
      </c>
      <c r="B881" s="1" t="s">
        <v>226</v>
      </c>
      <c r="C881" s="1" t="s">
        <v>3</v>
      </c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</row>
    <row r="882" spans="1:9" hidden="1" x14ac:dyDescent="0.25">
      <c r="A882" s="1" t="s">
        <v>125</v>
      </c>
      <c r="B882" s="1" t="s">
        <v>227</v>
      </c>
      <c r="C882" s="1" t="s">
        <v>143</v>
      </c>
      <c r="D882" s="1">
        <v>298.95999999999998</v>
      </c>
      <c r="E882" s="1">
        <v>-90.93</v>
      </c>
      <c r="F882" s="1">
        <v>0</v>
      </c>
      <c r="G882" s="1">
        <v>-600.15700000000004</v>
      </c>
      <c r="H882" s="1">
        <v>1793.7619999999999</v>
      </c>
      <c r="I882" s="1">
        <v>-1793.7619999999999</v>
      </c>
    </row>
    <row r="883" spans="1:9" hidden="1" x14ac:dyDescent="0.25">
      <c r="A883" s="1" t="s">
        <v>125</v>
      </c>
      <c r="B883" s="1" t="s">
        <v>227</v>
      </c>
      <c r="C883" s="1" t="s">
        <v>3</v>
      </c>
      <c r="D883" s="1">
        <v>328.04</v>
      </c>
      <c r="E883" s="1">
        <v>-90.93</v>
      </c>
      <c r="F883" s="1">
        <v>0</v>
      </c>
      <c r="G883" s="1">
        <v>-600.15700000000004</v>
      </c>
      <c r="H883" s="1">
        <v>1968.211</v>
      </c>
      <c r="I883" s="1">
        <v>-2241.8209999999999</v>
      </c>
    </row>
    <row r="884" spans="1:9" hidden="1" x14ac:dyDescent="0.25">
      <c r="A884" s="1" t="s">
        <v>126</v>
      </c>
      <c r="B884" s="1" t="s">
        <v>227</v>
      </c>
      <c r="C884" s="1" t="s">
        <v>143</v>
      </c>
      <c r="D884" s="1">
        <v>627</v>
      </c>
      <c r="E884" s="1">
        <v>-174.68</v>
      </c>
      <c r="F884" s="1">
        <v>0</v>
      </c>
      <c r="G884" s="1">
        <v>-1153.7639999999999</v>
      </c>
      <c r="H884" s="1">
        <v>3761.973</v>
      </c>
      <c r="I884" s="1">
        <v>-4035.5819999999999</v>
      </c>
    </row>
    <row r="885" spans="1:9" hidden="1" x14ac:dyDescent="0.25">
      <c r="A885" s="1" t="s">
        <v>126</v>
      </c>
      <c r="B885" s="1" t="s">
        <v>227</v>
      </c>
      <c r="C885" s="1" t="s">
        <v>3</v>
      </c>
      <c r="D885" s="1">
        <v>656.07</v>
      </c>
      <c r="E885" s="1">
        <v>-174.68</v>
      </c>
      <c r="F885" s="1">
        <v>0</v>
      </c>
      <c r="G885" s="1">
        <v>-1153.7639999999999</v>
      </c>
      <c r="H885" s="1">
        <v>3936.422</v>
      </c>
      <c r="I885" s="1">
        <v>-4735.6760000000004</v>
      </c>
    </row>
    <row r="886" spans="1:9" hidden="1" x14ac:dyDescent="0.25">
      <c r="A886" s="1" t="s">
        <v>127</v>
      </c>
      <c r="B886" s="1" t="s">
        <v>227</v>
      </c>
      <c r="C886" s="1" t="s">
        <v>143</v>
      </c>
      <c r="D886" s="1">
        <v>955.03</v>
      </c>
      <c r="E886" s="1">
        <v>-243.05</v>
      </c>
      <c r="F886" s="1">
        <v>0</v>
      </c>
      <c r="G886" s="1">
        <v>-1607.0250000000001</v>
      </c>
      <c r="H886" s="1">
        <v>5730.1840000000002</v>
      </c>
      <c r="I886" s="1">
        <v>-6529.4380000000001</v>
      </c>
    </row>
    <row r="887" spans="1:9" hidden="1" x14ac:dyDescent="0.25">
      <c r="A887" s="1" t="s">
        <v>127</v>
      </c>
      <c r="B887" s="1" t="s">
        <v>227</v>
      </c>
      <c r="C887" s="1" t="s">
        <v>3</v>
      </c>
      <c r="D887" s="1">
        <v>984.11</v>
      </c>
      <c r="E887" s="1">
        <v>-243.05</v>
      </c>
      <c r="F887" s="1">
        <v>0</v>
      </c>
      <c r="G887" s="1">
        <v>-1607.0250000000001</v>
      </c>
      <c r="H887" s="1">
        <v>5904.6329999999998</v>
      </c>
      <c r="I887" s="1">
        <v>-7436.1239999999998</v>
      </c>
    </row>
    <row r="888" spans="1:9" hidden="1" x14ac:dyDescent="0.25">
      <c r="A888" s="1" t="s">
        <v>9</v>
      </c>
      <c r="B888" s="1" t="s">
        <v>227</v>
      </c>
      <c r="C888" s="1" t="s">
        <v>143</v>
      </c>
      <c r="D888" s="1">
        <v>1283.07</v>
      </c>
      <c r="E888" s="1">
        <v>-289.55</v>
      </c>
      <c r="F888" s="1">
        <v>0</v>
      </c>
      <c r="G888" s="1">
        <v>-1916.9390000000001</v>
      </c>
      <c r="H888" s="1">
        <v>7698.3950000000004</v>
      </c>
      <c r="I888" s="1">
        <v>-9229.8860000000004</v>
      </c>
    </row>
    <row r="889" spans="1:9" hidden="1" x14ac:dyDescent="0.25">
      <c r="A889" s="1" t="s">
        <v>9</v>
      </c>
      <c r="B889" s="1" t="s">
        <v>227</v>
      </c>
      <c r="C889" s="1" t="s">
        <v>3</v>
      </c>
      <c r="D889" s="1">
        <v>1312.14</v>
      </c>
      <c r="E889" s="1">
        <v>-289.55</v>
      </c>
      <c r="F889" s="1">
        <v>0</v>
      </c>
      <c r="G889" s="1">
        <v>-1916.9390000000001</v>
      </c>
      <c r="H889" s="1">
        <v>7872.8440000000001</v>
      </c>
      <c r="I889" s="1">
        <v>-10285.186</v>
      </c>
    </row>
    <row r="890" spans="1:9" hidden="1" x14ac:dyDescent="0.25">
      <c r="A890" s="1" t="s">
        <v>10</v>
      </c>
      <c r="B890" s="1" t="s">
        <v>227</v>
      </c>
      <c r="C890" s="1" t="s">
        <v>143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10</v>
      </c>
      <c r="B891" s="1" t="s">
        <v>227</v>
      </c>
      <c r="C891" s="1" t="s">
        <v>3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125</v>
      </c>
      <c r="B892" s="1" t="s">
        <v>228</v>
      </c>
      <c r="C892" s="1" t="s">
        <v>143</v>
      </c>
      <c r="D892" s="1">
        <v>278.91000000000003</v>
      </c>
      <c r="E892" s="1">
        <v>90.93</v>
      </c>
      <c r="F892" s="1">
        <v>0</v>
      </c>
      <c r="G892" s="1">
        <v>600.15700000000004</v>
      </c>
      <c r="H892" s="1">
        <v>1673.461</v>
      </c>
      <c r="I892" s="1">
        <v>-1673.461</v>
      </c>
    </row>
    <row r="893" spans="1:9" hidden="1" x14ac:dyDescent="0.25">
      <c r="A893" s="1" t="s">
        <v>125</v>
      </c>
      <c r="B893" s="1" t="s">
        <v>228</v>
      </c>
      <c r="C893" s="1" t="s">
        <v>3</v>
      </c>
      <c r="D893" s="1">
        <v>305.88</v>
      </c>
      <c r="E893" s="1">
        <v>90.93</v>
      </c>
      <c r="F893" s="1">
        <v>0</v>
      </c>
      <c r="G893" s="1">
        <v>600.15700000000004</v>
      </c>
      <c r="H893" s="1">
        <v>1835.299</v>
      </c>
      <c r="I893" s="1">
        <v>-1561.69</v>
      </c>
    </row>
    <row r="894" spans="1:9" hidden="1" x14ac:dyDescent="0.25">
      <c r="A894" s="1" t="s">
        <v>126</v>
      </c>
      <c r="B894" s="1" t="s">
        <v>228</v>
      </c>
      <c r="C894" s="1" t="s">
        <v>143</v>
      </c>
      <c r="D894" s="1">
        <v>584.79</v>
      </c>
      <c r="E894" s="1">
        <v>174.68</v>
      </c>
      <c r="F894" s="1">
        <v>0</v>
      </c>
      <c r="G894" s="1">
        <v>1153.7639999999999</v>
      </c>
      <c r="H894" s="1">
        <v>3508.76</v>
      </c>
      <c r="I894" s="1">
        <v>-3235.1509999999998</v>
      </c>
    </row>
    <row r="895" spans="1:9" hidden="1" x14ac:dyDescent="0.25">
      <c r="A895" s="1" t="s">
        <v>126</v>
      </c>
      <c r="B895" s="1" t="s">
        <v>228</v>
      </c>
      <c r="C895" s="1" t="s">
        <v>3</v>
      </c>
      <c r="D895" s="1">
        <v>611.77</v>
      </c>
      <c r="E895" s="1">
        <v>174.68</v>
      </c>
      <c r="F895" s="1">
        <v>0</v>
      </c>
      <c r="G895" s="1">
        <v>1153.7639999999999</v>
      </c>
      <c r="H895" s="1">
        <v>3670.5990000000002</v>
      </c>
      <c r="I895" s="1">
        <v>-2871.3440000000001</v>
      </c>
    </row>
    <row r="896" spans="1:9" hidden="1" x14ac:dyDescent="0.25">
      <c r="A896" s="1" t="s">
        <v>127</v>
      </c>
      <c r="B896" s="1" t="s">
        <v>228</v>
      </c>
      <c r="C896" s="1" t="s">
        <v>143</v>
      </c>
      <c r="D896" s="1">
        <v>890.68</v>
      </c>
      <c r="E896" s="1">
        <v>243.05</v>
      </c>
      <c r="F896" s="1">
        <v>0</v>
      </c>
      <c r="G896" s="1">
        <v>1607.0250000000001</v>
      </c>
      <c r="H896" s="1">
        <v>5344.06</v>
      </c>
      <c r="I896" s="1">
        <v>-4544.8059999999996</v>
      </c>
    </row>
    <row r="897" spans="1:9" hidden="1" x14ac:dyDescent="0.25">
      <c r="A897" s="1" t="s">
        <v>127</v>
      </c>
      <c r="B897" s="1" t="s">
        <v>228</v>
      </c>
      <c r="C897" s="1" t="s">
        <v>3</v>
      </c>
      <c r="D897" s="1">
        <v>917.65</v>
      </c>
      <c r="E897" s="1">
        <v>243.05</v>
      </c>
      <c r="F897" s="1">
        <v>0</v>
      </c>
      <c r="G897" s="1">
        <v>1607.0250000000001</v>
      </c>
      <c r="H897" s="1">
        <v>5505.8980000000001</v>
      </c>
      <c r="I897" s="1">
        <v>-3974.4059999999999</v>
      </c>
    </row>
    <row r="898" spans="1:9" hidden="1" x14ac:dyDescent="0.25">
      <c r="A898" s="1" t="s">
        <v>9</v>
      </c>
      <c r="B898" s="1" t="s">
        <v>228</v>
      </c>
      <c r="C898" s="1" t="s">
        <v>143</v>
      </c>
      <c r="D898" s="1">
        <v>1196.56</v>
      </c>
      <c r="E898" s="1">
        <v>289.55</v>
      </c>
      <c r="F898" s="1">
        <v>0</v>
      </c>
      <c r="G898" s="1">
        <v>1916.9390000000001</v>
      </c>
      <c r="H898" s="1">
        <v>7179.3590000000004</v>
      </c>
      <c r="I898" s="1">
        <v>-5647.8670000000002</v>
      </c>
    </row>
    <row r="899" spans="1:9" hidden="1" x14ac:dyDescent="0.25">
      <c r="A899" s="1" t="s">
        <v>9</v>
      </c>
      <c r="B899" s="1" t="s">
        <v>228</v>
      </c>
      <c r="C899" s="1" t="s">
        <v>3</v>
      </c>
      <c r="D899" s="1">
        <v>1223.53</v>
      </c>
      <c r="E899" s="1">
        <v>289.55</v>
      </c>
      <c r="F899" s="1">
        <v>0</v>
      </c>
      <c r="G899" s="1">
        <v>1916.9390000000001</v>
      </c>
      <c r="H899" s="1">
        <v>7341.1970000000001</v>
      </c>
      <c r="I899" s="1">
        <v>-4928.8549999999996</v>
      </c>
    </row>
    <row r="900" spans="1:9" hidden="1" x14ac:dyDescent="0.25">
      <c r="A900" s="1" t="s">
        <v>10</v>
      </c>
      <c r="B900" s="1" t="s">
        <v>228</v>
      </c>
      <c r="C900" s="1" t="s">
        <v>143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10</v>
      </c>
      <c r="B901" s="1" t="s">
        <v>228</v>
      </c>
      <c r="C901" s="1" t="s">
        <v>3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125</v>
      </c>
      <c r="B902" s="1" t="s">
        <v>229</v>
      </c>
      <c r="C902" s="1" t="s">
        <v>143</v>
      </c>
      <c r="D902" s="1">
        <v>278.91000000000003</v>
      </c>
      <c r="E902" s="1">
        <v>-90.93</v>
      </c>
      <c r="F902" s="1">
        <v>0</v>
      </c>
      <c r="G902" s="1">
        <v>-600.15700000000004</v>
      </c>
      <c r="H902" s="1">
        <v>1673.461</v>
      </c>
      <c r="I902" s="1">
        <v>-1673.461</v>
      </c>
    </row>
    <row r="903" spans="1:9" hidden="1" x14ac:dyDescent="0.25">
      <c r="A903" s="1" t="s">
        <v>125</v>
      </c>
      <c r="B903" s="1" t="s">
        <v>229</v>
      </c>
      <c r="C903" s="1" t="s">
        <v>3</v>
      </c>
      <c r="D903" s="1">
        <v>305.88</v>
      </c>
      <c r="E903" s="1">
        <v>-90.93</v>
      </c>
      <c r="F903" s="1">
        <v>0</v>
      </c>
      <c r="G903" s="1">
        <v>-600.15700000000004</v>
      </c>
      <c r="H903" s="1">
        <v>1835.299</v>
      </c>
      <c r="I903" s="1">
        <v>-2108.9090000000001</v>
      </c>
    </row>
    <row r="904" spans="1:9" hidden="1" x14ac:dyDescent="0.25">
      <c r="A904" s="1" t="s">
        <v>126</v>
      </c>
      <c r="B904" s="1" t="s">
        <v>229</v>
      </c>
      <c r="C904" s="1" t="s">
        <v>143</v>
      </c>
      <c r="D904" s="1">
        <v>584.79</v>
      </c>
      <c r="E904" s="1">
        <v>-174.68</v>
      </c>
      <c r="F904" s="1">
        <v>0</v>
      </c>
      <c r="G904" s="1">
        <v>-1153.7639999999999</v>
      </c>
      <c r="H904" s="1">
        <v>3508.76</v>
      </c>
      <c r="I904" s="1">
        <v>-3782.37</v>
      </c>
    </row>
    <row r="905" spans="1:9" hidden="1" x14ac:dyDescent="0.25">
      <c r="A905" s="1" t="s">
        <v>126</v>
      </c>
      <c r="B905" s="1" t="s">
        <v>229</v>
      </c>
      <c r="C905" s="1" t="s">
        <v>3</v>
      </c>
      <c r="D905" s="1">
        <v>611.77</v>
      </c>
      <c r="E905" s="1">
        <v>-174.68</v>
      </c>
      <c r="F905" s="1">
        <v>0</v>
      </c>
      <c r="G905" s="1">
        <v>-1153.7639999999999</v>
      </c>
      <c r="H905" s="1">
        <v>3670.598</v>
      </c>
      <c r="I905" s="1">
        <v>-4469.8530000000001</v>
      </c>
    </row>
    <row r="906" spans="1:9" hidden="1" x14ac:dyDescent="0.25">
      <c r="A906" s="1" t="s">
        <v>127</v>
      </c>
      <c r="B906" s="1" t="s">
        <v>229</v>
      </c>
      <c r="C906" s="1" t="s">
        <v>143</v>
      </c>
      <c r="D906" s="1">
        <v>890.68</v>
      </c>
      <c r="E906" s="1">
        <v>-243.05</v>
      </c>
      <c r="F906" s="1">
        <v>0</v>
      </c>
      <c r="G906" s="1">
        <v>-1607.0250000000001</v>
      </c>
      <c r="H906" s="1">
        <v>5344.06</v>
      </c>
      <c r="I906" s="1">
        <v>-6143.3140000000003</v>
      </c>
    </row>
    <row r="907" spans="1:9" hidden="1" x14ac:dyDescent="0.25">
      <c r="A907" s="1" t="s">
        <v>127</v>
      </c>
      <c r="B907" s="1" t="s">
        <v>229</v>
      </c>
      <c r="C907" s="1" t="s">
        <v>3</v>
      </c>
      <c r="D907" s="1">
        <v>917.65</v>
      </c>
      <c r="E907" s="1">
        <v>-243.05</v>
      </c>
      <c r="F907" s="1">
        <v>0</v>
      </c>
      <c r="G907" s="1">
        <v>-1607.0250000000001</v>
      </c>
      <c r="H907" s="1">
        <v>5505.8980000000001</v>
      </c>
      <c r="I907" s="1">
        <v>-7037.39</v>
      </c>
    </row>
    <row r="908" spans="1:9" hidden="1" x14ac:dyDescent="0.25">
      <c r="A908" s="1" t="s">
        <v>9</v>
      </c>
      <c r="B908" s="1" t="s">
        <v>229</v>
      </c>
      <c r="C908" s="1" t="s">
        <v>143</v>
      </c>
      <c r="D908" s="1">
        <v>1196.56</v>
      </c>
      <c r="E908" s="1">
        <v>-289.55</v>
      </c>
      <c r="F908" s="1">
        <v>0</v>
      </c>
      <c r="G908" s="1">
        <v>-1916.9390000000001</v>
      </c>
      <c r="H908" s="1">
        <v>7179.3590000000004</v>
      </c>
      <c r="I908" s="1">
        <v>-8710.8510000000006</v>
      </c>
    </row>
    <row r="909" spans="1:9" hidden="1" x14ac:dyDescent="0.25">
      <c r="A909" s="1" t="s">
        <v>9</v>
      </c>
      <c r="B909" s="1" t="s">
        <v>229</v>
      </c>
      <c r="C909" s="1" t="s">
        <v>3</v>
      </c>
      <c r="D909" s="1">
        <v>1223.53</v>
      </c>
      <c r="E909" s="1">
        <v>-289.55</v>
      </c>
      <c r="F909" s="1">
        <v>0</v>
      </c>
      <c r="G909" s="1">
        <v>-1916.9390000000001</v>
      </c>
      <c r="H909" s="1">
        <v>7341.1970000000001</v>
      </c>
      <c r="I909" s="1">
        <v>-9753.5400000000009</v>
      </c>
    </row>
    <row r="910" spans="1:9" hidden="1" x14ac:dyDescent="0.25">
      <c r="A910" s="1" t="s">
        <v>10</v>
      </c>
      <c r="B910" s="1" t="s">
        <v>229</v>
      </c>
      <c r="C910" s="1" t="s">
        <v>143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10</v>
      </c>
      <c r="B911" s="1" t="s">
        <v>229</v>
      </c>
      <c r="C911" s="1" t="s">
        <v>3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0</v>
      </c>
    </row>
    <row r="912" spans="1:9" hidden="1" x14ac:dyDescent="0.25">
      <c r="A912" s="1" t="s">
        <v>125</v>
      </c>
      <c r="B912" s="1" t="s">
        <v>230</v>
      </c>
      <c r="C912" s="1" t="s">
        <v>143</v>
      </c>
      <c r="D912" s="1">
        <v>298.95999999999998</v>
      </c>
      <c r="E912" s="1">
        <v>0</v>
      </c>
      <c r="F912" s="1">
        <v>83.36</v>
      </c>
      <c r="G912" s="1">
        <v>550.14400000000001</v>
      </c>
      <c r="H912" s="1">
        <v>1793.7619999999999</v>
      </c>
      <c r="I912" s="1">
        <v>-1793.7619999999999</v>
      </c>
    </row>
    <row r="913" spans="1:9" hidden="1" x14ac:dyDescent="0.25">
      <c r="A913" s="1" t="s">
        <v>125</v>
      </c>
      <c r="B913" s="1" t="s">
        <v>230</v>
      </c>
      <c r="C913" s="1" t="s">
        <v>3</v>
      </c>
      <c r="D913" s="1">
        <v>328.04</v>
      </c>
      <c r="E913" s="1">
        <v>0</v>
      </c>
      <c r="F913" s="1">
        <v>83.36</v>
      </c>
      <c r="G913" s="1">
        <v>550.14400000000001</v>
      </c>
      <c r="H913" s="1">
        <v>2219.02</v>
      </c>
      <c r="I913" s="1">
        <v>-1968.211</v>
      </c>
    </row>
    <row r="914" spans="1:9" hidden="1" x14ac:dyDescent="0.25">
      <c r="A914" s="1" t="s">
        <v>126</v>
      </c>
      <c r="B914" s="1" t="s">
        <v>230</v>
      </c>
      <c r="C914" s="1" t="s">
        <v>143</v>
      </c>
      <c r="D914" s="1">
        <v>627</v>
      </c>
      <c r="E914" s="1">
        <v>0</v>
      </c>
      <c r="F914" s="1">
        <v>160.13</v>
      </c>
      <c r="G914" s="1">
        <v>1057.617</v>
      </c>
      <c r="H914" s="1">
        <v>4012.7820000000002</v>
      </c>
      <c r="I914" s="1">
        <v>-3761.973</v>
      </c>
    </row>
    <row r="915" spans="1:9" hidden="1" x14ac:dyDescent="0.25">
      <c r="A915" s="1" t="s">
        <v>126</v>
      </c>
      <c r="B915" s="1" t="s">
        <v>230</v>
      </c>
      <c r="C915" s="1" t="s">
        <v>3</v>
      </c>
      <c r="D915" s="1">
        <v>656.07</v>
      </c>
      <c r="E915" s="1">
        <v>0</v>
      </c>
      <c r="F915" s="1">
        <v>160.13</v>
      </c>
      <c r="G915" s="1">
        <v>1057.617</v>
      </c>
      <c r="H915" s="1">
        <v>4669.0709999999999</v>
      </c>
      <c r="I915" s="1">
        <v>-3936.422</v>
      </c>
    </row>
    <row r="916" spans="1:9" hidden="1" x14ac:dyDescent="0.25">
      <c r="A916" s="1" t="s">
        <v>127</v>
      </c>
      <c r="B916" s="1" t="s">
        <v>230</v>
      </c>
      <c r="C916" s="1" t="s">
        <v>143</v>
      </c>
      <c r="D916" s="1">
        <v>955.03</v>
      </c>
      <c r="E916" s="1">
        <v>0</v>
      </c>
      <c r="F916" s="1">
        <v>222.8</v>
      </c>
      <c r="G916" s="1">
        <v>1473.106</v>
      </c>
      <c r="H916" s="1">
        <v>6462.8329999999996</v>
      </c>
      <c r="I916" s="1">
        <v>-5730.1840000000002</v>
      </c>
    </row>
    <row r="917" spans="1:9" hidden="1" x14ac:dyDescent="0.25">
      <c r="A917" s="1" t="s">
        <v>127</v>
      </c>
      <c r="B917" s="1" t="s">
        <v>230</v>
      </c>
      <c r="C917" s="1" t="s">
        <v>3</v>
      </c>
      <c r="D917" s="1">
        <v>984.11</v>
      </c>
      <c r="E917" s="1">
        <v>0</v>
      </c>
      <c r="F917" s="1">
        <v>222.8</v>
      </c>
      <c r="G917" s="1">
        <v>1473.106</v>
      </c>
      <c r="H917" s="1">
        <v>7308.5</v>
      </c>
      <c r="I917" s="1">
        <v>-5904.6329999999998</v>
      </c>
    </row>
    <row r="918" spans="1:9" hidden="1" x14ac:dyDescent="0.25">
      <c r="A918" s="1" t="s">
        <v>9</v>
      </c>
      <c r="B918" s="1" t="s">
        <v>230</v>
      </c>
      <c r="C918" s="1" t="s">
        <v>143</v>
      </c>
      <c r="D918" s="1">
        <v>1283.07</v>
      </c>
      <c r="E918" s="1">
        <v>0</v>
      </c>
      <c r="F918" s="1">
        <v>265.42</v>
      </c>
      <c r="G918" s="1">
        <v>1757.194</v>
      </c>
      <c r="H918" s="1">
        <v>9102.2620000000006</v>
      </c>
      <c r="I918" s="1">
        <v>-7698.3950000000004</v>
      </c>
    </row>
    <row r="919" spans="1:9" hidden="1" x14ac:dyDescent="0.25">
      <c r="A919" s="1" t="s">
        <v>9</v>
      </c>
      <c r="B919" s="1" t="s">
        <v>230</v>
      </c>
      <c r="C919" s="1" t="s">
        <v>3</v>
      </c>
      <c r="D919" s="1">
        <v>1312.14</v>
      </c>
      <c r="E919" s="1">
        <v>0</v>
      </c>
      <c r="F919" s="1">
        <v>265.42</v>
      </c>
      <c r="G919" s="1">
        <v>1757.194</v>
      </c>
      <c r="H919" s="1">
        <v>10084.156999999999</v>
      </c>
      <c r="I919" s="1">
        <v>-7872.8440000000001</v>
      </c>
    </row>
    <row r="920" spans="1:9" hidden="1" x14ac:dyDescent="0.25">
      <c r="A920" s="1" t="s">
        <v>10</v>
      </c>
      <c r="B920" s="1" t="s">
        <v>230</v>
      </c>
      <c r="C920" s="1" t="s">
        <v>143</v>
      </c>
      <c r="D920" s="1">
        <v>0</v>
      </c>
      <c r="E920" s="1">
        <v>0</v>
      </c>
      <c r="F920" s="1">
        <v>0</v>
      </c>
      <c r="G920" s="1">
        <v>0</v>
      </c>
      <c r="H920" s="1">
        <v>0</v>
      </c>
      <c r="I920" s="1">
        <v>0</v>
      </c>
    </row>
    <row r="921" spans="1:9" hidden="1" x14ac:dyDescent="0.25">
      <c r="A921" s="1" t="s">
        <v>10</v>
      </c>
      <c r="B921" s="1" t="s">
        <v>230</v>
      </c>
      <c r="C921" s="1" t="s">
        <v>3</v>
      </c>
      <c r="D921" s="1">
        <v>0</v>
      </c>
      <c r="E921" s="1">
        <v>0</v>
      </c>
      <c r="F921" s="1">
        <v>0</v>
      </c>
      <c r="G921" s="1">
        <v>0</v>
      </c>
      <c r="H921" s="1">
        <v>0</v>
      </c>
      <c r="I921" s="1">
        <v>0</v>
      </c>
    </row>
    <row r="922" spans="1:9" hidden="1" x14ac:dyDescent="0.25">
      <c r="A922" s="1" t="s">
        <v>125</v>
      </c>
      <c r="B922" s="1" t="s">
        <v>231</v>
      </c>
      <c r="C922" s="1" t="s">
        <v>143</v>
      </c>
      <c r="D922" s="1">
        <v>298.95999999999998</v>
      </c>
      <c r="E922" s="1">
        <v>0</v>
      </c>
      <c r="F922" s="1">
        <v>-83.36</v>
      </c>
      <c r="G922" s="1">
        <v>-550.14400000000001</v>
      </c>
      <c r="H922" s="1">
        <v>1793.7619999999999</v>
      </c>
      <c r="I922" s="1">
        <v>-1793.7619999999999</v>
      </c>
    </row>
    <row r="923" spans="1:9" hidden="1" x14ac:dyDescent="0.25">
      <c r="A923" s="1" t="s">
        <v>125</v>
      </c>
      <c r="B923" s="1" t="s">
        <v>231</v>
      </c>
      <c r="C923" s="1" t="s">
        <v>3</v>
      </c>
      <c r="D923" s="1">
        <v>328.04</v>
      </c>
      <c r="E923" s="1">
        <v>0</v>
      </c>
      <c r="F923" s="1">
        <v>-83.36</v>
      </c>
      <c r="G923" s="1">
        <v>-550.14400000000001</v>
      </c>
      <c r="H923" s="1">
        <v>1717.402</v>
      </c>
      <c r="I923" s="1">
        <v>-1968.211</v>
      </c>
    </row>
    <row r="924" spans="1:9" hidden="1" x14ac:dyDescent="0.25">
      <c r="A924" s="1" t="s">
        <v>126</v>
      </c>
      <c r="B924" s="1" t="s">
        <v>231</v>
      </c>
      <c r="C924" s="1" t="s">
        <v>143</v>
      </c>
      <c r="D924" s="1">
        <v>627</v>
      </c>
      <c r="E924" s="1">
        <v>0</v>
      </c>
      <c r="F924" s="1">
        <v>-160.13</v>
      </c>
      <c r="G924" s="1">
        <v>-1057.617</v>
      </c>
      <c r="H924" s="1">
        <v>3511.1640000000002</v>
      </c>
      <c r="I924" s="1">
        <v>-3761.973</v>
      </c>
    </row>
    <row r="925" spans="1:9" hidden="1" x14ac:dyDescent="0.25">
      <c r="A925" s="1" t="s">
        <v>126</v>
      </c>
      <c r="B925" s="1" t="s">
        <v>231</v>
      </c>
      <c r="C925" s="1" t="s">
        <v>3</v>
      </c>
      <c r="D925" s="1">
        <v>656.07</v>
      </c>
      <c r="E925" s="1">
        <v>0</v>
      </c>
      <c r="F925" s="1">
        <v>-160.13</v>
      </c>
      <c r="G925" s="1">
        <v>-1057.617</v>
      </c>
      <c r="H925" s="1">
        <v>3203.7719999999999</v>
      </c>
      <c r="I925" s="1">
        <v>-3936.422</v>
      </c>
    </row>
    <row r="926" spans="1:9" hidden="1" x14ac:dyDescent="0.25">
      <c r="A926" s="1" t="s">
        <v>127</v>
      </c>
      <c r="B926" s="1" t="s">
        <v>231</v>
      </c>
      <c r="C926" s="1" t="s">
        <v>143</v>
      </c>
      <c r="D926" s="1">
        <v>955.03</v>
      </c>
      <c r="E926" s="1">
        <v>0</v>
      </c>
      <c r="F926" s="1">
        <v>-222.8</v>
      </c>
      <c r="G926" s="1">
        <v>-1473.106</v>
      </c>
      <c r="H926" s="1">
        <v>4997.5339999999997</v>
      </c>
      <c r="I926" s="1">
        <v>-5730.1840000000002</v>
      </c>
    </row>
    <row r="927" spans="1:9" hidden="1" x14ac:dyDescent="0.25">
      <c r="A927" s="1" t="s">
        <v>127</v>
      </c>
      <c r="B927" s="1" t="s">
        <v>231</v>
      </c>
      <c r="C927" s="1" t="s">
        <v>3</v>
      </c>
      <c r="D927" s="1">
        <v>984.11</v>
      </c>
      <c r="E927" s="1">
        <v>0</v>
      </c>
      <c r="F927" s="1">
        <v>-222.8</v>
      </c>
      <c r="G927" s="1">
        <v>-1473.106</v>
      </c>
      <c r="H927" s="1">
        <v>4500.7650000000003</v>
      </c>
      <c r="I927" s="1">
        <v>-5904.6329999999998</v>
      </c>
    </row>
    <row r="928" spans="1:9" hidden="1" x14ac:dyDescent="0.25">
      <c r="A928" s="1" t="s">
        <v>9</v>
      </c>
      <c r="B928" s="1" t="s">
        <v>231</v>
      </c>
      <c r="C928" s="1" t="s">
        <v>143</v>
      </c>
      <c r="D928" s="1">
        <v>1283.07</v>
      </c>
      <c r="E928" s="1">
        <v>0</v>
      </c>
      <c r="F928" s="1">
        <v>-265.42</v>
      </c>
      <c r="G928" s="1">
        <v>-1757.194</v>
      </c>
      <c r="H928" s="1">
        <v>6294.527</v>
      </c>
      <c r="I928" s="1">
        <v>-7698.3950000000004</v>
      </c>
    </row>
    <row r="929" spans="1:9" hidden="1" x14ac:dyDescent="0.25">
      <c r="A929" s="1" t="s">
        <v>9</v>
      </c>
      <c r="B929" s="1" t="s">
        <v>231</v>
      </c>
      <c r="C929" s="1" t="s">
        <v>3</v>
      </c>
      <c r="D929" s="1">
        <v>1312.14</v>
      </c>
      <c r="E929" s="1">
        <v>0</v>
      </c>
      <c r="F929" s="1">
        <v>-265.42</v>
      </c>
      <c r="G929" s="1">
        <v>-1757.194</v>
      </c>
      <c r="H929" s="1">
        <v>5661.53</v>
      </c>
      <c r="I929" s="1">
        <v>-7872.8440000000001</v>
      </c>
    </row>
    <row r="930" spans="1:9" hidden="1" x14ac:dyDescent="0.25">
      <c r="A930" s="1" t="s">
        <v>10</v>
      </c>
      <c r="B930" s="1" t="s">
        <v>231</v>
      </c>
      <c r="C930" s="1" t="s">
        <v>143</v>
      </c>
      <c r="D930" s="1">
        <v>0</v>
      </c>
      <c r="E930" s="1">
        <v>0</v>
      </c>
      <c r="F930" s="1">
        <v>0</v>
      </c>
      <c r="G930" s="1">
        <v>0</v>
      </c>
      <c r="H930" s="1">
        <v>0</v>
      </c>
      <c r="I930" s="1">
        <v>0</v>
      </c>
    </row>
    <row r="931" spans="1:9" hidden="1" x14ac:dyDescent="0.25">
      <c r="A931" s="1" t="s">
        <v>10</v>
      </c>
      <c r="B931" s="1" t="s">
        <v>231</v>
      </c>
      <c r="C931" s="1" t="s">
        <v>3</v>
      </c>
      <c r="D931" s="1">
        <v>0</v>
      </c>
      <c r="E931" s="1">
        <v>0</v>
      </c>
      <c r="F931" s="1">
        <v>0</v>
      </c>
      <c r="G931" s="1">
        <v>0</v>
      </c>
      <c r="H931" s="1">
        <v>0</v>
      </c>
      <c r="I931" s="1">
        <v>0</v>
      </c>
    </row>
    <row r="932" spans="1:9" hidden="1" x14ac:dyDescent="0.25">
      <c r="A932" s="1" t="s">
        <v>125</v>
      </c>
      <c r="B932" s="1" t="s">
        <v>232</v>
      </c>
      <c r="C932" s="1" t="s">
        <v>143</v>
      </c>
      <c r="D932" s="1">
        <v>278.91000000000003</v>
      </c>
      <c r="E932" s="1">
        <v>0</v>
      </c>
      <c r="F932" s="1">
        <v>83.36</v>
      </c>
      <c r="G932" s="1">
        <v>550.14400000000001</v>
      </c>
      <c r="H932" s="1">
        <v>1673.461</v>
      </c>
      <c r="I932" s="1">
        <v>-1673.461</v>
      </c>
    </row>
    <row r="933" spans="1:9" hidden="1" x14ac:dyDescent="0.25">
      <c r="A933" s="1" t="s">
        <v>125</v>
      </c>
      <c r="B933" s="1" t="s">
        <v>232</v>
      </c>
      <c r="C933" s="1" t="s">
        <v>3</v>
      </c>
      <c r="D933" s="1">
        <v>305.88</v>
      </c>
      <c r="E933" s="1">
        <v>0</v>
      </c>
      <c r="F933" s="1">
        <v>83.36</v>
      </c>
      <c r="G933" s="1">
        <v>550.14400000000001</v>
      </c>
      <c r="H933" s="1">
        <v>2086.1080000000002</v>
      </c>
      <c r="I933" s="1">
        <v>-1835.299</v>
      </c>
    </row>
    <row r="934" spans="1:9" hidden="1" x14ac:dyDescent="0.25">
      <c r="A934" s="1" t="s">
        <v>126</v>
      </c>
      <c r="B934" s="1" t="s">
        <v>232</v>
      </c>
      <c r="C934" s="1" t="s">
        <v>143</v>
      </c>
      <c r="D934" s="1">
        <v>584.79</v>
      </c>
      <c r="E934" s="1">
        <v>0</v>
      </c>
      <c r="F934" s="1">
        <v>160.13</v>
      </c>
      <c r="G934" s="1">
        <v>1057.617</v>
      </c>
      <c r="H934" s="1">
        <v>3759.569</v>
      </c>
      <c r="I934" s="1">
        <v>-3508.76</v>
      </c>
    </row>
    <row r="935" spans="1:9" hidden="1" x14ac:dyDescent="0.25">
      <c r="A935" s="1" t="s">
        <v>126</v>
      </c>
      <c r="B935" s="1" t="s">
        <v>232</v>
      </c>
      <c r="C935" s="1" t="s">
        <v>3</v>
      </c>
      <c r="D935" s="1">
        <v>611.77</v>
      </c>
      <c r="E935" s="1">
        <v>0</v>
      </c>
      <c r="F935" s="1">
        <v>160.13</v>
      </c>
      <c r="G935" s="1">
        <v>1057.617</v>
      </c>
      <c r="H935" s="1">
        <v>4403.2479999999996</v>
      </c>
      <c r="I935" s="1">
        <v>-3670.598</v>
      </c>
    </row>
    <row r="936" spans="1:9" hidden="1" x14ac:dyDescent="0.25">
      <c r="A936" s="1" t="s">
        <v>127</v>
      </c>
      <c r="B936" s="1" t="s">
        <v>232</v>
      </c>
      <c r="C936" s="1" t="s">
        <v>143</v>
      </c>
      <c r="D936" s="1">
        <v>890.68</v>
      </c>
      <c r="E936" s="1">
        <v>0</v>
      </c>
      <c r="F936" s="1">
        <v>222.8</v>
      </c>
      <c r="G936" s="1">
        <v>1473.106</v>
      </c>
      <c r="H936" s="1">
        <v>6076.7089999999998</v>
      </c>
      <c r="I936" s="1">
        <v>-5344.06</v>
      </c>
    </row>
    <row r="937" spans="1:9" hidden="1" x14ac:dyDescent="0.25">
      <c r="A937" s="1" t="s">
        <v>127</v>
      </c>
      <c r="B937" s="1" t="s">
        <v>232</v>
      </c>
      <c r="C937" s="1" t="s">
        <v>3</v>
      </c>
      <c r="D937" s="1">
        <v>917.65</v>
      </c>
      <c r="E937" s="1">
        <v>0</v>
      </c>
      <c r="F937" s="1">
        <v>222.8</v>
      </c>
      <c r="G937" s="1">
        <v>1473.106</v>
      </c>
      <c r="H937" s="1">
        <v>6909.7650000000003</v>
      </c>
      <c r="I937" s="1">
        <v>-5505.8980000000001</v>
      </c>
    </row>
    <row r="938" spans="1:9" hidden="1" x14ac:dyDescent="0.25">
      <c r="A938" s="1" t="s">
        <v>9</v>
      </c>
      <c r="B938" s="1" t="s">
        <v>232</v>
      </c>
      <c r="C938" s="1" t="s">
        <v>143</v>
      </c>
      <c r="D938" s="1">
        <v>1196.56</v>
      </c>
      <c r="E938" s="1">
        <v>0</v>
      </c>
      <c r="F938" s="1">
        <v>265.42</v>
      </c>
      <c r="G938" s="1">
        <v>1757.194</v>
      </c>
      <c r="H938" s="1">
        <v>8583.2260000000006</v>
      </c>
      <c r="I938" s="1">
        <v>-7179.3590000000004</v>
      </c>
    </row>
    <row r="939" spans="1:9" hidden="1" x14ac:dyDescent="0.25">
      <c r="A939" s="1" t="s">
        <v>9</v>
      </c>
      <c r="B939" s="1" t="s">
        <v>232</v>
      </c>
      <c r="C939" s="1" t="s">
        <v>3</v>
      </c>
      <c r="D939" s="1">
        <v>1223.53</v>
      </c>
      <c r="E939" s="1">
        <v>0</v>
      </c>
      <c r="F939" s="1">
        <v>265.42</v>
      </c>
      <c r="G939" s="1">
        <v>1757.194</v>
      </c>
      <c r="H939" s="1">
        <v>9552.5110000000004</v>
      </c>
      <c r="I939" s="1">
        <v>-7341.1970000000001</v>
      </c>
    </row>
    <row r="940" spans="1:9" hidden="1" x14ac:dyDescent="0.25">
      <c r="A940" s="1" t="s">
        <v>10</v>
      </c>
      <c r="B940" s="1" t="s">
        <v>232</v>
      </c>
      <c r="C940" s="1" t="s">
        <v>143</v>
      </c>
      <c r="D940" s="1">
        <v>0</v>
      </c>
      <c r="E940" s="1">
        <v>0</v>
      </c>
      <c r="F940" s="1">
        <v>0</v>
      </c>
      <c r="G940" s="1">
        <v>0</v>
      </c>
      <c r="H940" s="1">
        <v>0</v>
      </c>
      <c r="I940" s="1">
        <v>0</v>
      </c>
    </row>
    <row r="941" spans="1:9" hidden="1" x14ac:dyDescent="0.25">
      <c r="A941" s="1" t="s">
        <v>10</v>
      </c>
      <c r="B941" s="1" t="s">
        <v>232</v>
      </c>
      <c r="C941" s="1" t="s">
        <v>3</v>
      </c>
      <c r="D941" s="1">
        <v>0</v>
      </c>
      <c r="E941" s="1">
        <v>0</v>
      </c>
      <c r="F941" s="1">
        <v>0</v>
      </c>
      <c r="G941" s="1">
        <v>0</v>
      </c>
      <c r="H941" s="1">
        <v>0</v>
      </c>
      <c r="I941" s="1">
        <v>0</v>
      </c>
    </row>
    <row r="942" spans="1:9" hidden="1" x14ac:dyDescent="0.25">
      <c r="A942" s="1" t="s">
        <v>125</v>
      </c>
      <c r="B942" s="1" t="s">
        <v>233</v>
      </c>
      <c r="C942" s="1" t="s">
        <v>143</v>
      </c>
      <c r="D942" s="1">
        <v>278.91000000000003</v>
      </c>
      <c r="E942" s="1">
        <v>0</v>
      </c>
      <c r="F942" s="1">
        <v>-83.36</v>
      </c>
      <c r="G942" s="1">
        <v>-550.14400000000001</v>
      </c>
      <c r="H942" s="1">
        <v>1673.461</v>
      </c>
      <c r="I942" s="1">
        <v>-1673.461</v>
      </c>
    </row>
    <row r="943" spans="1:9" hidden="1" x14ac:dyDescent="0.25">
      <c r="A943" s="1" t="s">
        <v>125</v>
      </c>
      <c r="B943" s="1" t="s">
        <v>233</v>
      </c>
      <c r="C943" s="1" t="s">
        <v>3</v>
      </c>
      <c r="D943" s="1">
        <v>305.88</v>
      </c>
      <c r="E943" s="1">
        <v>0</v>
      </c>
      <c r="F943" s="1">
        <v>-83.36</v>
      </c>
      <c r="G943" s="1">
        <v>-550.14400000000001</v>
      </c>
      <c r="H943" s="1">
        <v>1584.49</v>
      </c>
      <c r="I943" s="1">
        <v>-1835.299</v>
      </c>
    </row>
    <row r="944" spans="1:9" hidden="1" x14ac:dyDescent="0.25">
      <c r="A944" s="1" t="s">
        <v>126</v>
      </c>
      <c r="B944" s="1" t="s">
        <v>233</v>
      </c>
      <c r="C944" s="1" t="s">
        <v>143</v>
      </c>
      <c r="D944" s="1">
        <v>584.79</v>
      </c>
      <c r="E944" s="1">
        <v>0</v>
      </c>
      <c r="F944" s="1">
        <v>-160.13</v>
      </c>
      <c r="G944" s="1">
        <v>-1057.617</v>
      </c>
      <c r="H944" s="1">
        <v>3257.951</v>
      </c>
      <c r="I944" s="1">
        <v>-3508.76</v>
      </c>
    </row>
    <row r="945" spans="1:9" hidden="1" x14ac:dyDescent="0.25">
      <c r="A945" s="1" t="s">
        <v>126</v>
      </c>
      <c r="B945" s="1" t="s">
        <v>233</v>
      </c>
      <c r="C945" s="1" t="s">
        <v>3</v>
      </c>
      <c r="D945" s="1">
        <v>611.77</v>
      </c>
      <c r="E945" s="1">
        <v>0</v>
      </c>
      <c r="F945" s="1">
        <v>-160.13</v>
      </c>
      <c r="G945" s="1">
        <v>-1057.617</v>
      </c>
      <c r="H945" s="1">
        <v>2937.9490000000001</v>
      </c>
      <c r="I945" s="1">
        <v>-3670.5990000000002</v>
      </c>
    </row>
    <row r="946" spans="1:9" hidden="1" x14ac:dyDescent="0.25">
      <c r="A946" s="1" t="s">
        <v>127</v>
      </c>
      <c r="B946" s="1" t="s">
        <v>233</v>
      </c>
      <c r="C946" s="1" t="s">
        <v>143</v>
      </c>
      <c r="D946" s="1">
        <v>890.68</v>
      </c>
      <c r="E946" s="1">
        <v>0</v>
      </c>
      <c r="F946" s="1">
        <v>-222.8</v>
      </c>
      <c r="G946" s="1">
        <v>-1473.106</v>
      </c>
      <c r="H946" s="1">
        <v>4611.41</v>
      </c>
      <c r="I946" s="1">
        <v>-5344.06</v>
      </c>
    </row>
    <row r="947" spans="1:9" hidden="1" x14ac:dyDescent="0.25">
      <c r="A947" s="1" t="s">
        <v>127</v>
      </c>
      <c r="B947" s="1" t="s">
        <v>233</v>
      </c>
      <c r="C947" s="1" t="s">
        <v>3</v>
      </c>
      <c r="D947" s="1">
        <v>917.65</v>
      </c>
      <c r="E947" s="1">
        <v>0</v>
      </c>
      <c r="F947" s="1">
        <v>-222.8</v>
      </c>
      <c r="G947" s="1">
        <v>-1473.106</v>
      </c>
      <c r="H947" s="1">
        <v>4102.03</v>
      </c>
      <c r="I947" s="1">
        <v>-5505.8980000000001</v>
      </c>
    </row>
    <row r="948" spans="1:9" hidden="1" x14ac:dyDescent="0.25">
      <c r="A948" s="1" t="s">
        <v>9</v>
      </c>
      <c r="B948" s="1" t="s">
        <v>233</v>
      </c>
      <c r="C948" s="1" t="s">
        <v>143</v>
      </c>
      <c r="D948" s="1">
        <v>1196.56</v>
      </c>
      <c r="E948" s="1">
        <v>0</v>
      </c>
      <c r="F948" s="1">
        <v>-265.42</v>
      </c>
      <c r="G948" s="1">
        <v>-1757.194</v>
      </c>
      <c r="H948" s="1">
        <v>5775.491</v>
      </c>
      <c r="I948" s="1">
        <v>-7179.3590000000004</v>
      </c>
    </row>
    <row r="949" spans="1:9" hidden="1" x14ac:dyDescent="0.25">
      <c r="A949" s="1" t="s">
        <v>9</v>
      </c>
      <c r="B949" s="1" t="s">
        <v>233</v>
      </c>
      <c r="C949" s="1" t="s">
        <v>3</v>
      </c>
      <c r="D949" s="1">
        <v>1223.53</v>
      </c>
      <c r="E949" s="1">
        <v>0</v>
      </c>
      <c r="F949" s="1">
        <v>-265.42</v>
      </c>
      <c r="G949" s="1">
        <v>-1757.194</v>
      </c>
      <c r="H949" s="1">
        <v>5129.8829999999998</v>
      </c>
      <c r="I949" s="1">
        <v>-7341.1970000000001</v>
      </c>
    </row>
    <row r="950" spans="1:9" hidden="1" x14ac:dyDescent="0.25">
      <c r="A950" s="1" t="s">
        <v>10</v>
      </c>
      <c r="B950" s="1" t="s">
        <v>233</v>
      </c>
      <c r="C950" s="1" t="s">
        <v>143</v>
      </c>
      <c r="D950" s="1">
        <v>0</v>
      </c>
      <c r="E950" s="1">
        <v>0</v>
      </c>
      <c r="F950" s="1">
        <v>0</v>
      </c>
      <c r="G950" s="1">
        <v>0</v>
      </c>
      <c r="H950" s="1">
        <v>0</v>
      </c>
      <c r="I950" s="1">
        <v>0</v>
      </c>
    </row>
    <row r="951" spans="1:9" hidden="1" x14ac:dyDescent="0.25">
      <c r="A951" s="1" t="s">
        <v>10</v>
      </c>
      <c r="B951" s="1" t="s">
        <v>233</v>
      </c>
      <c r="C951" s="1" t="s">
        <v>3</v>
      </c>
      <c r="D951" s="1">
        <v>0</v>
      </c>
      <c r="E951" s="1">
        <v>0</v>
      </c>
      <c r="F951" s="1">
        <v>0</v>
      </c>
      <c r="G951" s="1">
        <v>0</v>
      </c>
      <c r="H951" s="1">
        <v>0</v>
      </c>
      <c r="I951" s="1">
        <v>0</v>
      </c>
    </row>
    <row r="952" spans="1:9" hidden="1" x14ac:dyDescent="0.25">
      <c r="A952" s="1" t="s">
        <v>125</v>
      </c>
      <c r="B952" s="1" t="s">
        <v>234</v>
      </c>
      <c r="C952" s="1" t="s">
        <v>143</v>
      </c>
      <c r="D952" s="1">
        <v>322.35000000000002</v>
      </c>
      <c r="E952" s="1">
        <v>27.28</v>
      </c>
      <c r="F952" s="1">
        <v>0</v>
      </c>
      <c r="G952" s="1">
        <v>180.047</v>
      </c>
      <c r="H952" s="1">
        <v>1934.1130000000001</v>
      </c>
      <c r="I952" s="1">
        <v>-1934.1130000000001</v>
      </c>
    </row>
    <row r="953" spans="1:9" hidden="1" x14ac:dyDescent="0.25">
      <c r="A953" s="1" t="s">
        <v>125</v>
      </c>
      <c r="B953" s="1" t="s">
        <v>234</v>
      </c>
      <c r="C953" s="1" t="s">
        <v>3</v>
      </c>
      <c r="D953" s="1">
        <v>353.88</v>
      </c>
      <c r="E953" s="1">
        <v>27.28</v>
      </c>
      <c r="F953" s="1">
        <v>0</v>
      </c>
      <c r="G953" s="1">
        <v>180.047</v>
      </c>
      <c r="H953" s="1">
        <v>2123.2739999999999</v>
      </c>
      <c r="I953" s="1">
        <v>-2041.192</v>
      </c>
    </row>
    <row r="954" spans="1:9" hidden="1" x14ac:dyDescent="0.25">
      <c r="A954" s="1" t="s">
        <v>126</v>
      </c>
      <c r="B954" s="1" t="s">
        <v>234</v>
      </c>
      <c r="C954" s="1" t="s">
        <v>143</v>
      </c>
      <c r="D954" s="1">
        <v>676.23</v>
      </c>
      <c r="E954" s="1">
        <v>52.41</v>
      </c>
      <c r="F954" s="1">
        <v>0</v>
      </c>
      <c r="G954" s="1">
        <v>346.12900000000002</v>
      </c>
      <c r="H954" s="1">
        <v>4057.3870000000002</v>
      </c>
      <c r="I954" s="1">
        <v>-3975.3040000000001</v>
      </c>
    </row>
    <row r="955" spans="1:9" hidden="1" x14ac:dyDescent="0.25">
      <c r="A955" s="1" t="s">
        <v>126</v>
      </c>
      <c r="B955" s="1" t="s">
        <v>234</v>
      </c>
      <c r="C955" s="1" t="s">
        <v>3</v>
      </c>
      <c r="D955" s="1">
        <v>707.76</v>
      </c>
      <c r="E955" s="1">
        <v>52.41</v>
      </c>
      <c r="F955" s="1">
        <v>0</v>
      </c>
      <c r="G955" s="1">
        <v>346.12900000000002</v>
      </c>
      <c r="H955" s="1">
        <v>4246.549</v>
      </c>
      <c r="I955" s="1">
        <v>-4006.7730000000001</v>
      </c>
    </row>
    <row r="956" spans="1:9" hidden="1" x14ac:dyDescent="0.25">
      <c r="A956" s="1" t="s">
        <v>127</v>
      </c>
      <c r="B956" s="1" t="s">
        <v>234</v>
      </c>
      <c r="C956" s="1" t="s">
        <v>143</v>
      </c>
      <c r="D956" s="1">
        <v>1030.1099999999999</v>
      </c>
      <c r="E956" s="1">
        <v>72.91</v>
      </c>
      <c r="F956" s="1">
        <v>0</v>
      </c>
      <c r="G956" s="1">
        <v>482.108</v>
      </c>
      <c r="H956" s="1">
        <v>6180.6620000000003</v>
      </c>
      <c r="I956" s="1">
        <v>-5940.8860000000004</v>
      </c>
    </row>
    <row r="957" spans="1:9" hidden="1" x14ac:dyDescent="0.25">
      <c r="A957" s="1" t="s">
        <v>127</v>
      </c>
      <c r="B957" s="1" t="s">
        <v>234</v>
      </c>
      <c r="C957" s="1" t="s">
        <v>3</v>
      </c>
      <c r="D957" s="1">
        <v>1061.6400000000001</v>
      </c>
      <c r="E957" s="1">
        <v>72.91</v>
      </c>
      <c r="F957" s="1">
        <v>0</v>
      </c>
      <c r="G957" s="1">
        <v>482.108</v>
      </c>
      <c r="H957" s="1">
        <v>6369.8230000000003</v>
      </c>
      <c r="I957" s="1">
        <v>-5910.3760000000002</v>
      </c>
    </row>
    <row r="958" spans="1:9" hidden="1" x14ac:dyDescent="0.25">
      <c r="A958" s="1" t="s">
        <v>9</v>
      </c>
      <c r="B958" s="1" t="s">
        <v>234</v>
      </c>
      <c r="C958" s="1" t="s">
        <v>143</v>
      </c>
      <c r="D958" s="1">
        <v>1383.99</v>
      </c>
      <c r="E958" s="1">
        <v>86.86</v>
      </c>
      <c r="F958" s="1">
        <v>0</v>
      </c>
      <c r="G958" s="1">
        <v>575.08199999999999</v>
      </c>
      <c r="H958" s="1">
        <v>8303.9359999999997</v>
      </c>
      <c r="I958" s="1">
        <v>-7844.4889999999996</v>
      </c>
    </row>
    <row r="959" spans="1:9" hidden="1" x14ac:dyDescent="0.25">
      <c r="A959" s="1" t="s">
        <v>9</v>
      </c>
      <c r="B959" s="1" t="s">
        <v>234</v>
      </c>
      <c r="C959" s="1" t="s">
        <v>3</v>
      </c>
      <c r="D959" s="1">
        <v>1415.52</v>
      </c>
      <c r="E959" s="1">
        <v>86.86</v>
      </c>
      <c r="F959" s="1">
        <v>0</v>
      </c>
      <c r="G959" s="1">
        <v>575.08199999999999</v>
      </c>
      <c r="H959" s="1">
        <v>8493.098</v>
      </c>
      <c r="I959" s="1">
        <v>-7769.3950000000004</v>
      </c>
    </row>
    <row r="960" spans="1:9" hidden="1" x14ac:dyDescent="0.25">
      <c r="A960" s="1" t="s">
        <v>10</v>
      </c>
      <c r="B960" s="1" t="s">
        <v>234</v>
      </c>
      <c r="C960" s="1" t="s">
        <v>143</v>
      </c>
      <c r="D960" s="1">
        <v>0</v>
      </c>
      <c r="E960" s="1">
        <v>0</v>
      </c>
      <c r="F960" s="1">
        <v>0</v>
      </c>
      <c r="G960" s="1">
        <v>0</v>
      </c>
      <c r="H960" s="1">
        <v>0</v>
      </c>
      <c r="I960" s="1">
        <v>0</v>
      </c>
    </row>
    <row r="961" spans="1:9" hidden="1" x14ac:dyDescent="0.25">
      <c r="A961" s="1" t="s">
        <v>10</v>
      </c>
      <c r="B961" s="1" t="s">
        <v>234</v>
      </c>
      <c r="C961" s="1" t="s">
        <v>3</v>
      </c>
      <c r="D961" s="1">
        <v>0</v>
      </c>
      <c r="E961" s="1">
        <v>0</v>
      </c>
      <c r="F961" s="1">
        <v>0</v>
      </c>
      <c r="G961" s="1">
        <v>0</v>
      </c>
      <c r="H961" s="1">
        <v>0</v>
      </c>
      <c r="I961" s="1">
        <v>0</v>
      </c>
    </row>
    <row r="962" spans="1:9" hidden="1" x14ac:dyDescent="0.25">
      <c r="A962" s="1" t="s">
        <v>125</v>
      </c>
      <c r="B962" s="1" t="s">
        <v>235</v>
      </c>
      <c r="C962" s="1" t="s">
        <v>143</v>
      </c>
      <c r="D962" s="1">
        <v>322.35000000000002</v>
      </c>
      <c r="E962" s="1">
        <v>-27.28</v>
      </c>
      <c r="F962" s="1">
        <v>0</v>
      </c>
      <c r="G962" s="1">
        <v>-180.047</v>
      </c>
      <c r="H962" s="1">
        <v>1934.1130000000001</v>
      </c>
      <c r="I962" s="1">
        <v>-1934.1130000000001</v>
      </c>
    </row>
    <row r="963" spans="1:9" hidden="1" x14ac:dyDescent="0.25">
      <c r="A963" s="1" t="s">
        <v>125</v>
      </c>
      <c r="B963" s="1" t="s">
        <v>235</v>
      </c>
      <c r="C963" s="1" t="s">
        <v>3</v>
      </c>
      <c r="D963" s="1">
        <v>353.88</v>
      </c>
      <c r="E963" s="1">
        <v>-27.28</v>
      </c>
      <c r="F963" s="1">
        <v>0</v>
      </c>
      <c r="G963" s="1">
        <v>-180.047</v>
      </c>
      <c r="H963" s="1">
        <v>2123.2739999999999</v>
      </c>
      <c r="I963" s="1">
        <v>-2205.357</v>
      </c>
    </row>
    <row r="964" spans="1:9" hidden="1" x14ac:dyDescent="0.25">
      <c r="A964" s="1" t="s">
        <v>126</v>
      </c>
      <c r="B964" s="1" t="s">
        <v>235</v>
      </c>
      <c r="C964" s="1" t="s">
        <v>143</v>
      </c>
      <c r="D964" s="1">
        <v>676.23</v>
      </c>
      <c r="E964" s="1">
        <v>-52.41</v>
      </c>
      <c r="F964" s="1">
        <v>0</v>
      </c>
      <c r="G964" s="1">
        <v>-346.12900000000002</v>
      </c>
      <c r="H964" s="1">
        <v>4057.3870000000002</v>
      </c>
      <c r="I964" s="1">
        <v>-4139.47</v>
      </c>
    </row>
    <row r="965" spans="1:9" hidden="1" x14ac:dyDescent="0.25">
      <c r="A965" s="1" t="s">
        <v>126</v>
      </c>
      <c r="B965" s="1" t="s">
        <v>235</v>
      </c>
      <c r="C965" s="1" t="s">
        <v>3</v>
      </c>
      <c r="D965" s="1">
        <v>707.76</v>
      </c>
      <c r="E965" s="1">
        <v>-52.41</v>
      </c>
      <c r="F965" s="1">
        <v>0</v>
      </c>
      <c r="G965" s="1">
        <v>-346.12900000000002</v>
      </c>
      <c r="H965" s="1">
        <v>4246.549</v>
      </c>
      <c r="I965" s="1">
        <v>-4486.3249999999998</v>
      </c>
    </row>
    <row r="966" spans="1:9" hidden="1" x14ac:dyDescent="0.25">
      <c r="A966" s="1" t="s">
        <v>127</v>
      </c>
      <c r="B966" s="1" t="s">
        <v>235</v>
      </c>
      <c r="C966" s="1" t="s">
        <v>143</v>
      </c>
      <c r="D966" s="1">
        <v>1030.1099999999999</v>
      </c>
      <c r="E966" s="1">
        <v>-72.91</v>
      </c>
      <c r="F966" s="1">
        <v>0</v>
      </c>
      <c r="G966" s="1">
        <v>-482.108</v>
      </c>
      <c r="H966" s="1">
        <v>6180.6620000000003</v>
      </c>
      <c r="I966" s="1">
        <v>-6420.4380000000001</v>
      </c>
    </row>
    <row r="967" spans="1:9" hidden="1" x14ac:dyDescent="0.25">
      <c r="A967" s="1" t="s">
        <v>127</v>
      </c>
      <c r="B967" s="1" t="s">
        <v>235</v>
      </c>
      <c r="C967" s="1" t="s">
        <v>3</v>
      </c>
      <c r="D967" s="1">
        <v>1061.6400000000001</v>
      </c>
      <c r="E967" s="1">
        <v>-72.91</v>
      </c>
      <c r="F967" s="1">
        <v>0</v>
      </c>
      <c r="G967" s="1">
        <v>-482.108</v>
      </c>
      <c r="H967" s="1">
        <v>6369.8230000000003</v>
      </c>
      <c r="I967" s="1">
        <v>-6829.2709999999997</v>
      </c>
    </row>
    <row r="968" spans="1:9" hidden="1" x14ac:dyDescent="0.25">
      <c r="A968" s="1" t="s">
        <v>9</v>
      </c>
      <c r="B968" s="1" t="s">
        <v>235</v>
      </c>
      <c r="C968" s="1" t="s">
        <v>143</v>
      </c>
      <c r="D968" s="1">
        <v>1383.99</v>
      </c>
      <c r="E968" s="1">
        <v>-86.86</v>
      </c>
      <c r="F968" s="1">
        <v>0</v>
      </c>
      <c r="G968" s="1">
        <v>-575.08199999999999</v>
      </c>
      <c r="H968" s="1">
        <v>8303.9359999999997</v>
      </c>
      <c r="I968" s="1">
        <v>-8763.384</v>
      </c>
    </row>
    <row r="969" spans="1:9" hidden="1" x14ac:dyDescent="0.25">
      <c r="A969" s="1" t="s">
        <v>9</v>
      </c>
      <c r="B969" s="1" t="s">
        <v>235</v>
      </c>
      <c r="C969" s="1" t="s">
        <v>3</v>
      </c>
      <c r="D969" s="1">
        <v>1415.52</v>
      </c>
      <c r="E969" s="1">
        <v>-86.86</v>
      </c>
      <c r="F969" s="1">
        <v>0</v>
      </c>
      <c r="G969" s="1">
        <v>-575.08199999999999</v>
      </c>
      <c r="H969" s="1">
        <v>8493.098</v>
      </c>
      <c r="I969" s="1">
        <v>-9216.8009999999995</v>
      </c>
    </row>
    <row r="970" spans="1:9" hidden="1" x14ac:dyDescent="0.25">
      <c r="A970" s="1" t="s">
        <v>10</v>
      </c>
      <c r="B970" s="1" t="s">
        <v>235</v>
      </c>
      <c r="C970" s="1" t="s">
        <v>143</v>
      </c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0</v>
      </c>
    </row>
    <row r="971" spans="1:9" hidden="1" x14ac:dyDescent="0.25">
      <c r="A971" s="1" t="s">
        <v>10</v>
      </c>
      <c r="B971" s="1" t="s">
        <v>235</v>
      </c>
      <c r="C971" s="1" t="s">
        <v>3</v>
      </c>
      <c r="D971" s="1">
        <v>0</v>
      </c>
      <c r="E971" s="1">
        <v>0</v>
      </c>
      <c r="F971" s="1">
        <v>0</v>
      </c>
      <c r="G971" s="1">
        <v>0</v>
      </c>
      <c r="H971" s="1">
        <v>0</v>
      </c>
      <c r="I971" s="1">
        <v>0</v>
      </c>
    </row>
    <row r="972" spans="1:9" hidden="1" x14ac:dyDescent="0.25">
      <c r="A972" s="1" t="s">
        <v>125</v>
      </c>
      <c r="B972" s="1" t="s">
        <v>236</v>
      </c>
      <c r="C972" s="1" t="s">
        <v>143</v>
      </c>
      <c r="D972" s="1">
        <v>255.52</v>
      </c>
      <c r="E972" s="1">
        <v>27.28</v>
      </c>
      <c r="F972" s="1">
        <v>0</v>
      </c>
      <c r="G972" s="1">
        <v>180.047</v>
      </c>
      <c r="H972" s="1">
        <v>1533.11</v>
      </c>
      <c r="I972" s="1">
        <v>-1533.11</v>
      </c>
    </row>
    <row r="973" spans="1:9" hidden="1" x14ac:dyDescent="0.25">
      <c r="A973" s="1" t="s">
        <v>125</v>
      </c>
      <c r="B973" s="1" t="s">
        <v>236</v>
      </c>
      <c r="C973" s="1" t="s">
        <v>3</v>
      </c>
      <c r="D973" s="1">
        <v>280.04000000000002</v>
      </c>
      <c r="E973" s="1">
        <v>27.28</v>
      </c>
      <c r="F973" s="1">
        <v>0</v>
      </c>
      <c r="G973" s="1">
        <v>180.047</v>
      </c>
      <c r="H973" s="1">
        <v>1680.2360000000001</v>
      </c>
      <c r="I973" s="1">
        <v>-1598.153</v>
      </c>
    </row>
    <row r="974" spans="1:9" hidden="1" x14ac:dyDescent="0.25">
      <c r="A974" s="1" t="s">
        <v>126</v>
      </c>
      <c r="B974" s="1" t="s">
        <v>236</v>
      </c>
      <c r="C974" s="1" t="s">
        <v>143</v>
      </c>
      <c r="D974" s="1">
        <v>535.55999999999995</v>
      </c>
      <c r="E974" s="1">
        <v>52.41</v>
      </c>
      <c r="F974" s="1">
        <v>0</v>
      </c>
      <c r="G974" s="1">
        <v>346.12900000000002</v>
      </c>
      <c r="H974" s="1">
        <v>3213.346</v>
      </c>
      <c r="I974" s="1">
        <v>-3131.2629999999999</v>
      </c>
    </row>
    <row r="975" spans="1:9" hidden="1" x14ac:dyDescent="0.25">
      <c r="A975" s="1" t="s">
        <v>126</v>
      </c>
      <c r="B975" s="1" t="s">
        <v>236</v>
      </c>
      <c r="C975" s="1" t="s">
        <v>3</v>
      </c>
      <c r="D975" s="1">
        <v>560.08000000000004</v>
      </c>
      <c r="E975" s="1">
        <v>52.41</v>
      </c>
      <c r="F975" s="1">
        <v>0</v>
      </c>
      <c r="G975" s="1">
        <v>346.12900000000002</v>
      </c>
      <c r="H975" s="1">
        <v>3360.471</v>
      </c>
      <c r="I975" s="1">
        <v>-3120.6950000000002</v>
      </c>
    </row>
    <row r="976" spans="1:9" hidden="1" x14ac:dyDescent="0.25">
      <c r="A976" s="1" t="s">
        <v>127</v>
      </c>
      <c r="B976" s="1" t="s">
        <v>236</v>
      </c>
      <c r="C976" s="1" t="s">
        <v>143</v>
      </c>
      <c r="D976" s="1">
        <v>815.6</v>
      </c>
      <c r="E976" s="1">
        <v>72.91</v>
      </c>
      <c r="F976" s="1">
        <v>0</v>
      </c>
      <c r="G976" s="1">
        <v>482.108</v>
      </c>
      <c r="H976" s="1">
        <v>4893.5810000000001</v>
      </c>
      <c r="I976" s="1">
        <v>-4653.8050000000003</v>
      </c>
    </row>
    <row r="977" spans="1:9" hidden="1" x14ac:dyDescent="0.25">
      <c r="A977" s="1" t="s">
        <v>127</v>
      </c>
      <c r="B977" s="1" t="s">
        <v>236</v>
      </c>
      <c r="C977" s="1" t="s">
        <v>3</v>
      </c>
      <c r="D977" s="1">
        <v>840.12</v>
      </c>
      <c r="E977" s="1">
        <v>72.91</v>
      </c>
      <c r="F977" s="1">
        <v>0</v>
      </c>
      <c r="G977" s="1">
        <v>482.108</v>
      </c>
      <c r="H977" s="1">
        <v>5040.7070000000003</v>
      </c>
      <c r="I977" s="1">
        <v>-4581.26</v>
      </c>
    </row>
    <row r="978" spans="1:9" hidden="1" x14ac:dyDescent="0.25">
      <c r="A978" s="1" t="s">
        <v>9</v>
      </c>
      <c r="B978" s="1" t="s">
        <v>236</v>
      </c>
      <c r="C978" s="1" t="s">
        <v>143</v>
      </c>
      <c r="D978" s="1">
        <v>1095.6400000000001</v>
      </c>
      <c r="E978" s="1">
        <v>86.86</v>
      </c>
      <c r="F978" s="1">
        <v>0</v>
      </c>
      <c r="G978" s="1">
        <v>575.08199999999999</v>
      </c>
      <c r="H978" s="1">
        <v>6573.817</v>
      </c>
      <c r="I978" s="1">
        <v>-6114.37</v>
      </c>
    </row>
    <row r="979" spans="1:9" hidden="1" x14ac:dyDescent="0.25">
      <c r="A979" s="1" t="s">
        <v>9</v>
      </c>
      <c r="B979" s="1" t="s">
        <v>236</v>
      </c>
      <c r="C979" s="1" t="s">
        <v>3</v>
      </c>
      <c r="D979" s="1">
        <v>1120.1600000000001</v>
      </c>
      <c r="E979" s="1">
        <v>86.86</v>
      </c>
      <c r="F979" s="1">
        <v>0</v>
      </c>
      <c r="G979" s="1">
        <v>575.08199999999999</v>
      </c>
      <c r="H979" s="1">
        <v>6720.9430000000002</v>
      </c>
      <c r="I979" s="1">
        <v>-5997.24</v>
      </c>
    </row>
    <row r="980" spans="1:9" hidden="1" x14ac:dyDescent="0.25">
      <c r="A980" s="1" t="s">
        <v>10</v>
      </c>
      <c r="B980" s="1" t="s">
        <v>236</v>
      </c>
      <c r="C980" s="1" t="s">
        <v>143</v>
      </c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</v>
      </c>
    </row>
    <row r="981" spans="1:9" hidden="1" x14ac:dyDescent="0.25">
      <c r="A981" s="1" t="s">
        <v>10</v>
      </c>
      <c r="B981" s="1" t="s">
        <v>236</v>
      </c>
      <c r="C981" s="1" t="s">
        <v>3</v>
      </c>
      <c r="D981" s="1">
        <v>0</v>
      </c>
      <c r="E981" s="1">
        <v>0</v>
      </c>
      <c r="F981" s="1">
        <v>0</v>
      </c>
      <c r="G981" s="1">
        <v>0</v>
      </c>
      <c r="H981" s="1">
        <v>0</v>
      </c>
      <c r="I981" s="1">
        <v>0</v>
      </c>
    </row>
    <row r="982" spans="1:9" hidden="1" x14ac:dyDescent="0.25">
      <c r="A982" s="1" t="s">
        <v>125</v>
      </c>
      <c r="B982" s="1" t="s">
        <v>237</v>
      </c>
      <c r="C982" s="1" t="s">
        <v>143</v>
      </c>
      <c r="D982" s="1">
        <v>255.52</v>
      </c>
      <c r="E982" s="1">
        <v>-27.28</v>
      </c>
      <c r="F982" s="1">
        <v>0</v>
      </c>
      <c r="G982" s="1">
        <v>-180.047</v>
      </c>
      <c r="H982" s="1">
        <v>1533.11</v>
      </c>
      <c r="I982" s="1">
        <v>-1533.11</v>
      </c>
    </row>
    <row r="983" spans="1:9" hidden="1" x14ac:dyDescent="0.25">
      <c r="A983" s="1" t="s">
        <v>125</v>
      </c>
      <c r="B983" s="1" t="s">
        <v>237</v>
      </c>
      <c r="C983" s="1" t="s">
        <v>3</v>
      </c>
      <c r="D983" s="1">
        <v>280.04000000000002</v>
      </c>
      <c r="E983" s="1">
        <v>-27.28</v>
      </c>
      <c r="F983" s="1">
        <v>0</v>
      </c>
      <c r="G983" s="1">
        <v>-180.047</v>
      </c>
      <c r="H983" s="1">
        <v>1680.2360000000001</v>
      </c>
      <c r="I983" s="1">
        <v>-1762.319</v>
      </c>
    </row>
    <row r="984" spans="1:9" hidden="1" x14ac:dyDescent="0.25">
      <c r="A984" s="1" t="s">
        <v>126</v>
      </c>
      <c r="B984" s="1" t="s">
        <v>237</v>
      </c>
      <c r="C984" s="1" t="s">
        <v>143</v>
      </c>
      <c r="D984" s="1">
        <v>535.55999999999995</v>
      </c>
      <c r="E984" s="1">
        <v>-52.41</v>
      </c>
      <c r="F984" s="1">
        <v>0</v>
      </c>
      <c r="G984" s="1">
        <v>-346.12900000000002</v>
      </c>
      <c r="H984" s="1">
        <v>3213.346</v>
      </c>
      <c r="I984" s="1">
        <v>-3295.4290000000001</v>
      </c>
    </row>
    <row r="985" spans="1:9" hidden="1" x14ac:dyDescent="0.25">
      <c r="A985" s="1" t="s">
        <v>126</v>
      </c>
      <c r="B985" s="1" t="s">
        <v>237</v>
      </c>
      <c r="C985" s="1" t="s">
        <v>3</v>
      </c>
      <c r="D985" s="1">
        <v>560.08000000000004</v>
      </c>
      <c r="E985" s="1">
        <v>-52.41</v>
      </c>
      <c r="F985" s="1">
        <v>0</v>
      </c>
      <c r="G985" s="1">
        <v>-346.12900000000002</v>
      </c>
      <c r="H985" s="1">
        <v>3360.471</v>
      </c>
      <c r="I985" s="1">
        <v>-3600.248</v>
      </c>
    </row>
    <row r="986" spans="1:9" hidden="1" x14ac:dyDescent="0.25">
      <c r="A986" s="1" t="s">
        <v>127</v>
      </c>
      <c r="B986" s="1" t="s">
        <v>237</v>
      </c>
      <c r="C986" s="1" t="s">
        <v>143</v>
      </c>
      <c r="D986" s="1">
        <v>815.6</v>
      </c>
      <c r="E986" s="1">
        <v>-72.91</v>
      </c>
      <c r="F986" s="1">
        <v>0</v>
      </c>
      <c r="G986" s="1">
        <v>-482.108</v>
      </c>
      <c r="H986" s="1">
        <v>4893.5810000000001</v>
      </c>
      <c r="I986" s="1">
        <v>-5133.3580000000002</v>
      </c>
    </row>
    <row r="987" spans="1:9" hidden="1" x14ac:dyDescent="0.25">
      <c r="A987" s="1" t="s">
        <v>127</v>
      </c>
      <c r="B987" s="1" t="s">
        <v>237</v>
      </c>
      <c r="C987" s="1" t="s">
        <v>3</v>
      </c>
      <c r="D987" s="1">
        <v>840.12</v>
      </c>
      <c r="E987" s="1">
        <v>-72.91</v>
      </c>
      <c r="F987" s="1">
        <v>0</v>
      </c>
      <c r="G987" s="1">
        <v>-482.108</v>
      </c>
      <c r="H987" s="1">
        <v>5040.7070000000003</v>
      </c>
      <c r="I987" s="1">
        <v>-5500.1549999999997</v>
      </c>
    </row>
    <row r="988" spans="1:9" hidden="1" x14ac:dyDescent="0.25">
      <c r="A988" s="1" t="s">
        <v>9</v>
      </c>
      <c r="B988" s="1" t="s">
        <v>237</v>
      </c>
      <c r="C988" s="1" t="s">
        <v>143</v>
      </c>
      <c r="D988" s="1">
        <v>1095.6400000000001</v>
      </c>
      <c r="E988" s="1">
        <v>-86.86</v>
      </c>
      <c r="F988" s="1">
        <v>0</v>
      </c>
      <c r="G988" s="1">
        <v>-575.08199999999999</v>
      </c>
      <c r="H988" s="1">
        <v>6573.817</v>
      </c>
      <c r="I988" s="1">
        <v>-7033.2650000000003</v>
      </c>
    </row>
    <row r="989" spans="1:9" hidden="1" x14ac:dyDescent="0.25">
      <c r="A989" s="1" t="s">
        <v>9</v>
      </c>
      <c r="B989" s="1" t="s">
        <v>237</v>
      </c>
      <c r="C989" s="1" t="s">
        <v>3</v>
      </c>
      <c r="D989" s="1">
        <v>1120.1600000000001</v>
      </c>
      <c r="E989" s="1">
        <v>-86.86</v>
      </c>
      <c r="F989" s="1">
        <v>0</v>
      </c>
      <c r="G989" s="1">
        <v>-575.08199999999999</v>
      </c>
      <c r="H989" s="1">
        <v>6720.9430000000002</v>
      </c>
      <c r="I989" s="1">
        <v>-7444.6450000000004</v>
      </c>
    </row>
    <row r="990" spans="1:9" hidden="1" x14ac:dyDescent="0.25">
      <c r="A990" s="1" t="s">
        <v>10</v>
      </c>
      <c r="B990" s="1" t="s">
        <v>237</v>
      </c>
      <c r="C990" s="1" t="s">
        <v>143</v>
      </c>
      <c r="D990" s="1">
        <v>0</v>
      </c>
      <c r="E990" s="1">
        <v>0</v>
      </c>
      <c r="F990" s="1">
        <v>0</v>
      </c>
      <c r="G990" s="1">
        <v>0</v>
      </c>
      <c r="H990" s="1">
        <v>0</v>
      </c>
      <c r="I990" s="1">
        <v>0</v>
      </c>
    </row>
    <row r="991" spans="1:9" hidden="1" x14ac:dyDescent="0.25">
      <c r="A991" s="1" t="s">
        <v>10</v>
      </c>
      <c r="B991" s="1" t="s">
        <v>237</v>
      </c>
      <c r="C991" s="1" t="s">
        <v>3</v>
      </c>
      <c r="D991" s="1">
        <v>0</v>
      </c>
      <c r="E991" s="1">
        <v>0</v>
      </c>
      <c r="F991" s="1">
        <v>0</v>
      </c>
      <c r="G991" s="1">
        <v>0</v>
      </c>
      <c r="H991" s="1">
        <v>0</v>
      </c>
      <c r="I991" s="1">
        <v>0</v>
      </c>
    </row>
    <row r="992" spans="1:9" hidden="1" x14ac:dyDescent="0.25">
      <c r="A992" s="1" t="s">
        <v>125</v>
      </c>
      <c r="B992" s="1" t="s">
        <v>238</v>
      </c>
      <c r="C992" s="1" t="s">
        <v>143</v>
      </c>
      <c r="D992" s="1">
        <v>322.35000000000002</v>
      </c>
      <c r="E992" s="1">
        <v>0</v>
      </c>
      <c r="F992" s="1">
        <v>25.01</v>
      </c>
      <c r="G992" s="1">
        <v>165.04300000000001</v>
      </c>
      <c r="H992" s="1">
        <v>1934.1130000000001</v>
      </c>
      <c r="I992" s="1">
        <v>-1934.1130000000001</v>
      </c>
    </row>
    <row r="993" spans="1:9" hidden="1" x14ac:dyDescent="0.25">
      <c r="A993" s="1" t="s">
        <v>125</v>
      </c>
      <c r="B993" s="1" t="s">
        <v>238</v>
      </c>
      <c r="C993" s="1" t="s">
        <v>3</v>
      </c>
      <c r="D993" s="1">
        <v>353.88</v>
      </c>
      <c r="E993" s="1">
        <v>0</v>
      </c>
      <c r="F993" s="1">
        <v>25.01</v>
      </c>
      <c r="G993" s="1">
        <v>165.04300000000001</v>
      </c>
      <c r="H993" s="1">
        <v>2198.5169999999998</v>
      </c>
      <c r="I993" s="1">
        <v>-2123.2739999999999</v>
      </c>
    </row>
    <row r="994" spans="1:9" hidden="1" x14ac:dyDescent="0.25">
      <c r="A994" s="1" t="s">
        <v>126</v>
      </c>
      <c r="B994" s="1" t="s">
        <v>238</v>
      </c>
      <c r="C994" s="1" t="s">
        <v>143</v>
      </c>
      <c r="D994" s="1">
        <v>676.23</v>
      </c>
      <c r="E994" s="1">
        <v>0</v>
      </c>
      <c r="F994" s="1">
        <v>48.04</v>
      </c>
      <c r="G994" s="1">
        <v>317.28500000000003</v>
      </c>
      <c r="H994" s="1">
        <v>4132.63</v>
      </c>
      <c r="I994" s="1">
        <v>-4057.3870000000002</v>
      </c>
    </row>
    <row r="995" spans="1:9" hidden="1" x14ac:dyDescent="0.25">
      <c r="A995" s="1" t="s">
        <v>126</v>
      </c>
      <c r="B995" s="1" t="s">
        <v>238</v>
      </c>
      <c r="C995" s="1" t="s">
        <v>3</v>
      </c>
      <c r="D995" s="1">
        <v>707.76</v>
      </c>
      <c r="E995" s="1">
        <v>0</v>
      </c>
      <c r="F995" s="1">
        <v>48.04</v>
      </c>
      <c r="G995" s="1">
        <v>317.28500000000003</v>
      </c>
      <c r="H995" s="1">
        <v>4466.3440000000001</v>
      </c>
      <c r="I995" s="1">
        <v>-4246.549</v>
      </c>
    </row>
    <row r="996" spans="1:9" hidden="1" x14ac:dyDescent="0.25">
      <c r="A996" s="1" t="s">
        <v>127</v>
      </c>
      <c r="B996" s="1" t="s">
        <v>238</v>
      </c>
      <c r="C996" s="1" t="s">
        <v>143</v>
      </c>
      <c r="D996" s="1">
        <v>1030.1099999999999</v>
      </c>
      <c r="E996" s="1">
        <v>0</v>
      </c>
      <c r="F996" s="1">
        <v>66.84</v>
      </c>
      <c r="G996" s="1">
        <v>441.93200000000002</v>
      </c>
      <c r="H996" s="1">
        <v>6400.4570000000003</v>
      </c>
      <c r="I996" s="1">
        <v>-6180.6620000000003</v>
      </c>
    </row>
    <row r="997" spans="1:9" hidden="1" x14ac:dyDescent="0.25">
      <c r="A997" s="1" t="s">
        <v>127</v>
      </c>
      <c r="B997" s="1" t="s">
        <v>238</v>
      </c>
      <c r="C997" s="1" t="s">
        <v>3</v>
      </c>
      <c r="D997" s="1">
        <v>1061.6400000000001</v>
      </c>
      <c r="E997" s="1">
        <v>0</v>
      </c>
      <c r="F997" s="1">
        <v>66.84</v>
      </c>
      <c r="G997" s="1">
        <v>441.93200000000002</v>
      </c>
      <c r="H997" s="1">
        <v>6790.9840000000004</v>
      </c>
      <c r="I997" s="1">
        <v>-6369.8230000000003</v>
      </c>
    </row>
    <row r="998" spans="1:9" hidden="1" x14ac:dyDescent="0.25">
      <c r="A998" s="1" t="s">
        <v>9</v>
      </c>
      <c r="B998" s="1" t="s">
        <v>238</v>
      </c>
      <c r="C998" s="1" t="s">
        <v>143</v>
      </c>
      <c r="D998" s="1">
        <v>1383.99</v>
      </c>
      <c r="E998" s="1">
        <v>0</v>
      </c>
      <c r="F998" s="1">
        <v>79.62</v>
      </c>
      <c r="G998" s="1">
        <v>527.15800000000002</v>
      </c>
      <c r="H998" s="1">
        <v>8725.0969999999998</v>
      </c>
      <c r="I998" s="1">
        <v>-8303.9359999999997</v>
      </c>
    </row>
    <row r="999" spans="1:9" hidden="1" x14ac:dyDescent="0.25">
      <c r="A999" s="1" t="s">
        <v>9</v>
      </c>
      <c r="B999" s="1" t="s">
        <v>238</v>
      </c>
      <c r="C999" s="1" t="s">
        <v>3</v>
      </c>
      <c r="D999" s="1">
        <v>1415.52</v>
      </c>
      <c r="E999" s="1">
        <v>0</v>
      </c>
      <c r="F999" s="1">
        <v>79.62</v>
      </c>
      <c r="G999" s="1">
        <v>527.15800000000002</v>
      </c>
      <c r="H999" s="1">
        <v>9156.4920000000002</v>
      </c>
      <c r="I999" s="1">
        <v>-8493.098</v>
      </c>
    </row>
    <row r="1000" spans="1:9" hidden="1" x14ac:dyDescent="0.25">
      <c r="A1000" s="1" t="s">
        <v>10</v>
      </c>
      <c r="B1000" s="1" t="s">
        <v>238</v>
      </c>
      <c r="C1000" s="1" t="s">
        <v>143</v>
      </c>
      <c r="D1000" s="1">
        <v>0</v>
      </c>
      <c r="E1000" s="1">
        <v>0</v>
      </c>
      <c r="F1000" s="1">
        <v>0</v>
      </c>
      <c r="G1000" s="1">
        <v>0</v>
      </c>
      <c r="H1000" s="1">
        <v>0</v>
      </c>
      <c r="I1000" s="1">
        <v>0</v>
      </c>
    </row>
    <row r="1001" spans="1:9" hidden="1" x14ac:dyDescent="0.25">
      <c r="A1001" s="1" t="s">
        <v>10</v>
      </c>
      <c r="B1001" s="1" t="s">
        <v>238</v>
      </c>
      <c r="C1001" s="1" t="s">
        <v>3</v>
      </c>
      <c r="D1001" s="1">
        <v>0</v>
      </c>
      <c r="E1001" s="1">
        <v>0</v>
      </c>
      <c r="F1001" s="1">
        <v>0</v>
      </c>
      <c r="G1001" s="1">
        <v>0</v>
      </c>
      <c r="H1001" s="1">
        <v>0</v>
      </c>
      <c r="I1001" s="1">
        <v>0</v>
      </c>
    </row>
    <row r="1002" spans="1:9" hidden="1" x14ac:dyDescent="0.25">
      <c r="A1002" s="1" t="s">
        <v>125</v>
      </c>
      <c r="B1002" s="1" t="s">
        <v>239</v>
      </c>
      <c r="C1002" s="1" t="s">
        <v>143</v>
      </c>
      <c r="D1002" s="1">
        <v>322.35000000000002</v>
      </c>
      <c r="E1002" s="1">
        <v>0</v>
      </c>
      <c r="F1002" s="1">
        <v>-25.01</v>
      </c>
      <c r="G1002" s="1">
        <v>-165.04300000000001</v>
      </c>
      <c r="H1002" s="1">
        <v>1934.1130000000001</v>
      </c>
      <c r="I1002" s="1">
        <v>-1934.1130000000001</v>
      </c>
    </row>
    <row r="1003" spans="1:9" hidden="1" x14ac:dyDescent="0.25">
      <c r="A1003" s="1" t="s">
        <v>125</v>
      </c>
      <c r="B1003" s="1" t="s">
        <v>239</v>
      </c>
      <c r="C1003" s="1" t="s">
        <v>3</v>
      </c>
      <c r="D1003" s="1">
        <v>353.88</v>
      </c>
      <c r="E1003" s="1">
        <v>0</v>
      </c>
      <c r="F1003" s="1">
        <v>-25.01</v>
      </c>
      <c r="G1003" s="1">
        <v>-165.04300000000001</v>
      </c>
      <c r="H1003" s="1">
        <v>2048.0320000000002</v>
      </c>
      <c r="I1003" s="1">
        <v>-2123.2739999999999</v>
      </c>
    </row>
    <row r="1004" spans="1:9" hidden="1" x14ac:dyDescent="0.25">
      <c r="A1004" s="1" t="s">
        <v>126</v>
      </c>
      <c r="B1004" s="1" t="s">
        <v>239</v>
      </c>
      <c r="C1004" s="1" t="s">
        <v>143</v>
      </c>
      <c r="D1004" s="1">
        <v>676.23</v>
      </c>
      <c r="E1004" s="1">
        <v>0</v>
      </c>
      <c r="F1004" s="1">
        <v>-48.04</v>
      </c>
      <c r="G1004" s="1">
        <v>-317.28500000000003</v>
      </c>
      <c r="H1004" s="1">
        <v>3982.145</v>
      </c>
      <c r="I1004" s="1">
        <v>-4057.3870000000002</v>
      </c>
    </row>
    <row r="1005" spans="1:9" hidden="1" x14ac:dyDescent="0.25">
      <c r="A1005" s="1" t="s">
        <v>126</v>
      </c>
      <c r="B1005" s="1" t="s">
        <v>239</v>
      </c>
      <c r="C1005" s="1" t="s">
        <v>3</v>
      </c>
      <c r="D1005" s="1">
        <v>707.76</v>
      </c>
      <c r="E1005" s="1">
        <v>0</v>
      </c>
      <c r="F1005" s="1">
        <v>-48.04</v>
      </c>
      <c r="G1005" s="1">
        <v>-317.28500000000003</v>
      </c>
      <c r="H1005" s="1">
        <v>4026.7539999999999</v>
      </c>
      <c r="I1005" s="1">
        <v>-4246.549</v>
      </c>
    </row>
    <row r="1006" spans="1:9" hidden="1" x14ac:dyDescent="0.25">
      <c r="A1006" s="1" t="s">
        <v>127</v>
      </c>
      <c r="B1006" s="1" t="s">
        <v>239</v>
      </c>
      <c r="C1006" s="1" t="s">
        <v>143</v>
      </c>
      <c r="D1006" s="1">
        <v>1030.1099999999999</v>
      </c>
      <c r="E1006" s="1">
        <v>0</v>
      </c>
      <c r="F1006" s="1">
        <v>-66.84</v>
      </c>
      <c r="G1006" s="1">
        <v>-441.93200000000002</v>
      </c>
      <c r="H1006" s="1">
        <v>5960.8670000000002</v>
      </c>
      <c r="I1006" s="1">
        <v>-6180.6620000000003</v>
      </c>
    </row>
    <row r="1007" spans="1:9" hidden="1" x14ac:dyDescent="0.25">
      <c r="A1007" s="1" t="s">
        <v>127</v>
      </c>
      <c r="B1007" s="1" t="s">
        <v>239</v>
      </c>
      <c r="C1007" s="1" t="s">
        <v>3</v>
      </c>
      <c r="D1007" s="1">
        <v>1061.6400000000001</v>
      </c>
      <c r="E1007" s="1">
        <v>0</v>
      </c>
      <c r="F1007" s="1">
        <v>-66.84</v>
      </c>
      <c r="G1007" s="1">
        <v>-441.93200000000002</v>
      </c>
      <c r="H1007" s="1">
        <v>5948.6629999999996</v>
      </c>
      <c r="I1007" s="1">
        <v>-6369.8230000000003</v>
      </c>
    </row>
    <row r="1008" spans="1:9" hidden="1" x14ac:dyDescent="0.25">
      <c r="A1008" s="1" t="s">
        <v>9</v>
      </c>
      <c r="B1008" s="1" t="s">
        <v>239</v>
      </c>
      <c r="C1008" s="1" t="s">
        <v>143</v>
      </c>
      <c r="D1008" s="1">
        <v>1383.99</v>
      </c>
      <c r="E1008" s="1">
        <v>0</v>
      </c>
      <c r="F1008" s="1">
        <v>-79.62</v>
      </c>
      <c r="G1008" s="1">
        <v>-527.15800000000002</v>
      </c>
      <c r="H1008" s="1">
        <v>7882.7759999999998</v>
      </c>
      <c r="I1008" s="1">
        <v>-8303.9359999999997</v>
      </c>
    </row>
    <row r="1009" spans="1:9" hidden="1" x14ac:dyDescent="0.25">
      <c r="A1009" s="1" t="s">
        <v>9</v>
      </c>
      <c r="B1009" s="1" t="s">
        <v>239</v>
      </c>
      <c r="C1009" s="1" t="s">
        <v>3</v>
      </c>
      <c r="D1009" s="1">
        <v>1415.52</v>
      </c>
      <c r="E1009" s="1">
        <v>0</v>
      </c>
      <c r="F1009" s="1">
        <v>-79.62</v>
      </c>
      <c r="G1009" s="1">
        <v>-527.15800000000002</v>
      </c>
      <c r="H1009" s="1">
        <v>7829.7039999999997</v>
      </c>
      <c r="I1009" s="1">
        <v>-8493.098</v>
      </c>
    </row>
    <row r="1010" spans="1:9" hidden="1" x14ac:dyDescent="0.25">
      <c r="A1010" s="1" t="s">
        <v>10</v>
      </c>
      <c r="B1010" s="1" t="s">
        <v>239</v>
      </c>
      <c r="C1010" s="1" t="s">
        <v>143</v>
      </c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</row>
    <row r="1011" spans="1:9" hidden="1" x14ac:dyDescent="0.25">
      <c r="A1011" s="1" t="s">
        <v>10</v>
      </c>
      <c r="B1011" s="1" t="s">
        <v>239</v>
      </c>
      <c r="C1011" s="1" t="s">
        <v>3</v>
      </c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</row>
    <row r="1012" spans="1:9" hidden="1" x14ac:dyDescent="0.25">
      <c r="A1012" s="1" t="s">
        <v>125</v>
      </c>
      <c r="B1012" s="1" t="s">
        <v>240</v>
      </c>
      <c r="C1012" s="1" t="s">
        <v>143</v>
      </c>
      <c r="D1012" s="1">
        <v>255.52</v>
      </c>
      <c r="E1012" s="1">
        <v>0</v>
      </c>
      <c r="F1012" s="1">
        <v>25.01</v>
      </c>
      <c r="G1012" s="1">
        <v>165.04300000000001</v>
      </c>
      <c r="H1012" s="1">
        <v>1533.11</v>
      </c>
      <c r="I1012" s="1">
        <v>-1533.11</v>
      </c>
    </row>
    <row r="1013" spans="1:9" hidden="1" x14ac:dyDescent="0.25">
      <c r="A1013" s="1" t="s">
        <v>125</v>
      </c>
      <c r="B1013" s="1" t="s">
        <v>240</v>
      </c>
      <c r="C1013" s="1" t="s">
        <v>3</v>
      </c>
      <c r="D1013" s="1">
        <v>280.04000000000002</v>
      </c>
      <c r="E1013" s="1">
        <v>0</v>
      </c>
      <c r="F1013" s="1">
        <v>25.01</v>
      </c>
      <c r="G1013" s="1">
        <v>165.04300000000001</v>
      </c>
      <c r="H1013" s="1">
        <v>1755.4780000000001</v>
      </c>
      <c r="I1013" s="1">
        <v>-1680.2360000000001</v>
      </c>
    </row>
    <row r="1014" spans="1:9" hidden="1" x14ac:dyDescent="0.25">
      <c r="A1014" s="1" t="s">
        <v>126</v>
      </c>
      <c r="B1014" s="1" t="s">
        <v>240</v>
      </c>
      <c r="C1014" s="1" t="s">
        <v>143</v>
      </c>
      <c r="D1014" s="1">
        <v>535.55999999999995</v>
      </c>
      <c r="E1014" s="1">
        <v>0</v>
      </c>
      <c r="F1014" s="1">
        <v>48.04</v>
      </c>
      <c r="G1014" s="1">
        <v>317.28500000000003</v>
      </c>
      <c r="H1014" s="1">
        <v>3288.5880000000002</v>
      </c>
      <c r="I1014" s="1">
        <v>-3213.346</v>
      </c>
    </row>
    <row r="1015" spans="1:9" hidden="1" x14ac:dyDescent="0.25">
      <c r="A1015" s="1" t="s">
        <v>126</v>
      </c>
      <c r="B1015" s="1" t="s">
        <v>240</v>
      </c>
      <c r="C1015" s="1" t="s">
        <v>3</v>
      </c>
      <c r="D1015" s="1">
        <v>560.08000000000004</v>
      </c>
      <c r="E1015" s="1">
        <v>0</v>
      </c>
      <c r="F1015" s="1">
        <v>48.04</v>
      </c>
      <c r="G1015" s="1">
        <v>317.28500000000003</v>
      </c>
      <c r="H1015" s="1">
        <v>3580.2660000000001</v>
      </c>
      <c r="I1015" s="1">
        <v>-3360.471</v>
      </c>
    </row>
    <row r="1016" spans="1:9" hidden="1" x14ac:dyDescent="0.25">
      <c r="A1016" s="1" t="s">
        <v>127</v>
      </c>
      <c r="B1016" s="1" t="s">
        <v>240</v>
      </c>
      <c r="C1016" s="1" t="s">
        <v>143</v>
      </c>
      <c r="D1016" s="1">
        <v>815.6</v>
      </c>
      <c r="E1016" s="1">
        <v>0</v>
      </c>
      <c r="F1016" s="1">
        <v>66.84</v>
      </c>
      <c r="G1016" s="1">
        <v>441.93200000000002</v>
      </c>
      <c r="H1016" s="1">
        <v>5113.3760000000002</v>
      </c>
      <c r="I1016" s="1">
        <v>-4893.5810000000001</v>
      </c>
    </row>
    <row r="1017" spans="1:9" hidden="1" x14ac:dyDescent="0.25">
      <c r="A1017" s="1" t="s">
        <v>127</v>
      </c>
      <c r="B1017" s="1" t="s">
        <v>240</v>
      </c>
      <c r="C1017" s="1" t="s">
        <v>3</v>
      </c>
      <c r="D1017" s="1">
        <v>840.12</v>
      </c>
      <c r="E1017" s="1">
        <v>0</v>
      </c>
      <c r="F1017" s="1">
        <v>66.84</v>
      </c>
      <c r="G1017" s="1">
        <v>441.93200000000002</v>
      </c>
      <c r="H1017" s="1">
        <v>5461.8670000000002</v>
      </c>
      <c r="I1017" s="1">
        <v>-5040.7070000000003</v>
      </c>
    </row>
    <row r="1018" spans="1:9" hidden="1" x14ac:dyDescent="0.25">
      <c r="A1018" s="1" t="s">
        <v>9</v>
      </c>
      <c r="B1018" s="1" t="s">
        <v>240</v>
      </c>
      <c r="C1018" s="1" t="s">
        <v>143</v>
      </c>
      <c r="D1018" s="1">
        <v>1095.6400000000001</v>
      </c>
      <c r="E1018" s="1">
        <v>0</v>
      </c>
      <c r="F1018" s="1">
        <v>79.62</v>
      </c>
      <c r="G1018" s="1">
        <v>527.15800000000002</v>
      </c>
      <c r="H1018" s="1">
        <v>6994.9769999999999</v>
      </c>
      <c r="I1018" s="1">
        <v>-6573.817</v>
      </c>
    </row>
    <row r="1019" spans="1:9" hidden="1" x14ac:dyDescent="0.25">
      <c r="A1019" s="1" t="s">
        <v>9</v>
      </c>
      <c r="B1019" s="1" t="s">
        <v>240</v>
      </c>
      <c r="C1019" s="1" t="s">
        <v>3</v>
      </c>
      <c r="D1019" s="1">
        <v>1120.1600000000001</v>
      </c>
      <c r="E1019" s="1">
        <v>0</v>
      </c>
      <c r="F1019" s="1">
        <v>79.62</v>
      </c>
      <c r="G1019" s="1">
        <v>527.15800000000002</v>
      </c>
      <c r="H1019" s="1">
        <v>7384.3370000000004</v>
      </c>
      <c r="I1019" s="1">
        <v>-6720.9430000000002</v>
      </c>
    </row>
    <row r="1020" spans="1:9" hidden="1" x14ac:dyDescent="0.25">
      <c r="A1020" s="1" t="s">
        <v>10</v>
      </c>
      <c r="B1020" s="1" t="s">
        <v>240</v>
      </c>
      <c r="C1020" s="1" t="s">
        <v>143</v>
      </c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</row>
    <row r="1021" spans="1:9" hidden="1" x14ac:dyDescent="0.25">
      <c r="A1021" s="1" t="s">
        <v>10</v>
      </c>
      <c r="B1021" s="1" t="s">
        <v>240</v>
      </c>
      <c r="C1021" s="1" t="s">
        <v>3</v>
      </c>
      <c r="D1021" s="1">
        <v>0</v>
      </c>
      <c r="E1021" s="1">
        <v>0</v>
      </c>
      <c r="F1021" s="1">
        <v>0</v>
      </c>
      <c r="G1021" s="1">
        <v>0</v>
      </c>
      <c r="H1021" s="1">
        <v>0</v>
      </c>
      <c r="I1021" s="1">
        <v>0</v>
      </c>
    </row>
    <row r="1022" spans="1:9" hidden="1" x14ac:dyDescent="0.25">
      <c r="A1022" s="1" t="s">
        <v>125</v>
      </c>
      <c r="B1022" s="1" t="s">
        <v>241</v>
      </c>
      <c r="C1022" s="1" t="s">
        <v>143</v>
      </c>
      <c r="D1022" s="1">
        <v>255.52</v>
      </c>
      <c r="E1022" s="1">
        <v>0</v>
      </c>
      <c r="F1022" s="1">
        <v>-25.01</v>
      </c>
      <c r="G1022" s="1">
        <v>-165.04300000000001</v>
      </c>
      <c r="H1022" s="1">
        <v>1533.11</v>
      </c>
      <c r="I1022" s="1">
        <v>-1533.11</v>
      </c>
    </row>
    <row r="1023" spans="1:9" hidden="1" x14ac:dyDescent="0.25">
      <c r="A1023" s="1" t="s">
        <v>125</v>
      </c>
      <c r="B1023" s="1" t="s">
        <v>241</v>
      </c>
      <c r="C1023" s="1" t="s">
        <v>3</v>
      </c>
      <c r="D1023" s="1">
        <v>280.04000000000002</v>
      </c>
      <c r="E1023" s="1">
        <v>0</v>
      </c>
      <c r="F1023" s="1">
        <v>-25.01</v>
      </c>
      <c r="G1023" s="1">
        <v>-165.04300000000001</v>
      </c>
      <c r="H1023" s="1">
        <v>1604.9929999999999</v>
      </c>
      <c r="I1023" s="1">
        <v>-1680.2360000000001</v>
      </c>
    </row>
    <row r="1024" spans="1:9" hidden="1" x14ac:dyDescent="0.25">
      <c r="A1024" s="1" t="s">
        <v>126</v>
      </c>
      <c r="B1024" s="1" t="s">
        <v>241</v>
      </c>
      <c r="C1024" s="1" t="s">
        <v>143</v>
      </c>
      <c r="D1024" s="1">
        <v>535.55999999999995</v>
      </c>
      <c r="E1024" s="1">
        <v>0</v>
      </c>
      <c r="F1024" s="1">
        <v>-48.04</v>
      </c>
      <c r="G1024" s="1">
        <v>-317.28500000000003</v>
      </c>
      <c r="H1024" s="1">
        <v>3138.1030000000001</v>
      </c>
      <c r="I1024" s="1">
        <v>-3213.346</v>
      </c>
    </row>
    <row r="1025" spans="1:9" hidden="1" x14ac:dyDescent="0.25">
      <c r="A1025" s="1" t="s">
        <v>126</v>
      </c>
      <c r="B1025" s="1" t="s">
        <v>241</v>
      </c>
      <c r="C1025" s="1" t="s">
        <v>3</v>
      </c>
      <c r="D1025" s="1">
        <v>560.08000000000004</v>
      </c>
      <c r="E1025" s="1">
        <v>0</v>
      </c>
      <c r="F1025" s="1">
        <v>-48.04</v>
      </c>
      <c r="G1025" s="1">
        <v>-317.28500000000003</v>
      </c>
      <c r="H1025" s="1">
        <v>3140.6770000000001</v>
      </c>
      <c r="I1025" s="1">
        <v>-3360.471</v>
      </c>
    </row>
    <row r="1026" spans="1:9" hidden="1" x14ac:dyDescent="0.25">
      <c r="A1026" s="1" t="s">
        <v>127</v>
      </c>
      <c r="B1026" s="1" t="s">
        <v>241</v>
      </c>
      <c r="C1026" s="1" t="s">
        <v>143</v>
      </c>
      <c r="D1026" s="1">
        <v>815.6</v>
      </c>
      <c r="E1026" s="1">
        <v>0</v>
      </c>
      <c r="F1026" s="1">
        <v>-66.84</v>
      </c>
      <c r="G1026" s="1">
        <v>-441.93200000000002</v>
      </c>
      <c r="H1026" s="1">
        <v>4673.7870000000003</v>
      </c>
      <c r="I1026" s="1">
        <v>-4893.5810000000001</v>
      </c>
    </row>
    <row r="1027" spans="1:9" hidden="1" x14ac:dyDescent="0.25">
      <c r="A1027" s="1" t="s">
        <v>127</v>
      </c>
      <c r="B1027" s="1" t="s">
        <v>241</v>
      </c>
      <c r="C1027" s="1" t="s">
        <v>3</v>
      </c>
      <c r="D1027" s="1">
        <v>840.12</v>
      </c>
      <c r="E1027" s="1">
        <v>0</v>
      </c>
      <c r="F1027" s="1">
        <v>-66.84</v>
      </c>
      <c r="G1027" s="1">
        <v>-441.93200000000002</v>
      </c>
      <c r="H1027" s="1">
        <v>4619.5469999999996</v>
      </c>
      <c r="I1027" s="1">
        <v>-5040.7070000000003</v>
      </c>
    </row>
    <row r="1028" spans="1:9" hidden="1" x14ac:dyDescent="0.25">
      <c r="A1028" s="1" t="s">
        <v>9</v>
      </c>
      <c r="B1028" s="1" t="s">
        <v>241</v>
      </c>
      <c r="C1028" s="1" t="s">
        <v>143</v>
      </c>
      <c r="D1028" s="1">
        <v>1095.6400000000001</v>
      </c>
      <c r="E1028" s="1">
        <v>0</v>
      </c>
      <c r="F1028" s="1">
        <v>-79.62</v>
      </c>
      <c r="G1028" s="1">
        <v>-527.15800000000002</v>
      </c>
      <c r="H1028" s="1">
        <v>6152.6570000000002</v>
      </c>
      <c r="I1028" s="1">
        <v>-6573.817</v>
      </c>
    </row>
    <row r="1029" spans="1:9" hidden="1" x14ac:dyDescent="0.25">
      <c r="A1029" s="1" t="s">
        <v>9</v>
      </c>
      <c r="B1029" s="1" t="s">
        <v>241</v>
      </c>
      <c r="C1029" s="1" t="s">
        <v>3</v>
      </c>
      <c r="D1029" s="1">
        <v>1120.1600000000001</v>
      </c>
      <c r="E1029" s="1">
        <v>0</v>
      </c>
      <c r="F1029" s="1">
        <v>-79.62</v>
      </c>
      <c r="G1029" s="1">
        <v>-527.15800000000002</v>
      </c>
      <c r="H1029" s="1">
        <v>6057.549</v>
      </c>
      <c r="I1029" s="1">
        <v>-6720.9430000000002</v>
      </c>
    </row>
    <row r="1030" spans="1:9" hidden="1" x14ac:dyDescent="0.25">
      <c r="A1030" s="1" t="s">
        <v>10</v>
      </c>
      <c r="B1030" s="1" t="s">
        <v>241</v>
      </c>
      <c r="C1030" s="1" t="s">
        <v>143</v>
      </c>
      <c r="D1030" s="1">
        <v>0</v>
      </c>
      <c r="E1030" s="1">
        <v>0</v>
      </c>
      <c r="F1030" s="1">
        <v>0</v>
      </c>
      <c r="G1030" s="1">
        <v>0</v>
      </c>
      <c r="H1030" s="1">
        <v>0</v>
      </c>
      <c r="I1030" s="1">
        <v>0</v>
      </c>
    </row>
    <row r="1031" spans="1:9" hidden="1" x14ac:dyDescent="0.25">
      <c r="A1031" s="1" t="s">
        <v>10</v>
      </c>
      <c r="B1031" s="1" t="s">
        <v>241</v>
      </c>
      <c r="C1031" s="1" t="s">
        <v>3</v>
      </c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</row>
    <row r="1032" spans="1:9" hidden="1" x14ac:dyDescent="0.25">
      <c r="A1032" s="1" t="s">
        <v>125</v>
      </c>
      <c r="B1032" s="1" t="s">
        <v>242</v>
      </c>
      <c r="C1032" s="1" t="s">
        <v>143</v>
      </c>
      <c r="D1032" s="1">
        <v>210.53</v>
      </c>
      <c r="E1032" s="1">
        <v>90.93</v>
      </c>
      <c r="F1032" s="1">
        <v>0</v>
      </c>
      <c r="G1032" s="1">
        <v>600.15700000000004</v>
      </c>
      <c r="H1032" s="1">
        <v>1263.1590000000001</v>
      </c>
      <c r="I1032" s="1">
        <v>-1263.1590000000001</v>
      </c>
    </row>
    <row r="1033" spans="1:9" hidden="1" x14ac:dyDescent="0.25">
      <c r="A1033" s="1" t="s">
        <v>125</v>
      </c>
      <c r="B1033" s="1" t="s">
        <v>242</v>
      </c>
      <c r="C1033" s="1" t="s">
        <v>3</v>
      </c>
      <c r="D1033" s="1">
        <v>232.6</v>
      </c>
      <c r="E1033" s="1">
        <v>90.93</v>
      </c>
      <c r="F1033" s="1">
        <v>0</v>
      </c>
      <c r="G1033" s="1">
        <v>600.15700000000004</v>
      </c>
      <c r="H1033" s="1">
        <v>1395.5719999999999</v>
      </c>
      <c r="I1033" s="1">
        <v>-1121.962</v>
      </c>
    </row>
    <row r="1034" spans="1:9" hidden="1" x14ac:dyDescent="0.25">
      <c r="A1034" s="1" t="s">
        <v>126</v>
      </c>
      <c r="B1034" s="1" t="s">
        <v>242</v>
      </c>
      <c r="C1034" s="1" t="s">
        <v>143</v>
      </c>
      <c r="D1034" s="1">
        <v>443.12</v>
      </c>
      <c r="E1034" s="1">
        <v>174.68</v>
      </c>
      <c r="F1034" s="1">
        <v>0</v>
      </c>
      <c r="G1034" s="1">
        <v>1153.7639999999999</v>
      </c>
      <c r="H1034" s="1">
        <v>2658.7310000000002</v>
      </c>
      <c r="I1034" s="1">
        <v>-2385.1219999999998</v>
      </c>
    </row>
    <row r="1035" spans="1:9" hidden="1" x14ac:dyDescent="0.25">
      <c r="A1035" s="1" t="s">
        <v>126</v>
      </c>
      <c r="B1035" s="1" t="s">
        <v>242</v>
      </c>
      <c r="C1035" s="1" t="s">
        <v>3</v>
      </c>
      <c r="D1035" s="1">
        <v>465.19</v>
      </c>
      <c r="E1035" s="1">
        <v>174.68</v>
      </c>
      <c r="F1035" s="1">
        <v>0</v>
      </c>
      <c r="G1035" s="1">
        <v>1153.7639999999999</v>
      </c>
      <c r="H1035" s="1">
        <v>2791.1439999999998</v>
      </c>
      <c r="I1035" s="1">
        <v>-1991.89</v>
      </c>
    </row>
    <row r="1036" spans="1:9" hidden="1" x14ac:dyDescent="0.25">
      <c r="A1036" s="1" t="s">
        <v>127</v>
      </c>
      <c r="B1036" s="1" t="s">
        <v>242</v>
      </c>
      <c r="C1036" s="1" t="s">
        <v>143</v>
      </c>
      <c r="D1036" s="1">
        <v>675.72</v>
      </c>
      <c r="E1036" s="1">
        <v>243.05</v>
      </c>
      <c r="F1036" s="1">
        <v>0</v>
      </c>
      <c r="G1036" s="1">
        <v>1607.0250000000001</v>
      </c>
      <c r="H1036" s="1">
        <v>4054.3029999999999</v>
      </c>
      <c r="I1036" s="1">
        <v>-3255.049</v>
      </c>
    </row>
    <row r="1037" spans="1:9" hidden="1" x14ac:dyDescent="0.25">
      <c r="A1037" s="1" t="s">
        <v>127</v>
      </c>
      <c r="B1037" s="1" t="s">
        <v>242</v>
      </c>
      <c r="C1037" s="1" t="s">
        <v>3</v>
      </c>
      <c r="D1037" s="1">
        <v>697.79</v>
      </c>
      <c r="E1037" s="1">
        <v>243.05</v>
      </c>
      <c r="F1037" s="1">
        <v>0</v>
      </c>
      <c r="G1037" s="1">
        <v>1607.0250000000001</v>
      </c>
      <c r="H1037" s="1">
        <v>4186.7160000000003</v>
      </c>
      <c r="I1037" s="1">
        <v>-2655.2249999999999</v>
      </c>
    </row>
    <row r="1038" spans="1:9" hidden="1" x14ac:dyDescent="0.25">
      <c r="A1038" s="1" t="s">
        <v>9</v>
      </c>
      <c r="B1038" s="1" t="s">
        <v>242</v>
      </c>
      <c r="C1038" s="1" t="s">
        <v>143</v>
      </c>
      <c r="D1038" s="1">
        <v>908.31</v>
      </c>
      <c r="E1038" s="1">
        <v>289.55</v>
      </c>
      <c r="F1038" s="1">
        <v>0</v>
      </c>
      <c r="G1038" s="1">
        <v>1916.9390000000001</v>
      </c>
      <c r="H1038" s="1">
        <v>5449.875</v>
      </c>
      <c r="I1038" s="1">
        <v>-3918.384</v>
      </c>
    </row>
    <row r="1039" spans="1:9" hidden="1" x14ac:dyDescent="0.25">
      <c r="A1039" s="1" t="s">
        <v>9</v>
      </c>
      <c r="B1039" s="1" t="s">
        <v>242</v>
      </c>
      <c r="C1039" s="1" t="s">
        <v>3</v>
      </c>
      <c r="D1039" s="1">
        <v>930.38</v>
      </c>
      <c r="E1039" s="1">
        <v>289.55</v>
      </c>
      <c r="F1039" s="1">
        <v>0</v>
      </c>
      <c r="G1039" s="1">
        <v>1916.9390000000001</v>
      </c>
      <c r="H1039" s="1">
        <v>5582.2879999999996</v>
      </c>
      <c r="I1039" s="1">
        <v>-3169.9459999999999</v>
      </c>
    </row>
    <row r="1040" spans="1:9" hidden="1" x14ac:dyDescent="0.25">
      <c r="A1040" s="1" t="s">
        <v>10</v>
      </c>
      <c r="B1040" s="1" t="s">
        <v>242</v>
      </c>
      <c r="C1040" s="1" t="s">
        <v>143</v>
      </c>
      <c r="D1040" s="1">
        <v>0</v>
      </c>
      <c r="E1040" s="1">
        <v>0</v>
      </c>
      <c r="F1040" s="1">
        <v>0</v>
      </c>
      <c r="G1040" s="1">
        <v>0</v>
      </c>
      <c r="H1040" s="1">
        <v>0</v>
      </c>
      <c r="I1040" s="1">
        <v>0</v>
      </c>
    </row>
    <row r="1041" spans="1:9" hidden="1" x14ac:dyDescent="0.25">
      <c r="A1041" s="1" t="s">
        <v>10</v>
      </c>
      <c r="B1041" s="1" t="s">
        <v>242</v>
      </c>
      <c r="C1041" s="1" t="s">
        <v>3</v>
      </c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</row>
    <row r="1042" spans="1:9" hidden="1" x14ac:dyDescent="0.25">
      <c r="A1042" s="1" t="s">
        <v>125</v>
      </c>
      <c r="B1042" s="1" t="s">
        <v>243</v>
      </c>
      <c r="C1042" s="1" t="s">
        <v>143</v>
      </c>
      <c r="D1042" s="1">
        <v>210.53</v>
      </c>
      <c r="E1042" s="1">
        <v>-90.93</v>
      </c>
      <c r="F1042" s="1">
        <v>0</v>
      </c>
      <c r="G1042" s="1">
        <v>-600.15700000000004</v>
      </c>
      <c r="H1042" s="1">
        <v>1263.1590000000001</v>
      </c>
      <c r="I1042" s="1">
        <v>-1263.1590000000001</v>
      </c>
    </row>
    <row r="1043" spans="1:9" hidden="1" x14ac:dyDescent="0.25">
      <c r="A1043" s="1" t="s">
        <v>125</v>
      </c>
      <c r="B1043" s="1" t="s">
        <v>243</v>
      </c>
      <c r="C1043" s="1" t="s">
        <v>3</v>
      </c>
      <c r="D1043" s="1">
        <v>232.6</v>
      </c>
      <c r="E1043" s="1">
        <v>-90.93</v>
      </c>
      <c r="F1043" s="1">
        <v>0</v>
      </c>
      <c r="G1043" s="1">
        <v>-600.15700000000004</v>
      </c>
      <c r="H1043" s="1">
        <v>1395.5719999999999</v>
      </c>
      <c r="I1043" s="1">
        <v>-1669.182</v>
      </c>
    </row>
    <row r="1044" spans="1:9" hidden="1" x14ac:dyDescent="0.25">
      <c r="A1044" s="1" t="s">
        <v>126</v>
      </c>
      <c r="B1044" s="1" t="s">
        <v>243</v>
      </c>
      <c r="C1044" s="1" t="s">
        <v>143</v>
      </c>
      <c r="D1044" s="1">
        <v>443.12</v>
      </c>
      <c r="E1044" s="1">
        <v>-174.68</v>
      </c>
      <c r="F1044" s="1">
        <v>0</v>
      </c>
      <c r="G1044" s="1">
        <v>-1153.7639999999999</v>
      </c>
      <c r="H1044" s="1">
        <v>2658.7310000000002</v>
      </c>
      <c r="I1044" s="1">
        <v>-2932.3409999999999</v>
      </c>
    </row>
    <row r="1045" spans="1:9" hidden="1" x14ac:dyDescent="0.25">
      <c r="A1045" s="1" t="s">
        <v>126</v>
      </c>
      <c r="B1045" s="1" t="s">
        <v>243</v>
      </c>
      <c r="C1045" s="1" t="s">
        <v>3</v>
      </c>
      <c r="D1045" s="1">
        <v>465.19</v>
      </c>
      <c r="E1045" s="1">
        <v>-174.68</v>
      </c>
      <c r="F1045" s="1">
        <v>0</v>
      </c>
      <c r="G1045" s="1">
        <v>-1153.7639999999999</v>
      </c>
      <c r="H1045" s="1">
        <v>2791.1439999999998</v>
      </c>
      <c r="I1045" s="1">
        <v>-3590.3980000000001</v>
      </c>
    </row>
    <row r="1046" spans="1:9" hidden="1" x14ac:dyDescent="0.25">
      <c r="A1046" s="1" t="s">
        <v>127</v>
      </c>
      <c r="B1046" s="1" t="s">
        <v>243</v>
      </c>
      <c r="C1046" s="1" t="s">
        <v>143</v>
      </c>
      <c r="D1046" s="1">
        <v>675.72</v>
      </c>
      <c r="E1046" s="1">
        <v>-243.05</v>
      </c>
      <c r="F1046" s="1">
        <v>0</v>
      </c>
      <c r="G1046" s="1">
        <v>-1607.0250000000001</v>
      </c>
      <c r="H1046" s="1">
        <v>4054.3029999999999</v>
      </c>
      <c r="I1046" s="1">
        <v>-4853.5569999999998</v>
      </c>
    </row>
    <row r="1047" spans="1:9" hidden="1" x14ac:dyDescent="0.25">
      <c r="A1047" s="1" t="s">
        <v>127</v>
      </c>
      <c r="B1047" s="1" t="s">
        <v>243</v>
      </c>
      <c r="C1047" s="1" t="s">
        <v>3</v>
      </c>
      <c r="D1047" s="1">
        <v>697.79</v>
      </c>
      <c r="E1047" s="1">
        <v>-243.05</v>
      </c>
      <c r="F1047" s="1">
        <v>0</v>
      </c>
      <c r="G1047" s="1">
        <v>-1607.0250000000001</v>
      </c>
      <c r="H1047" s="1">
        <v>4186.7160000000003</v>
      </c>
      <c r="I1047" s="1">
        <v>-5718.2079999999996</v>
      </c>
    </row>
    <row r="1048" spans="1:9" hidden="1" x14ac:dyDescent="0.25">
      <c r="A1048" s="1" t="s">
        <v>9</v>
      </c>
      <c r="B1048" s="1" t="s">
        <v>243</v>
      </c>
      <c r="C1048" s="1" t="s">
        <v>143</v>
      </c>
      <c r="D1048" s="1">
        <v>908.31</v>
      </c>
      <c r="E1048" s="1">
        <v>-289.55</v>
      </c>
      <c r="F1048" s="1">
        <v>0</v>
      </c>
      <c r="G1048" s="1">
        <v>-1916.9390000000001</v>
      </c>
      <c r="H1048" s="1">
        <v>5449.875</v>
      </c>
      <c r="I1048" s="1">
        <v>-6981.3670000000002</v>
      </c>
    </row>
    <row r="1049" spans="1:9" hidden="1" x14ac:dyDescent="0.25">
      <c r="A1049" s="1" t="s">
        <v>9</v>
      </c>
      <c r="B1049" s="1" t="s">
        <v>243</v>
      </c>
      <c r="C1049" s="1" t="s">
        <v>3</v>
      </c>
      <c r="D1049" s="1">
        <v>930.38</v>
      </c>
      <c r="E1049" s="1">
        <v>-289.55</v>
      </c>
      <c r="F1049" s="1">
        <v>0</v>
      </c>
      <c r="G1049" s="1">
        <v>-1916.9390000000001</v>
      </c>
      <c r="H1049" s="1">
        <v>5582.2879999999996</v>
      </c>
      <c r="I1049" s="1">
        <v>-7994.6310000000003</v>
      </c>
    </row>
    <row r="1050" spans="1:9" hidden="1" x14ac:dyDescent="0.25">
      <c r="A1050" s="1" t="s">
        <v>10</v>
      </c>
      <c r="B1050" s="1" t="s">
        <v>243</v>
      </c>
      <c r="C1050" s="1" t="s">
        <v>143</v>
      </c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</row>
    <row r="1051" spans="1:9" hidden="1" x14ac:dyDescent="0.25">
      <c r="A1051" s="1" t="s">
        <v>10</v>
      </c>
      <c r="B1051" s="1" t="s">
        <v>243</v>
      </c>
      <c r="C1051" s="1" t="s">
        <v>3</v>
      </c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</row>
    <row r="1052" spans="1:9" hidden="1" x14ac:dyDescent="0.25">
      <c r="A1052" s="1" t="s">
        <v>125</v>
      </c>
      <c r="B1052" s="1" t="s">
        <v>244</v>
      </c>
      <c r="C1052" s="1" t="s">
        <v>143</v>
      </c>
      <c r="D1052" s="1">
        <v>190.48</v>
      </c>
      <c r="E1052" s="1">
        <v>90.93</v>
      </c>
      <c r="F1052" s="1">
        <v>0</v>
      </c>
      <c r="G1052" s="1">
        <v>600.15700000000004</v>
      </c>
      <c r="H1052" s="1">
        <v>1142.8579999999999</v>
      </c>
      <c r="I1052" s="1">
        <v>-1142.8579999999999</v>
      </c>
    </row>
    <row r="1053" spans="1:9" hidden="1" x14ac:dyDescent="0.25">
      <c r="A1053" s="1" t="s">
        <v>125</v>
      </c>
      <c r="B1053" s="1" t="s">
        <v>244</v>
      </c>
      <c r="C1053" s="1" t="s">
        <v>3</v>
      </c>
      <c r="D1053" s="1">
        <v>210.44</v>
      </c>
      <c r="E1053" s="1">
        <v>90.93</v>
      </c>
      <c r="F1053" s="1">
        <v>0</v>
      </c>
      <c r="G1053" s="1">
        <v>600.15700000000004</v>
      </c>
      <c r="H1053" s="1">
        <v>1262.6600000000001</v>
      </c>
      <c r="I1053" s="1">
        <v>-989.05100000000004</v>
      </c>
    </row>
    <row r="1054" spans="1:9" hidden="1" x14ac:dyDescent="0.25">
      <c r="A1054" s="1" t="s">
        <v>126</v>
      </c>
      <c r="B1054" s="1" t="s">
        <v>244</v>
      </c>
      <c r="C1054" s="1" t="s">
        <v>143</v>
      </c>
      <c r="D1054" s="1">
        <v>400.92</v>
      </c>
      <c r="E1054" s="1">
        <v>174.68</v>
      </c>
      <c r="F1054" s="1">
        <v>0</v>
      </c>
      <c r="G1054" s="1">
        <v>1153.7639999999999</v>
      </c>
      <c r="H1054" s="1">
        <v>2405.5189999999998</v>
      </c>
      <c r="I1054" s="1">
        <v>-2131.9090000000001</v>
      </c>
    </row>
    <row r="1055" spans="1:9" hidden="1" x14ac:dyDescent="0.25">
      <c r="A1055" s="1" t="s">
        <v>126</v>
      </c>
      <c r="B1055" s="1" t="s">
        <v>244</v>
      </c>
      <c r="C1055" s="1" t="s">
        <v>3</v>
      </c>
      <c r="D1055" s="1">
        <v>420.89</v>
      </c>
      <c r="E1055" s="1">
        <v>174.68</v>
      </c>
      <c r="F1055" s="1">
        <v>0</v>
      </c>
      <c r="G1055" s="1">
        <v>1153.7639999999999</v>
      </c>
      <c r="H1055" s="1">
        <v>2525.3209999999999</v>
      </c>
      <c r="I1055" s="1">
        <v>-1726.067</v>
      </c>
    </row>
    <row r="1056" spans="1:9" hidden="1" x14ac:dyDescent="0.25">
      <c r="A1056" s="1" t="s">
        <v>127</v>
      </c>
      <c r="B1056" s="1" t="s">
        <v>244</v>
      </c>
      <c r="C1056" s="1" t="s">
        <v>143</v>
      </c>
      <c r="D1056" s="1">
        <v>611.36</v>
      </c>
      <c r="E1056" s="1">
        <v>243.05</v>
      </c>
      <c r="F1056" s="1">
        <v>0</v>
      </c>
      <c r="G1056" s="1">
        <v>1607.0250000000001</v>
      </c>
      <c r="H1056" s="1">
        <v>3668.1790000000001</v>
      </c>
      <c r="I1056" s="1">
        <v>-2868.9250000000002</v>
      </c>
    </row>
    <row r="1057" spans="1:9" hidden="1" x14ac:dyDescent="0.25">
      <c r="A1057" s="1" t="s">
        <v>127</v>
      </c>
      <c r="B1057" s="1" t="s">
        <v>244</v>
      </c>
      <c r="C1057" s="1" t="s">
        <v>3</v>
      </c>
      <c r="D1057" s="1">
        <v>631.33000000000004</v>
      </c>
      <c r="E1057" s="1">
        <v>243.05</v>
      </c>
      <c r="F1057" s="1">
        <v>0</v>
      </c>
      <c r="G1057" s="1">
        <v>1607.0250000000001</v>
      </c>
      <c r="H1057" s="1">
        <v>3787.9810000000002</v>
      </c>
      <c r="I1057" s="1">
        <v>-2256.4899999999998</v>
      </c>
    </row>
    <row r="1058" spans="1:9" hidden="1" x14ac:dyDescent="0.25">
      <c r="A1058" s="1" t="s">
        <v>9</v>
      </c>
      <c r="B1058" s="1" t="s">
        <v>244</v>
      </c>
      <c r="C1058" s="1" t="s">
        <v>143</v>
      </c>
      <c r="D1058" s="1">
        <v>821.81</v>
      </c>
      <c r="E1058" s="1">
        <v>289.55</v>
      </c>
      <c r="F1058" s="1">
        <v>0</v>
      </c>
      <c r="G1058" s="1">
        <v>1916.9390000000001</v>
      </c>
      <c r="H1058" s="1">
        <v>4930.84</v>
      </c>
      <c r="I1058" s="1">
        <v>-3399.348</v>
      </c>
    </row>
    <row r="1059" spans="1:9" hidden="1" x14ac:dyDescent="0.25">
      <c r="A1059" s="1" t="s">
        <v>9</v>
      </c>
      <c r="B1059" s="1" t="s">
        <v>244</v>
      </c>
      <c r="C1059" s="1" t="s">
        <v>3</v>
      </c>
      <c r="D1059" s="1">
        <v>841.77</v>
      </c>
      <c r="E1059" s="1">
        <v>289.55</v>
      </c>
      <c r="F1059" s="1">
        <v>0</v>
      </c>
      <c r="G1059" s="1">
        <v>1916.9390000000001</v>
      </c>
      <c r="H1059" s="1">
        <v>5050.6419999999998</v>
      </c>
      <c r="I1059" s="1">
        <v>-2638.299</v>
      </c>
    </row>
    <row r="1060" spans="1:9" hidden="1" x14ac:dyDescent="0.25">
      <c r="A1060" s="1" t="s">
        <v>10</v>
      </c>
      <c r="B1060" s="1" t="s">
        <v>244</v>
      </c>
      <c r="C1060" s="1" t="s">
        <v>143</v>
      </c>
      <c r="D1060" s="1">
        <v>0</v>
      </c>
      <c r="E1060" s="1">
        <v>0</v>
      </c>
      <c r="F1060" s="1">
        <v>0</v>
      </c>
      <c r="G1060" s="1">
        <v>0</v>
      </c>
      <c r="H1060" s="1">
        <v>0</v>
      </c>
      <c r="I1060" s="1">
        <v>0</v>
      </c>
    </row>
    <row r="1061" spans="1:9" hidden="1" x14ac:dyDescent="0.25">
      <c r="A1061" s="1" t="s">
        <v>10</v>
      </c>
      <c r="B1061" s="1" t="s">
        <v>244</v>
      </c>
      <c r="C1061" s="1" t="s">
        <v>3</v>
      </c>
      <c r="D1061" s="1">
        <v>0</v>
      </c>
      <c r="E1061" s="1">
        <v>0</v>
      </c>
      <c r="F1061" s="1">
        <v>0</v>
      </c>
      <c r="G1061" s="1">
        <v>0</v>
      </c>
      <c r="H1061" s="1">
        <v>0</v>
      </c>
      <c r="I1061" s="1">
        <v>0</v>
      </c>
    </row>
    <row r="1062" spans="1:9" hidden="1" x14ac:dyDescent="0.25">
      <c r="A1062" s="1" t="s">
        <v>125</v>
      </c>
      <c r="B1062" s="1" t="s">
        <v>245</v>
      </c>
      <c r="C1062" s="1" t="s">
        <v>143</v>
      </c>
      <c r="D1062" s="1">
        <v>190.48</v>
      </c>
      <c r="E1062" s="1">
        <v>-90.93</v>
      </c>
      <c r="F1062" s="1">
        <v>0</v>
      </c>
      <c r="G1062" s="1">
        <v>-600.15700000000004</v>
      </c>
      <c r="H1062" s="1">
        <v>1142.8579999999999</v>
      </c>
      <c r="I1062" s="1">
        <v>-1142.8579999999999</v>
      </c>
    </row>
    <row r="1063" spans="1:9" hidden="1" x14ac:dyDescent="0.25">
      <c r="A1063" s="1" t="s">
        <v>125</v>
      </c>
      <c r="B1063" s="1" t="s">
        <v>245</v>
      </c>
      <c r="C1063" s="1" t="s">
        <v>3</v>
      </c>
      <c r="D1063" s="1">
        <v>210.44</v>
      </c>
      <c r="E1063" s="1">
        <v>-90.93</v>
      </c>
      <c r="F1063" s="1">
        <v>0</v>
      </c>
      <c r="G1063" s="1">
        <v>-600.15700000000004</v>
      </c>
      <c r="H1063" s="1">
        <v>1262.6600000000001</v>
      </c>
      <c r="I1063" s="1">
        <v>-1536.27</v>
      </c>
    </row>
    <row r="1064" spans="1:9" hidden="1" x14ac:dyDescent="0.25">
      <c r="A1064" s="1" t="s">
        <v>126</v>
      </c>
      <c r="B1064" s="1" t="s">
        <v>245</v>
      </c>
      <c r="C1064" s="1" t="s">
        <v>143</v>
      </c>
      <c r="D1064" s="1">
        <v>400.92</v>
      </c>
      <c r="E1064" s="1">
        <v>-174.68</v>
      </c>
      <c r="F1064" s="1">
        <v>0</v>
      </c>
      <c r="G1064" s="1">
        <v>-1153.7639999999999</v>
      </c>
      <c r="H1064" s="1">
        <v>2405.5189999999998</v>
      </c>
      <c r="I1064" s="1">
        <v>-2679.1280000000002</v>
      </c>
    </row>
    <row r="1065" spans="1:9" hidden="1" x14ac:dyDescent="0.25">
      <c r="A1065" s="1" t="s">
        <v>126</v>
      </c>
      <c r="B1065" s="1" t="s">
        <v>245</v>
      </c>
      <c r="C1065" s="1" t="s">
        <v>3</v>
      </c>
      <c r="D1065" s="1">
        <v>420.89</v>
      </c>
      <c r="E1065" s="1">
        <v>-174.68</v>
      </c>
      <c r="F1065" s="1">
        <v>0</v>
      </c>
      <c r="G1065" s="1">
        <v>-1153.7639999999999</v>
      </c>
      <c r="H1065" s="1">
        <v>2525.3209999999999</v>
      </c>
      <c r="I1065" s="1">
        <v>-3324.5749999999998</v>
      </c>
    </row>
    <row r="1066" spans="1:9" hidden="1" x14ac:dyDescent="0.25">
      <c r="A1066" s="1" t="s">
        <v>127</v>
      </c>
      <c r="B1066" s="1" t="s">
        <v>245</v>
      </c>
      <c r="C1066" s="1" t="s">
        <v>143</v>
      </c>
      <c r="D1066" s="1">
        <v>611.36</v>
      </c>
      <c r="E1066" s="1">
        <v>-243.05</v>
      </c>
      <c r="F1066" s="1">
        <v>0</v>
      </c>
      <c r="G1066" s="1">
        <v>-1607.0250000000001</v>
      </c>
      <c r="H1066" s="1">
        <v>3668.1790000000001</v>
      </c>
      <c r="I1066" s="1">
        <v>-4467.433</v>
      </c>
    </row>
    <row r="1067" spans="1:9" hidden="1" x14ac:dyDescent="0.25">
      <c r="A1067" s="1" t="s">
        <v>127</v>
      </c>
      <c r="B1067" s="1" t="s">
        <v>245</v>
      </c>
      <c r="C1067" s="1" t="s">
        <v>3</v>
      </c>
      <c r="D1067" s="1">
        <v>631.33000000000004</v>
      </c>
      <c r="E1067" s="1">
        <v>-243.05</v>
      </c>
      <c r="F1067" s="1">
        <v>0</v>
      </c>
      <c r="G1067" s="1">
        <v>-1607.0250000000001</v>
      </c>
      <c r="H1067" s="1">
        <v>3787.9810000000002</v>
      </c>
      <c r="I1067" s="1">
        <v>-5319.473</v>
      </c>
    </row>
    <row r="1068" spans="1:9" hidden="1" x14ac:dyDescent="0.25">
      <c r="A1068" s="1" t="s">
        <v>9</v>
      </c>
      <c r="B1068" s="1" t="s">
        <v>245</v>
      </c>
      <c r="C1068" s="1" t="s">
        <v>143</v>
      </c>
      <c r="D1068" s="1">
        <v>821.81</v>
      </c>
      <c r="E1068" s="1">
        <v>-289.55</v>
      </c>
      <c r="F1068" s="1">
        <v>0</v>
      </c>
      <c r="G1068" s="1">
        <v>-1916.9390000000001</v>
      </c>
      <c r="H1068" s="1">
        <v>4930.84</v>
      </c>
      <c r="I1068" s="1">
        <v>-6462.3310000000001</v>
      </c>
    </row>
    <row r="1069" spans="1:9" hidden="1" x14ac:dyDescent="0.25">
      <c r="A1069" s="1" t="s">
        <v>9</v>
      </c>
      <c r="B1069" s="1" t="s">
        <v>245</v>
      </c>
      <c r="C1069" s="1" t="s">
        <v>3</v>
      </c>
      <c r="D1069" s="1">
        <v>841.77</v>
      </c>
      <c r="E1069" s="1">
        <v>-289.55</v>
      </c>
      <c r="F1069" s="1">
        <v>0</v>
      </c>
      <c r="G1069" s="1">
        <v>-1916.9390000000001</v>
      </c>
      <c r="H1069" s="1">
        <v>5050.6419999999998</v>
      </c>
      <c r="I1069" s="1">
        <v>-7462.9840000000004</v>
      </c>
    </row>
    <row r="1070" spans="1:9" hidden="1" x14ac:dyDescent="0.25">
      <c r="A1070" s="1" t="s">
        <v>10</v>
      </c>
      <c r="B1070" s="1" t="s">
        <v>245</v>
      </c>
      <c r="C1070" s="1" t="s">
        <v>143</v>
      </c>
      <c r="D1070" s="1">
        <v>0</v>
      </c>
      <c r="E1070" s="1">
        <v>0</v>
      </c>
      <c r="F1070" s="1">
        <v>0</v>
      </c>
      <c r="G1070" s="1">
        <v>0</v>
      </c>
      <c r="H1070" s="1">
        <v>0</v>
      </c>
      <c r="I1070" s="1">
        <v>0</v>
      </c>
    </row>
    <row r="1071" spans="1:9" hidden="1" x14ac:dyDescent="0.25">
      <c r="A1071" s="1" t="s">
        <v>10</v>
      </c>
      <c r="B1071" s="1" t="s">
        <v>245</v>
      </c>
      <c r="C1071" s="1" t="s">
        <v>3</v>
      </c>
      <c r="D1071" s="1">
        <v>0</v>
      </c>
      <c r="E1071" s="1">
        <v>0</v>
      </c>
      <c r="F1071" s="1">
        <v>0</v>
      </c>
      <c r="G1071" s="1">
        <v>0</v>
      </c>
      <c r="H1071" s="1">
        <v>0</v>
      </c>
      <c r="I1071" s="1">
        <v>0</v>
      </c>
    </row>
    <row r="1072" spans="1:9" hidden="1" x14ac:dyDescent="0.25">
      <c r="A1072" s="1" t="s">
        <v>125</v>
      </c>
      <c r="B1072" s="1" t="s">
        <v>246</v>
      </c>
      <c r="C1072" s="1" t="s">
        <v>143</v>
      </c>
      <c r="D1072" s="1">
        <v>210.53</v>
      </c>
      <c r="E1072" s="1">
        <v>0</v>
      </c>
      <c r="F1072" s="1">
        <v>83.36</v>
      </c>
      <c r="G1072" s="1">
        <v>550.14400000000001</v>
      </c>
      <c r="H1072" s="1">
        <v>1263.1590000000001</v>
      </c>
      <c r="I1072" s="1">
        <v>-1263.1590000000001</v>
      </c>
    </row>
    <row r="1073" spans="1:9" hidden="1" x14ac:dyDescent="0.25">
      <c r="A1073" s="1" t="s">
        <v>125</v>
      </c>
      <c r="B1073" s="1" t="s">
        <v>246</v>
      </c>
      <c r="C1073" s="1" t="s">
        <v>3</v>
      </c>
      <c r="D1073" s="1">
        <v>232.6</v>
      </c>
      <c r="E1073" s="1">
        <v>0</v>
      </c>
      <c r="F1073" s="1">
        <v>83.36</v>
      </c>
      <c r="G1073" s="1">
        <v>550.14400000000001</v>
      </c>
      <c r="H1073" s="1">
        <v>1646.3810000000001</v>
      </c>
      <c r="I1073" s="1">
        <v>-1395.5719999999999</v>
      </c>
    </row>
    <row r="1074" spans="1:9" hidden="1" x14ac:dyDescent="0.25">
      <c r="A1074" s="1" t="s">
        <v>126</v>
      </c>
      <c r="B1074" s="1" t="s">
        <v>246</v>
      </c>
      <c r="C1074" s="1" t="s">
        <v>143</v>
      </c>
      <c r="D1074" s="1">
        <v>443.12</v>
      </c>
      <c r="E1074" s="1">
        <v>0</v>
      </c>
      <c r="F1074" s="1">
        <v>160.13</v>
      </c>
      <c r="G1074" s="1">
        <v>1057.617</v>
      </c>
      <c r="H1074" s="1">
        <v>2909.54</v>
      </c>
      <c r="I1074" s="1">
        <v>-2658.7310000000002</v>
      </c>
    </row>
    <row r="1075" spans="1:9" hidden="1" x14ac:dyDescent="0.25">
      <c r="A1075" s="1" t="s">
        <v>126</v>
      </c>
      <c r="B1075" s="1" t="s">
        <v>246</v>
      </c>
      <c r="C1075" s="1" t="s">
        <v>3</v>
      </c>
      <c r="D1075" s="1">
        <v>465.19</v>
      </c>
      <c r="E1075" s="1">
        <v>0</v>
      </c>
      <c r="F1075" s="1">
        <v>160.13</v>
      </c>
      <c r="G1075" s="1">
        <v>1057.617</v>
      </c>
      <c r="H1075" s="1">
        <v>3523.7939999999999</v>
      </c>
      <c r="I1075" s="1">
        <v>-2791.1439999999998</v>
      </c>
    </row>
    <row r="1076" spans="1:9" hidden="1" x14ac:dyDescent="0.25">
      <c r="A1076" s="1" t="s">
        <v>127</v>
      </c>
      <c r="B1076" s="1" t="s">
        <v>246</v>
      </c>
      <c r="C1076" s="1" t="s">
        <v>143</v>
      </c>
      <c r="D1076" s="1">
        <v>675.72</v>
      </c>
      <c r="E1076" s="1">
        <v>0</v>
      </c>
      <c r="F1076" s="1">
        <v>222.8</v>
      </c>
      <c r="G1076" s="1">
        <v>1473.106</v>
      </c>
      <c r="H1076" s="1">
        <v>4786.9530000000004</v>
      </c>
      <c r="I1076" s="1">
        <v>-4054.3029999999999</v>
      </c>
    </row>
    <row r="1077" spans="1:9" hidden="1" x14ac:dyDescent="0.25">
      <c r="A1077" s="1" t="s">
        <v>127</v>
      </c>
      <c r="B1077" s="1" t="s">
        <v>246</v>
      </c>
      <c r="C1077" s="1" t="s">
        <v>3</v>
      </c>
      <c r="D1077" s="1">
        <v>697.79</v>
      </c>
      <c r="E1077" s="1">
        <v>0</v>
      </c>
      <c r="F1077" s="1">
        <v>222.8</v>
      </c>
      <c r="G1077" s="1">
        <v>1473.106</v>
      </c>
      <c r="H1077" s="1">
        <v>5590.5839999999998</v>
      </c>
      <c r="I1077" s="1">
        <v>-4186.7160000000003</v>
      </c>
    </row>
    <row r="1078" spans="1:9" hidden="1" x14ac:dyDescent="0.25">
      <c r="A1078" s="1" t="s">
        <v>9</v>
      </c>
      <c r="B1078" s="1" t="s">
        <v>246</v>
      </c>
      <c r="C1078" s="1" t="s">
        <v>143</v>
      </c>
      <c r="D1078" s="1">
        <v>908.31</v>
      </c>
      <c r="E1078" s="1">
        <v>0</v>
      </c>
      <c r="F1078" s="1">
        <v>265.42</v>
      </c>
      <c r="G1078" s="1">
        <v>1757.194</v>
      </c>
      <c r="H1078" s="1">
        <v>6853.7430000000004</v>
      </c>
      <c r="I1078" s="1">
        <v>-5449.875</v>
      </c>
    </row>
    <row r="1079" spans="1:9" hidden="1" x14ac:dyDescent="0.25">
      <c r="A1079" s="1" t="s">
        <v>9</v>
      </c>
      <c r="B1079" s="1" t="s">
        <v>246</v>
      </c>
      <c r="C1079" s="1" t="s">
        <v>3</v>
      </c>
      <c r="D1079" s="1">
        <v>930.38</v>
      </c>
      <c r="E1079" s="1">
        <v>0</v>
      </c>
      <c r="F1079" s="1">
        <v>265.42</v>
      </c>
      <c r="G1079" s="1">
        <v>1757.194</v>
      </c>
      <c r="H1079" s="1">
        <v>7793.6019999999999</v>
      </c>
      <c r="I1079" s="1">
        <v>-5582.2879999999996</v>
      </c>
    </row>
    <row r="1080" spans="1:9" hidden="1" x14ac:dyDescent="0.25">
      <c r="A1080" s="1" t="s">
        <v>10</v>
      </c>
      <c r="B1080" s="1" t="s">
        <v>246</v>
      </c>
      <c r="C1080" s="1" t="s">
        <v>143</v>
      </c>
      <c r="D1080" s="1">
        <v>0</v>
      </c>
      <c r="E1080" s="1">
        <v>0</v>
      </c>
      <c r="F1080" s="1">
        <v>0</v>
      </c>
      <c r="G1080" s="1">
        <v>0</v>
      </c>
      <c r="H1080" s="1">
        <v>0</v>
      </c>
      <c r="I1080" s="1">
        <v>0</v>
      </c>
    </row>
    <row r="1081" spans="1:9" hidden="1" x14ac:dyDescent="0.25">
      <c r="A1081" s="1" t="s">
        <v>10</v>
      </c>
      <c r="B1081" s="1" t="s">
        <v>246</v>
      </c>
      <c r="C1081" s="1" t="s">
        <v>3</v>
      </c>
      <c r="D1081" s="1">
        <v>0</v>
      </c>
      <c r="E1081" s="1">
        <v>0</v>
      </c>
      <c r="F1081" s="1">
        <v>0</v>
      </c>
      <c r="G1081" s="1">
        <v>0</v>
      </c>
      <c r="H1081" s="1">
        <v>0</v>
      </c>
      <c r="I1081" s="1">
        <v>0</v>
      </c>
    </row>
    <row r="1082" spans="1:9" hidden="1" x14ac:dyDescent="0.25">
      <c r="A1082" s="1" t="s">
        <v>125</v>
      </c>
      <c r="B1082" s="1" t="s">
        <v>247</v>
      </c>
      <c r="C1082" s="1" t="s">
        <v>143</v>
      </c>
      <c r="D1082" s="1">
        <v>210.53</v>
      </c>
      <c r="E1082" s="1">
        <v>0</v>
      </c>
      <c r="F1082" s="1">
        <v>-83.36</v>
      </c>
      <c r="G1082" s="1">
        <v>-550.14400000000001</v>
      </c>
      <c r="H1082" s="1">
        <v>1263.1590000000001</v>
      </c>
      <c r="I1082" s="1">
        <v>-1263.1590000000001</v>
      </c>
    </row>
    <row r="1083" spans="1:9" hidden="1" x14ac:dyDescent="0.25">
      <c r="A1083" s="1" t="s">
        <v>125</v>
      </c>
      <c r="B1083" s="1" t="s">
        <v>247</v>
      </c>
      <c r="C1083" s="1" t="s">
        <v>3</v>
      </c>
      <c r="D1083" s="1">
        <v>232.6</v>
      </c>
      <c r="E1083" s="1">
        <v>0</v>
      </c>
      <c r="F1083" s="1">
        <v>-83.36</v>
      </c>
      <c r="G1083" s="1">
        <v>-550.14400000000001</v>
      </c>
      <c r="H1083" s="1">
        <v>1144.7629999999999</v>
      </c>
      <c r="I1083" s="1">
        <v>-1395.5719999999999</v>
      </c>
    </row>
    <row r="1084" spans="1:9" hidden="1" x14ac:dyDescent="0.25">
      <c r="A1084" s="1" t="s">
        <v>126</v>
      </c>
      <c r="B1084" s="1" t="s">
        <v>247</v>
      </c>
      <c r="C1084" s="1" t="s">
        <v>143</v>
      </c>
      <c r="D1084" s="1">
        <v>443.12</v>
      </c>
      <c r="E1084" s="1">
        <v>0</v>
      </c>
      <c r="F1084" s="1">
        <v>-160.13</v>
      </c>
      <c r="G1084" s="1">
        <v>-1057.617</v>
      </c>
      <c r="H1084" s="1">
        <v>2407.922</v>
      </c>
      <c r="I1084" s="1">
        <v>-2658.7310000000002</v>
      </c>
    </row>
    <row r="1085" spans="1:9" hidden="1" x14ac:dyDescent="0.25">
      <c r="A1085" s="1" t="s">
        <v>126</v>
      </c>
      <c r="B1085" s="1" t="s">
        <v>247</v>
      </c>
      <c r="C1085" s="1" t="s">
        <v>3</v>
      </c>
      <c r="D1085" s="1">
        <v>465.19</v>
      </c>
      <c r="E1085" s="1">
        <v>0</v>
      </c>
      <c r="F1085" s="1">
        <v>-160.13</v>
      </c>
      <c r="G1085" s="1">
        <v>-1057.617</v>
      </c>
      <c r="H1085" s="1">
        <v>2058.4949999999999</v>
      </c>
      <c r="I1085" s="1">
        <v>-2791.1439999999998</v>
      </c>
    </row>
    <row r="1086" spans="1:9" hidden="1" x14ac:dyDescent="0.25">
      <c r="A1086" s="1" t="s">
        <v>127</v>
      </c>
      <c r="B1086" s="1" t="s">
        <v>247</v>
      </c>
      <c r="C1086" s="1" t="s">
        <v>143</v>
      </c>
      <c r="D1086" s="1">
        <v>675.72</v>
      </c>
      <c r="E1086" s="1">
        <v>0</v>
      </c>
      <c r="F1086" s="1">
        <v>-222.8</v>
      </c>
      <c r="G1086" s="1">
        <v>-1473.106</v>
      </c>
      <c r="H1086" s="1">
        <v>3321.654</v>
      </c>
      <c r="I1086" s="1">
        <v>-4054.3029999999999</v>
      </c>
    </row>
    <row r="1087" spans="1:9" hidden="1" x14ac:dyDescent="0.25">
      <c r="A1087" s="1" t="s">
        <v>127</v>
      </c>
      <c r="B1087" s="1" t="s">
        <v>247</v>
      </c>
      <c r="C1087" s="1" t="s">
        <v>3</v>
      </c>
      <c r="D1087" s="1">
        <v>697.79</v>
      </c>
      <c r="E1087" s="1">
        <v>0</v>
      </c>
      <c r="F1087" s="1">
        <v>-222.8</v>
      </c>
      <c r="G1087" s="1">
        <v>-1473.106</v>
      </c>
      <c r="H1087" s="1">
        <v>2782.8490000000002</v>
      </c>
      <c r="I1087" s="1">
        <v>-4186.7160000000003</v>
      </c>
    </row>
    <row r="1088" spans="1:9" hidden="1" x14ac:dyDescent="0.25">
      <c r="A1088" s="1" t="s">
        <v>9</v>
      </c>
      <c r="B1088" s="1" t="s">
        <v>247</v>
      </c>
      <c r="C1088" s="1" t="s">
        <v>143</v>
      </c>
      <c r="D1088" s="1">
        <v>908.31</v>
      </c>
      <c r="E1088" s="1">
        <v>0</v>
      </c>
      <c r="F1088" s="1">
        <v>-265.42</v>
      </c>
      <c r="G1088" s="1">
        <v>-1757.194</v>
      </c>
      <c r="H1088" s="1">
        <v>4046.0079999999998</v>
      </c>
      <c r="I1088" s="1">
        <v>-5449.875</v>
      </c>
    </row>
    <row r="1089" spans="1:9" hidden="1" x14ac:dyDescent="0.25">
      <c r="A1089" s="1" t="s">
        <v>9</v>
      </c>
      <c r="B1089" s="1" t="s">
        <v>247</v>
      </c>
      <c r="C1089" s="1" t="s">
        <v>3</v>
      </c>
      <c r="D1089" s="1">
        <v>930.38</v>
      </c>
      <c r="E1089" s="1">
        <v>0</v>
      </c>
      <c r="F1089" s="1">
        <v>-265.42</v>
      </c>
      <c r="G1089" s="1">
        <v>-1757.194</v>
      </c>
      <c r="H1089" s="1">
        <v>3370.9740000000002</v>
      </c>
      <c r="I1089" s="1">
        <v>-5582.2879999999996</v>
      </c>
    </row>
    <row r="1090" spans="1:9" hidden="1" x14ac:dyDescent="0.25">
      <c r="A1090" s="1" t="s">
        <v>10</v>
      </c>
      <c r="B1090" s="1" t="s">
        <v>247</v>
      </c>
      <c r="C1090" s="1" t="s">
        <v>143</v>
      </c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</row>
    <row r="1091" spans="1:9" hidden="1" x14ac:dyDescent="0.25">
      <c r="A1091" s="1" t="s">
        <v>10</v>
      </c>
      <c r="B1091" s="1" t="s">
        <v>247</v>
      </c>
      <c r="C1091" s="1" t="s">
        <v>3</v>
      </c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</row>
    <row r="1092" spans="1:9" hidden="1" x14ac:dyDescent="0.25">
      <c r="A1092" s="1" t="s">
        <v>125</v>
      </c>
      <c r="B1092" s="1" t="s">
        <v>248</v>
      </c>
      <c r="C1092" s="1" t="s">
        <v>143</v>
      </c>
      <c r="D1092" s="1">
        <v>190.48</v>
      </c>
      <c r="E1092" s="1">
        <v>0</v>
      </c>
      <c r="F1092" s="1">
        <v>83.36</v>
      </c>
      <c r="G1092" s="1">
        <v>550.14400000000001</v>
      </c>
      <c r="H1092" s="1">
        <v>1142.8579999999999</v>
      </c>
      <c r="I1092" s="1">
        <v>-1142.8579999999999</v>
      </c>
    </row>
    <row r="1093" spans="1:9" hidden="1" x14ac:dyDescent="0.25">
      <c r="A1093" s="1" t="s">
        <v>125</v>
      </c>
      <c r="B1093" s="1" t="s">
        <v>248</v>
      </c>
      <c r="C1093" s="1" t="s">
        <v>3</v>
      </c>
      <c r="D1093" s="1">
        <v>210.44</v>
      </c>
      <c r="E1093" s="1">
        <v>0</v>
      </c>
      <c r="F1093" s="1">
        <v>83.36</v>
      </c>
      <c r="G1093" s="1">
        <v>550.14400000000001</v>
      </c>
      <c r="H1093" s="1">
        <v>1513.4690000000001</v>
      </c>
      <c r="I1093" s="1">
        <v>-1262.6600000000001</v>
      </c>
    </row>
    <row r="1094" spans="1:9" hidden="1" x14ac:dyDescent="0.25">
      <c r="A1094" s="1" t="s">
        <v>126</v>
      </c>
      <c r="B1094" s="1" t="s">
        <v>248</v>
      </c>
      <c r="C1094" s="1" t="s">
        <v>143</v>
      </c>
      <c r="D1094" s="1">
        <v>400.92</v>
      </c>
      <c r="E1094" s="1">
        <v>0</v>
      </c>
      <c r="F1094" s="1">
        <v>160.13</v>
      </c>
      <c r="G1094" s="1">
        <v>1057.617</v>
      </c>
      <c r="H1094" s="1">
        <v>2656.328</v>
      </c>
      <c r="I1094" s="1">
        <v>-2405.5189999999998</v>
      </c>
    </row>
    <row r="1095" spans="1:9" hidden="1" x14ac:dyDescent="0.25">
      <c r="A1095" s="1" t="s">
        <v>126</v>
      </c>
      <c r="B1095" s="1" t="s">
        <v>248</v>
      </c>
      <c r="C1095" s="1" t="s">
        <v>3</v>
      </c>
      <c r="D1095" s="1">
        <v>420.89</v>
      </c>
      <c r="E1095" s="1">
        <v>0</v>
      </c>
      <c r="F1095" s="1">
        <v>160.13</v>
      </c>
      <c r="G1095" s="1">
        <v>1057.617</v>
      </c>
      <c r="H1095" s="1">
        <v>3257.97</v>
      </c>
      <c r="I1095" s="1">
        <v>-2525.3209999999999</v>
      </c>
    </row>
    <row r="1096" spans="1:9" hidden="1" x14ac:dyDescent="0.25">
      <c r="A1096" s="1" t="s">
        <v>127</v>
      </c>
      <c r="B1096" s="1" t="s">
        <v>248</v>
      </c>
      <c r="C1096" s="1" t="s">
        <v>143</v>
      </c>
      <c r="D1096" s="1">
        <v>611.36</v>
      </c>
      <c r="E1096" s="1">
        <v>0</v>
      </c>
      <c r="F1096" s="1">
        <v>222.8</v>
      </c>
      <c r="G1096" s="1">
        <v>1473.106</v>
      </c>
      <c r="H1096" s="1">
        <v>4400.8289999999997</v>
      </c>
      <c r="I1096" s="1">
        <v>-3668.1790000000001</v>
      </c>
    </row>
    <row r="1097" spans="1:9" hidden="1" x14ac:dyDescent="0.25">
      <c r="A1097" s="1" t="s">
        <v>127</v>
      </c>
      <c r="B1097" s="1" t="s">
        <v>248</v>
      </c>
      <c r="C1097" s="1" t="s">
        <v>3</v>
      </c>
      <c r="D1097" s="1">
        <v>631.33000000000004</v>
      </c>
      <c r="E1097" s="1">
        <v>0</v>
      </c>
      <c r="F1097" s="1">
        <v>222.8</v>
      </c>
      <c r="G1097" s="1">
        <v>1473.106</v>
      </c>
      <c r="H1097" s="1">
        <v>5191.8490000000002</v>
      </c>
      <c r="I1097" s="1">
        <v>-3787.9810000000002</v>
      </c>
    </row>
    <row r="1098" spans="1:9" hidden="1" x14ac:dyDescent="0.25">
      <c r="A1098" s="1" t="s">
        <v>9</v>
      </c>
      <c r="B1098" s="1" t="s">
        <v>248</v>
      </c>
      <c r="C1098" s="1" t="s">
        <v>143</v>
      </c>
      <c r="D1098" s="1">
        <v>821.81</v>
      </c>
      <c r="E1098" s="1">
        <v>0</v>
      </c>
      <c r="F1098" s="1">
        <v>265.42</v>
      </c>
      <c r="G1098" s="1">
        <v>1757.194</v>
      </c>
      <c r="H1098" s="1">
        <v>6334.7070000000003</v>
      </c>
      <c r="I1098" s="1">
        <v>-4930.84</v>
      </c>
    </row>
    <row r="1099" spans="1:9" hidden="1" x14ac:dyDescent="0.25">
      <c r="A1099" s="1" t="s">
        <v>9</v>
      </c>
      <c r="B1099" s="1" t="s">
        <v>248</v>
      </c>
      <c r="C1099" s="1" t="s">
        <v>3</v>
      </c>
      <c r="D1099" s="1">
        <v>841.77</v>
      </c>
      <c r="E1099" s="1">
        <v>0</v>
      </c>
      <c r="F1099" s="1">
        <v>265.42</v>
      </c>
      <c r="G1099" s="1">
        <v>1757.194</v>
      </c>
      <c r="H1099" s="1">
        <v>7261.9560000000001</v>
      </c>
      <c r="I1099" s="1">
        <v>-5050.6419999999998</v>
      </c>
    </row>
    <row r="1100" spans="1:9" hidden="1" x14ac:dyDescent="0.25">
      <c r="A1100" s="1" t="s">
        <v>10</v>
      </c>
      <c r="B1100" s="1" t="s">
        <v>248</v>
      </c>
      <c r="C1100" s="1" t="s">
        <v>143</v>
      </c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</row>
    <row r="1101" spans="1:9" hidden="1" x14ac:dyDescent="0.25">
      <c r="A1101" s="1" t="s">
        <v>10</v>
      </c>
      <c r="B1101" s="1" t="s">
        <v>248</v>
      </c>
      <c r="C1101" s="1" t="s">
        <v>3</v>
      </c>
      <c r="D1101" s="1">
        <v>0</v>
      </c>
      <c r="E1101" s="1">
        <v>0</v>
      </c>
      <c r="F1101" s="1">
        <v>0</v>
      </c>
      <c r="G1101" s="1">
        <v>0</v>
      </c>
      <c r="H1101" s="1">
        <v>0</v>
      </c>
      <c r="I1101" s="1">
        <v>0</v>
      </c>
    </row>
    <row r="1102" spans="1:9" hidden="1" x14ac:dyDescent="0.25">
      <c r="A1102" s="1" t="s">
        <v>125</v>
      </c>
      <c r="B1102" s="1" t="s">
        <v>249</v>
      </c>
      <c r="C1102" s="1" t="s">
        <v>143</v>
      </c>
      <c r="D1102" s="1">
        <v>190.48</v>
      </c>
      <c r="E1102" s="1">
        <v>0</v>
      </c>
      <c r="F1102" s="1">
        <v>-83.36</v>
      </c>
      <c r="G1102" s="1">
        <v>-550.14400000000001</v>
      </c>
      <c r="H1102" s="1">
        <v>1142.8579999999999</v>
      </c>
      <c r="I1102" s="1">
        <v>-1142.8579999999999</v>
      </c>
    </row>
    <row r="1103" spans="1:9" hidden="1" x14ac:dyDescent="0.25">
      <c r="A1103" s="1" t="s">
        <v>125</v>
      </c>
      <c r="B1103" s="1" t="s">
        <v>249</v>
      </c>
      <c r="C1103" s="1" t="s">
        <v>3</v>
      </c>
      <c r="D1103" s="1">
        <v>210.44</v>
      </c>
      <c r="E1103" s="1">
        <v>0</v>
      </c>
      <c r="F1103" s="1">
        <v>-83.36</v>
      </c>
      <c r="G1103" s="1">
        <v>-550.14400000000001</v>
      </c>
      <c r="H1103" s="1">
        <v>1011.852</v>
      </c>
      <c r="I1103" s="1">
        <v>-1262.6600000000001</v>
      </c>
    </row>
    <row r="1104" spans="1:9" hidden="1" x14ac:dyDescent="0.25">
      <c r="A1104" s="1" t="s">
        <v>126</v>
      </c>
      <c r="B1104" s="1" t="s">
        <v>249</v>
      </c>
      <c r="C1104" s="1" t="s">
        <v>143</v>
      </c>
      <c r="D1104" s="1">
        <v>400.92</v>
      </c>
      <c r="E1104" s="1">
        <v>0</v>
      </c>
      <c r="F1104" s="1">
        <v>-160.13</v>
      </c>
      <c r="G1104" s="1">
        <v>-1057.617</v>
      </c>
      <c r="H1104" s="1">
        <v>2154.71</v>
      </c>
      <c r="I1104" s="1">
        <v>-2405.5189999999998</v>
      </c>
    </row>
    <row r="1105" spans="1:9" hidden="1" x14ac:dyDescent="0.25">
      <c r="A1105" s="1" t="s">
        <v>126</v>
      </c>
      <c r="B1105" s="1" t="s">
        <v>249</v>
      </c>
      <c r="C1105" s="1" t="s">
        <v>3</v>
      </c>
      <c r="D1105" s="1">
        <v>420.89</v>
      </c>
      <c r="E1105" s="1">
        <v>0</v>
      </c>
      <c r="F1105" s="1">
        <v>-160.13</v>
      </c>
      <c r="G1105" s="1">
        <v>-1057.617</v>
      </c>
      <c r="H1105" s="1">
        <v>1792.671</v>
      </c>
      <c r="I1105" s="1">
        <v>-2525.3209999999999</v>
      </c>
    </row>
    <row r="1106" spans="1:9" hidden="1" x14ac:dyDescent="0.25">
      <c r="A1106" s="1" t="s">
        <v>127</v>
      </c>
      <c r="B1106" s="1" t="s">
        <v>249</v>
      </c>
      <c r="C1106" s="1" t="s">
        <v>143</v>
      </c>
      <c r="D1106" s="1">
        <v>611.36</v>
      </c>
      <c r="E1106" s="1">
        <v>0</v>
      </c>
      <c r="F1106" s="1">
        <v>-222.8</v>
      </c>
      <c r="G1106" s="1">
        <v>-1473.106</v>
      </c>
      <c r="H1106" s="1">
        <v>2935.53</v>
      </c>
      <c r="I1106" s="1">
        <v>-3668.1790000000001</v>
      </c>
    </row>
    <row r="1107" spans="1:9" hidden="1" x14ac:dyDescent="0.25">
      <c r="A1107" s="1" t="s">
        <v>127</v>
      </c>
      <c r="B1107" s="1" t="s">
        <v>249</v>
      </c>
      <c r="C1107" s="1" t="s">
        <v>3</v>
      </c>
      <c r="D1107" s="1">
        <v>631.33000000000004</v>
      </c>
      <c r="E1107" s="1">
        <v>0</v>
      </c>
      <c r="F1107" s="1">
        <v>-222.8</v>
      </c>
      <c r="G1107" s="1">
        <v>-1473.106</v>
      </c>
      <c r="H1107" s="1">
        <v>2384.114</v>
      </c>
      <c r="I1107" s="1">
        <v>-3787.9810000000002</v>
      </c>
    </row>
    <row r="1108" spans="1:9" hidden="1" x14ac:dyDescent="0.25">
      <c r="A1108" s="1" t="s">
        <v>9</v>
      </c>
      <c r="B1108" s="1" t="s">
        <v>249</v>
      </c>
      <c r="C1108" s="1" t="s">
        <v>143</v>
      </c>
      <c r="D1108" s="1">
        <v>821.81</v>
      </c>
      <c r="E1108" s="1">
        <v>0</v>
      </c>
      <c r="F1108" s="1">
        <v>-265.42</v>
      </c>
      <c r="G1108" s="1">
        <v>-1757.194</v>
      </c>
      <c r="H1108" s="1">
        <v>3526.9720000000002</v>
      </c>
      <c r="I1108" s="1">
        <v>-4930.84</v>
      </c>
    </row>
    <row r="1109" spans="1:9" hidden="1" x14ac:dyDescent="0.25">
      <c r="A1109" s="1" t="s">
        <v>9</v>
      </c>
      <c r="B1109" s="1" t="s">
        <v>249</v>
      </c>
      <c r="C1109" s="1" t="s">
        <v>3</v>
      </c>
      <c r="D1109" s="1">
        <v>841.77</v>
      </c>
      <c r="E1109" s="1">
        <v>0</v>
      </c>
      <c r="F1109" s="1">
        <v>-265.42</v>
      </c>
      <c r="G1109" s="1">
        <v>-1757.194</v>
      </c>
      <c r="H1109" s="1">
        <v>2839.328</v>
      </c>
      <c r="I1109" s="1">
        <v>-5050.6419999999998</v>
      </c>
    </row>
    <row r="1110" spans="1:9" hidden="1" x14ac:dyDescent="0.25">
      <c r="A1110" s="1" t="s">
        <v>10</v>
      </c>
      <c r="B1110" s="1" t="s">
        <v>249</v>
      </c>
      <c r="C1110" s="1" t="s">
        <v>143</v>
      </c>
      <c r="D1110" s="1">
        <v>0</v>
      </c>
      <c r="E1110" s="1">
        <v>0</v>
      </c>
      <c r="F1110" s="1">
        <v>0</v>
      </c>
      <c r="G1110" s="1">
        <v>0</v>
      </c>
      <c r="H1110" s="1">
        <v>0</v>
      </c>
      <c r="I1110" s="1">
        <v>0</v>
      </c>
    </row>
    <row r="1111" spans="1:9" hidden="1" x14ac:dyDescent="0.25">
      <c r="A1111" s="1" t="s">
        <v>10</v>
      </c>
      <c r="B1111" s="1" t="s">
        <v>249</v>
      </c>
      <c r="C1111" s="1" t="s">
        <v>3</v>
      </c>
      <c r="D1111" s="1">
        <v>0</v>
      </c>
      <c r="E1111" s="1">
        <v>0</v>
      </c>
      <c r="F1111" s="1">
        <v>0</v>
      </c>
      <c r="G1111" s="1">
        <v>0</v>
      </c>
      <c r="H1111" s="1">
        <v>0</v>
      </c>
      <c r="I1111" s="1">
        <v>0</v>
      </c>
    </row>
    <row r="1112" spans="1:9" hidden="1" x14ac:dyDescent="0.25">
      <c r="A1112" s="1" t="s">
        <v>125</v>
      </c>
      <c r="B1112" s="1" t="s">
        <v>250</v>
      </c>
      <c r="C1112" s="1" t="s">
        <v>143</v>
      </c>
      <c r="D1112" s="1">
        <v>233.92</v>
      </c>
      <c r="E1112" s="1">
        <v>27.28</v>
      </c>
      <c r="F1112" s="1">
        <v>0</v>
      </c>
      <c r="G1112" s="1">
        <v>180.047</v>
      </c>
      <c r="H1112" s="1">
        <v>1403.51</v>
      </c>
      <c r="I1112" s="1">
        <v>-1403.51</v>
      </c>
    </row>
    <row r="1113" spans="1:9" hidden="1" x14ac:dyDescent="0.25">
      <c r="A1113" s="1" t="s">
        <v>125</v>
      </c>
      <c r="B1113" s="1" t="s">
        <v>250</v>
      </c>
      <c r="C1113" s="1" t="s">
        <v>3</v>
      </c>
      <c r="D1113" s="1">
        <v>258.44</v>
      </c>
      <c r="E1113" s="1">
        <v>27.28</v>
      </c>
      <c r="F1113" s="1">
        <v>0</v>
      </c>
      <c r="G1113" s="1">
        <v>180.047</v>
      </c>
      <c r="H1113" s="1">
        <v>1550.636</v>
      </c>
      <c r="I1113" s="1">
        <v>-1468.5530000000001</v>
      </c>
    </row>
    <row r="1114" spans="1:9" hidden="1" x14ac:dyDescent="0.25">
      <c r="A1114" s="1" t="s">
        <v>126</v>
      </c>
      <c r="B1114" s="1" t="s">
        <v>250</v>
      </c>
      <c r="C1114" s="1" t="s">
        <v>143</v>
      </c>
      <c r="D1114" s="1">
        <v>492.36</v>
      </c>
      <c r="E1114" s="1">
        <v>52.41</v>
      </c>
      <c r="F1114" s="1">
        <v>0</v>
      </c>
      <c r="G1114" s="1">
        <v>346.12900000000002</v>
      </c>
      <c r="H1114" s="1">
        <v>2954.1460000000002</v>
      </c>
      <c r="I1114" s="1">
        <v>-2872.0630000000001</v>
      </c>
    </row>
    <row r="1115" spans="1:9" hidden="1" x14ac:dyDescent="0.25">
      <c r="A1115" s="1" t="s">
        <v>126</v>
      </c>
      <c r="B1115" s="1" t="s">
        <v>250</v>
      </c>
      <c r="C1115" s="1" t="s">
        <v>3</v>
      </c>
      <c r="D1115" s="1">
        <v>516.88</v>
      </c>
      <c r="E1115" s="1">
        <v>52.41</v>
      </c>
      <c r="F1115" s="1">
        <v>0</v>
      </c>
      <c r="G1115" s="1">
        <v>346.12900000000002</v>
      </c>
      <c r="H1115" s="1">
        <v>3101.2710000000002</v>
      </c>
      <c r="I1115" s="1">
        <v>-2861.4949999999999</v>
      </c>
    </row>
    <row r="1116" spans="1:9" hidden="1" x14ac:dyDescent="0.25">
      <c r="A1116" s="1" t="s">
        <v>127</v>
      </c>
      <c r="B1116" s="1" t="s">
        <v>250</v>
      </c>
      <c r="C1116" s="1" t="s">
        <v>143</v>
      </c>
      <c r="D1116" s="1">
        <v>750.8</v>
      </c>
      <c r="E1116" s="1">
        <v>72.91</v>
      </c>
      <c r="F1116" s="1">
        <v>0</v>
      </c>
      <c r="G1116" s="1">
        <v>482.108</v>
      </c>
      <c r="H1116" s="1">
        <v>4504.7809999999999</v>
      </c>
      <c r="I1116" s="1">
        <v>-4265.0050000000001</v>
      </c>
    </row>
    <row r="1117" spans="1:9" hidden="1" x14ac:dyDescent="0.25">
      <c r="A1117" s="1" t="s">
        <v>127</v>
      </c>
      <c r="B1117" s="1" t="s">
        <v>250</v>
      </c>
      <c r="C1117" s="1" t="s">
        <v>3</v>
      </c>
      <c r="D1117" s="1">
        <v>775.32</v>
      </c>
      <c r="E1117" s="1">
        <v>72.91</v>
      </c>
      <c r="F1117" s="1">
        <v>0</v>
      </c>
      <c r="G1117" s="1">
        <v>482.108</v>
      </c>
      <c r="H1117" s="1">
        <v>4651.9070000000002</v>
      </c>
      <c r="I1117" s="1">
        <v>-4192.46</v>
      </c>
    </row>
    <row r="1118" spans="1:9" hidden="1" x14ac:dyDescent="0.25">
      <c r="A1118" s="1" t="s">
        <v>9</v>
      </c>
      <c r="B1118" s="1" t="s">
        <v>250</v>
      </c>
      <c r="C1118" s="1" t="s">
        <v>143</v>
      </c>
      <c r="D1118" s="1">
        <v>1009.24</v>
      </c>
      <c r="E1118" s="1">
        <v>86.86</v>
      </c>
      <c r="F1118" s="1">
        <v>0</v>
      </c>
      <c r="G1118" s="1">
        <v>575.08199999999999</v>
      </c>
      <c r="H1118" s="1">
        <v>6055.4170000000004</v>
      </c>
      <c r="I1118" s="1">
        <v>-5595.97</v>
      </c>
    </row>
    <row r="1119" spans="1:9" hidden="1" x14ac:dyDescent="0.25">
      <c r="A1119" s="1" t="s">
        <v>9</v>
      </c>
      <c r="B1119" s="1" t="s">
        <v>250</v>
      </c>
      <c r="C1119" s="1" t="s">
        <v>3</v>
      </c>
      <c r="D1119" s="1">
        <v>1033.76</v>
      </c>
      <c r="E1119" s="1">
        <v>86.86</v>
      </c>
      <c r="F1119" s="1">
        <v>0</v>
      </c>
      <c r="G1119" s="1">
        <v>575.08199999999999</v>
      </c>
      <c r="H1119" s="1">
        <v>6202.5429999999997</v>
      </c>
      <c r="I1119" s="1">
        <v>-5478.84</v>
      </c>
    </row>
    <row r="1120" spans="1:9" hidden="1" x14ac:dyDescent="0.25">
      <c r="A1120" s="1" t="s">
        <v>10</v>
      </c>
      <c r="B1120" s="1" t="s">
        <v>250</v>
      </c>
      <c r="C1120" s="1" t="s">
        <v>143</v>
      </c>
      <c r="D1120" s="1">
        <v>0</v>
      </c>
      <c r="E1120" s="1">
        <v>0</v>
      </c>
      <c r="F1120" s="1">
        <v>0</v>
      </c>
      <c r="G1120" s="1">
        <v>0</v>
      </c>
      <c r="H1120" s="1">
        <v>0</v>
      </c>
      <c r="I1120" s="1">
        <v>0</v>
      </c>
    </row>
    <row r="1121" spans="1:9" hidden="1" x14ac:dyDescent="0.25">
      <c r="A1121" s="1" t="s">
        <v>10</v>
      </c>
      <c r="B1121" s="1" t="s">
        <v>250</v>
      </c>
      <c r="C1121" s="1" t="s">
        <v>3</v>
      </c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</row>
    <row r="1122" spans="1:9" hidden="1" x14ac:dyDescent="0.25">
      <c r="A1122" s="1" t="s">
        <v>125</v>
      </c>
      <c r="B1122" s="1" t="s">
        <v>251</v>
      </c>
      <c r="C1122" s="1" t="s">
        <v>143</v>
      </c>
      <c r="D1122" s="1">
        <v>233.92</v>
      </c>
      <c r="E1122" s="1">
        <v>-27.28</v>
      </c>
      <c r="F1122" s="1">
        <v>0</v>
      </c>
      <c r="G1122" s="1">
        <v>-180.047</v>
      </c>
      <c r="H1122" s="1">
        <v>1403.51</v>
      </c>
      <c r="I1122" s="1">
        <v>-1403.51</v>
      </c>
    </row>
    <row r="1123" spans="1:9" hidden="1" x14ac:dyDescent="0.25">
      <c r="A1123" s="1" t="s">
        <v>125</v>
      </c>
      <c r="B1123" s="1" t="s">
        <v>251</v>
      </c>
      <c r="C1123" s="1" t="s">
        <v>3</v>
      </c>
      <c r="D1123" s="1">
        <v>258.44</v>
      </c>
      <c r="E1123" s="1">
        <v>-27.28</v>
      </c>
      <c r="F1123" s="1">
        <v>0</v>
      </c>
      <c r="G1123" s="1">
        <v>-180.047</v>
      </c>
      <c r="H1123" s="1">
        <v>1550.636</v>
      </c>
      <c r="I1123" s="1">
        <v>-1632.7190000000001</v>
      </c>
    </row>
    <row r="1124" spans="1:9" hidden="1" x14ac:dyDescent="0.25">
      <c r="A1124" s="1" t="s">
        <v>126</v>
      </c>
      <c r="B1124" s="1" t="s">
        <v>251</v>
      </c>
      <c r="C1124" s="1" t="s">
        <v>143</v>
      </c>
      <c r="D1124" s="1">
        <v>492.36</v>
      </c>
      <c r="E1124" s="1">
        <v>-52.41</v>
      </c>
      <c r="F1124" s="1">
        <v>0</v>
      </c>
      <c r="G1124" s="1">
        <v>-346.12900000000002</v>
      </c>
      <c r="H1124" s="1">
        <v>2954.1460000000002</v>
      </c>
      <c r="I1124" s="1">
        <v>-3036.2289999999998</v>
      </c>
    </row>
    <row r="1125" spans="1:9" hidden="1" x14ac:dyDescent="0.25">
      <c r="A1125" s="1" t="s">
        <v>126</v>
      </c>
      <c r="B1125" s="1" t="s">
        <v>251</v>
      </c>
      <c r="C1125" s="1" t="s">
        <v>3</v>
      </c>
      <c r="D1125" s="1">
        <v>516.88</v>
      </c>
      <c r="E1125" s="1">
        <v>-52.41</v>
      </c>
      <c r="F1125" s="1">
        <v>0</v>
      </c>
      <c r="G1125" s="1">
        <v>-346.12900000000002</v>
      </c>
      <c r="H1125" s="1">
        <v>3101.2710000000002</v>
      </c>
      <c r="I1125" s="1">
        <v>-3341.0479999999998</v>
      </c>
    </row>
    <row r="1126" spans="1:9" hidden="1" x14ac:dyDescent="0.25">
      <c r="A1126" s="1" t="s">
        <v>127</v>
      </c>
      <c r="B1126" s="1" t="s">
        <v>251</v>
      </c>
      <c r="C1126" s="1" t="s">
        <v>143</v>
      </c>
      <c r="D1126" s="1">
        <v>750.8</v>
      </c>
      <c r="E1126" s="1">
        <v>-72.91</v>
      </c>
      <c r="F1126" s="1">
        <v>0</v>
      </c>
      <c r="G1126" s="1">
        <v>-482.108</v>
      </c>
      <c r="H1126" s="1">
        <v>4504.7809999999999</v>
      </c>
      <c r="I1126" s="1">
        <v>-4744.558</v>
      </c>
    </row>
    <row r="1127" spans="1:9" hidden="1" x14ac:dyDescent="0.25">
      <c r="A1127" s="1" t="s">
        <v>127</v>
      </c>
      <c r="B1127" s="1" t="s">
        <v>251</v>
      </c>
      <c r="C1127" s="1" t="s">
        <v>3</v>
      </c>
      <c r="D1127" s="1">
        <v>775.32</v>
      </c>
      <c r="E1127" s="1">
        <v>-72.91</v>
      </c>
      <c r="F1127" s="1">
        <v>0</v>
      </c>
      <c r="G1127" s="1">
        <v>-482.108</v>
      </c>
      <c r="H1127" s="1">
        <v>4651.9070000000002</v>
      </c>
      <c r="I1127" s="1">
        <v>-5111.3549999999996</v>
      </c>
    </row>
    <row r="1128" spans="1:9" hidden="1" x14ac:dyDescent="0.25">
      <c r="A1128" s="1" t="s">
        <v>9</v>
      </c>
      <c r="B1128" s="1" t="s">
        <v>251</v>
      </c>
      <c r="C1128" s="1" t="s">
        <v>143</v>
      </c>
      <c r="D1128" s="1">
        <v>1009.24</v>
      </c>
      <c r="E1128" s="1">
        <v>-86.86</v>
      </c>
      <c r="F1128" s="1">
        <v>0</v>
      </c>
      <c r="G1128" s="1">
        <v>-575.08199999999999</v>
      </c>
      <c r="H1128" s="1">
        <v>6055.4170000000004</v>
      </c>
      <c r="I1128" s="1">
        <v>-6514.8649999999998</v>
      </c>
    </row>
    <row r="1129" spans="1:9" hidden="1" x14ac:dyDescent="0.25">
      <c r="A1129" s="1" t="s">
        <v>9</v>
      </c>
      <c r="B1129" s="1" t="s">
        <v>251</v>
      </c>
      <c r="C1129" s="1" t="s">
        <v>3</v>
      </c>
      <c r="D1129" s="1">
        <v>1033.76</v>
      </c>
      <c r="E1129" s="1">
        <v>-86.86</v>
      </c>
      <c r="F1129" s="1">
        <v>0</v>
      </c>
      <c r="G1129" s="1">
        <v>-575.08199999999999</v>
      </c>
      <c r="H1129" s="1">
        <v>6202.5429999999997</v>
      </c>
      <c r="I1129" s="1">
        <v>-6926.2449999999999</v>
      </c>
    </row>
    <row r="1130" spans="1:9" hidden="1" x14ac:dyDescent="0.25">
      <c r="A1130" s="1" t="s">
        <v>10</v>
      </c>
      <c r="B1130" s="1" t="s">
        <v>251</v>
      </c>
      <c r="C1130" s="1" t="s">
        <v>143</v>
      </c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</row>
    <row r="1131" spans="1:9" hidden="1" x14ac:dyDescent="0.25">
      <c r="A1131" s="1" t="s">
        <v>10</v>
      </c>
      <c r="B1131" s="1" t="s">
        <v>251</v>
      </c>
      <c r="C1131" s="1" t="s">
        <v>3</v>
      </c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</row>
    <row r="1132" spans="1:9" hidden="1" x14ac:dyDescent="0.25">
      <c r="A1132" s="1" t="s">
        <v>125</v>
      </c>
      <c r="B1132" s="1" t="s">
        <v>252</v>
      </c>
      <c r="C1132" s="1" t="s">
        <v>143</v>
      </c>
      <c r="D1132" s="1">
        <v>167.08</v>
      </c>
      <c r="E1132" s="1">
        <v>27.28</v>
      </c>
      <c r="F1132" s="1">
        <v>0</v>
      </c>
      <c r="G1132" s="1">
        <v>180.047</v>
      </c>
      <c r="H1132" s="1">
        <v>1002.5069999999999</v>
      </c>
      <c r="I1132" s="1">
        <v>-1002.5069999999999</v>
      </c>
    </row>
    <row r="1133" spans="1:9" hidden="1" x14ac:dyDescent="0.25">
      <c r="A1133" s="1" t="s">
        <v>125</v>
      </c>
      <c r="B1133" s="1" t="s">
        <v>252</v>
      </c>
      <c r="C1133" s="1" t="s">
        <v>3</v>
      </c>
      <c r="D1133" s="1">
        <v>184.6</v>
      </c>
      <c r="E1133" s="1">
        <v>27.28</v>
      </c>
      <c r="F1133" s="1">
        <v>0</v>
      </c>
      <c r="G1133" s="1">
        <v>180.047</v>
      </c>
      <c r="H1133" s="1">
        <v>1107.597</v>
      </c>
      <c r="I1133" s="1">
        <v>-1025.5139999999999</v>
      </c>
    </row>
    <row r="1134" spans="1:9" hidden="1" x14ac:dyDescent="0.25">
      <c r="A1134" s="1" t="s">
        <v>126</v>
      </c>
      <c r="B1134" s="1" t="s">
        <v>252</v>
      </c>
      <c r="C1134" s="1" t="s">
        <v>143</v>
      </c>
      <c r="D1134" s="1">
        <v>351.68</v>
      </c>
      <c r="E1134" s="1">
        <v>52.41</v>
      </c>
      <c r="F1134" s="1">
        <v>0</v>
      </c>
      <c r="G1134" s="1">
        <v>346.12900000000002</v>
      </c>
      <c r="H1134" s="1">
        <v>2110.1039999999998</v>
      </c>
      <c r="I1134" s="1">
        <v>-2028.021</v>
      </c>
    </row>
    <row r="1135" spans="1:9" hidden="1" x14ac:dyDescent="0.25">
      <c r="A1135" s="1" t="s">
        <v>126</v>
      </c>
      <c r="B1135" s="1" t="s">
        <v>252</v>
      </c>
      <c r="C1135" s="1" t="s">
        <v>3</v>
      </c>
      <c r="D1135" s="1">
        <v>369.2</v>
      </c>
      <c r="E1135" s="1">
        <v>52.41</v>
      </c>
      <c r="F1135" s="1">
        <v>0</v>
      </c>
      <c r="G1135" s="1">
        <v>346.12900000000002</v>
      </c>
      <c r="H1135" s="1">
        <v>2215.194</v>
      </c>
      <c r="I1135" s="1">
        <v>-1975.4179999999999</v>
      </c>
    </row>
    <row r="1136" spans="1:9" hidden="1" x14ac:dyDescent="0.25">
      <c r="A1136" s="1" t="s">
        <v>127</v>
      </c>
      <c r="B1136" s="1" t="s">
        <v>252</v>
      </c>
      <c r="C1136" s="1" t="s">
        <v>143</v>
      </c>
      <c r="D1136" s="1">
        <v>536.28</v>
      </c>
      <c r="E1136" s="1">
        <v>72.91</v>
      </c>
      <c r="F1136" s="1">
        <v>0</v>
      </c>
      <c r="G1136" s="1">
        <v>482.108</v>
      </c>
      <c r="H1136" s="1">
        <v>3217.701</v>
      </c>
      <c r="I1136" s="1">
        <v>-2977.9250000000002</v>
      </c>
    </row>
    <row r="1137" spans="1:9" hidden="1" x14ac:dyDescent="0.25">
      <c r="A1137" s="1" t="s">
        <v>127</v>
      </c>
      <c r="B1137" s="1" t="s">
        <v>252</v>
      </c>
      <c r="C1137" s="1" t="s">
        <v>3</v>
      </c>
      <c r="D1137" s="1">
        <v>553.79999999999995</v>
      </c>
      <c r="E1137" s="1">
        <v>72.91</v>
      </c>
      <c r="F1137" s="1">
        <v>0</v>
      </c>
      <c r="G1137" s="1">
        <v>482.108</v>
      </c>
      <c r="H1137" s="1">
        <v>3322.7910000000002</v>
      </c>
      <c r="I1137" s="1">
        <v>-2863.3429999999998</v>
      </c>
    </row>
    <row r="1138" spans="1:9" hidden="1" x14ac:dyDescent="0.25">
      <c r="A1138" s="1" t="s">
        <v>9</v>
      </c>
      <c r="B1138" s="1" t="s">
        <v>252</v>
      </c>
      <c r="C1138" s="1" t="s">
        <v>143</v>
      </c>
      <c r="D1138" s="1">
        <v>720.88</v>
      </c>
      <c r="E1138" s="1">
        <v>86.86</v>
      </c>
      <c r="F1138" s="1">
        <v>0</v>
      </c>
      <c r="G1138" s="1">
        <v>575.08199999999999</v>
      </c>
      <c r="H1138" s="1">
        <v>4325.2979999999998</v>
      </c>
      <c r="I1138" s="1">
        <v>-3865.85</v>
      </c>
    </row>
    <row r="1139" spans="1:9" hidden="1" x14ac:dyDescent="0.25">
      <c r="A1139" s="1" t="s">
        <v>9</v>
      </c>
      <c r="B1139" s="1" t="s">
        <v>252</v>
      </c>
      <c r="C1139" s="1" t="s">
        <v>3</v>
      </c>
      <c r="D1139" s="1">
        <v>738.4</v>
      </c>
      <c r="E1139" s="1">
        <v>86.86</v>
      </c>
      <c r="F1139" s="1">
        <v>0</v>
      </c>
      <c r="G1139" s="1">
        <v>575.08199999999999</v>
      </c>
      <c r="H1139" s="1">
        <v>4430.3879999999999</v>
      </c>
      <c r="I1139" s="1">
        <v>-3706.6849999999999</v>
      </c>
    </row>
    <row r="1140" spans="1:9" hidden="1" x14ac:dyDescent="0.25">
      <c r="A1140" s="1" t="s">
        <v>10</v>
      </c>
      <c r="B1140" s="1" t="s">
        <v>252</v>
      </c>
      <c r="C1140" s="1" t="s">
        <v>143</v>
      </c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</row>
    <row r="1141" spans="1:9" hidden="1" x14ac:dyDescent="0.25">
      <c r="A1141" s="1" t="s">
        <v>10</v>
      </c>
      <c r="B1141" s="1" t="s">
        <v>252</v>
      </c>
      <c r="C1141" s="1" t="s">
        <v>3</v>
      </c>
      <c r="D1141" s="1">
        <v>0</v>
      </c>
      <c r="E1141" s="1">
        <v>0</v>
      </c>
      <c r="F1141" s="1">
        <v>0</v>
      </c>
      <c r="G1141" s="1">
        <v>0</v>
      </c>
      <c r="H1141" s="1">
        <v>0</v>
      </c>
      <c r="I1141" s="1">
        <v>0</v>
      </c>
    </row>
    <row r="1142" spans="1:9" hidden="1" x14ac:dyDescent="0.25">
      <c r="A1142" s="1" t="s">
        <v>125</v>
      </c>
      <c r="B1142" s="1" t="s">
        <v>253</v>
      </c>
      <c r="C1142" s="1" t="s">
        <v>143</v>
      </c>
      <c r="D1142" s="1">
        <v>167.08</v>
      </c>
      <c r="E1142" s="1">
        <v>-27.28</v>
      </c>
      <c r="F1142" s="1">
        <v>0</v>
      </c>
      <c r="G1142" s="1">
        <v>-180.047</v>
      </c>
      <c r="H1142" s="1">
        <v>1002.5069999999999</v>
      </c>
      <c r="I1142" s="1">
        <v>-1002.5069999999999</v>
      </c>
    </row>
    <row r="1143" spans="1:9" hidden="1" x14ac:dyDescent="0.25">
      <c r="A1143" s="1" t="s">
        <v>125</v>
      </c>
      <c r="B1143" s="1" t="s">
        <v>253</v>
      </c>
      <c r="C1143" s="1" t="s">
        <v>3</v>
      </c>
      <c r="D1143" s="1">
        <v>184.6</v>
      </c>
      <c r="E1143" s="1">
        <v>-27.28</v>
      </c>
      <c r="F1143" s="1">
        <v>0</v>
      </c>
      <c r="G1143" s="1">
        <v>-180.047</v>
      </c>
      <c r="H1143" s="1">
        <v>1107.597</v>
      </c>
      <c r="I1143" s="1">
        <v>-1189.68</v>
      </c>
    </row>
    <row r="1144" spans="1:9" hidden="1" x14ac:dyDescent="0.25">
      <c r="A1144" s="1" t="s">
        <v>126</v>
      </c>
      <c r="B1144" s="1" t="s">
        <v>253</v>
      </c>
      <c r="C1144" s="1" t="s">
        <v>143</v>
      </c>
      <c r="D1144" s="1">
        <v>351.68</v>
      </c>
      <c r="E1144" s="1">
        <v>-52.41</v>
      </c>
      <c r="F1144" s="1">
        <v>0</v>
      </c>
      <c r="G1144" s="1">
        <v>-346.12900000000002</v>
      </c>
      <c r="H1144" s="1">
        <v>2110.1039999999998</v>
      </c>
      <c r="I1144" s="1">
        <v>-2192.1869999999999</v>
      </c>
    </row>
    <row r="1145" spans="1:9" hidden="1" x14ac:dyDescent="0.25">
      <c r="A1145" s="1" t="s">
        <v>126</v>
      </c>
      <c r="B1145" s="1" t="s">
        <v>253</v>
      </c>
      <c r="C1145" s="1" t="s">
        <v>3</v>
      </c>
      <c r="D1145" s="1">
        <v>369.2</v>
      </c>
      <c r="E1145" s="1">
        <v>-52.41</v>
      </c>
      <c r="F1145" s="1">
        <v>0</v>
      </c>
      <c r="G1145" s="1">
        <v>-346.12900000000002</v>
      </c>
      <c r="H1145" s="1">
        <v>2215.194</v>
      </c>
      <c r="I1145" s="1">
        <v>-2454.9699999999998</v>
      </c>
    </row>
    <row r="1146" spans="1:9" hidden="1" x14ac:dyDescent="0.25">
      <c r="A1146" s="1" t="s">
        <v>127</v>
      </c>
      <c r="B1146" s="1" t="s">
        <v>253</v>
      </c>
      <c r="C1146" s="1" t="s">
        <v>143</v>
      </c>
      <c r="D1146" s="1">
        <v>536.28</v>
      </c>
      <c r="E1146" s="1">
        <v>-72.91</v>
      </c>
      <c r="F1146" s="1">
        <v>0</v>
      </c>
      <c r="G1146" s="1">
        <v>-482.108</v>
      </c>
      <c r="H1146" s="1">
        <v>3217.701</v>
      </c>
      <c r="I1146" s="1">
        <v>-3457.4769999999999</v>
      </c>
    </row>
    <row r="1147" spans="1:9" hidden="1" x14ac:dyDescent="0.25">
      <c r="A1147" s="1" t="s">
        <v>127</v>
      </c>
      <c r="B1147" s="1" t="s">
        <v>253</v>
      </c>
      <c r="C1147" s="1" t="s">
        <v>3</v>
      </c>
      <c r="D1147" s="1">
        <v>553.79999999999995</v>
      </c>
      <c r="E1147" s="1">
        <v>-72.91</v>
      </c>
      <c r="F1147" s="1">
        <v>0</v>
      </c>
      <c r="G1147" s="1">
        <v>-482.108</v>
      </c>
      <c r="H1147" s="1">
        <v>3322.7910000000002</v>
      </c>
      <c r="I1147" s="1">
        <v>-3782.2379999999998</v>
      </c>
    </row>
    <row r="1148" spans="1:9" hidden="1" x14ac:dyDescent="0.25">
      <c r="A1148" s="1" t="s">
        <v>9</v>
      </c>
      <c r="B1148" s="1" t="s">
        <v>253</v>
      </c>
      <c r="C1148" s="1" t="s">
        <v>143</v>
      </c>
      <c r="D1148" s="1">
        <v>720.88</v>
      </c>
      <c r="E1148" s="1">
        <v>-86.86</v>
      </c>
      <c r="F1148" s="1">
        <v>0</v>
      </c>
      <c r="G1148" s="1">
        <v>-575.08199999999999</v>
      </c>
      <c r="H1148" s="1">
        <v>4325.2979999999998</v>
      </c>
      <c r="I1148" s="1">
        <v>-4784.7449999999999</v>
      </c>
    </row>
    <row r="1149" spans="1:9" hidden="1" x14ac:dyDescent="0.25">
      <c r="A1149" s="1" t="s">
        <v>9</v>
      </c>
      <c r="B1149" s="1" t="s">
        <v>253</v>
      </c>
      <c r="C1149" s="1" t="s">
        <v>3</v>
      </c>
      <c r="D1149" s="1">
        <v>738.4</v>
      </c>
      <c r="E1149" s="1">
        <v>-86.86</v>
      </c>
      <c r="F1149" s="1">
        <v>0</v>
      </c>
      <c r="G1149" s="1">
        <v>-575.08199999999999</v>
      </c>
      <c r="H1149" s="1">
        <v>4430.3879999999999</v>
      </c>
      <c r="I1149" s="1">
        <v>-5154.09</v>
      </c>
    </row>
    <row r="1150" spans="1:9" hidden="1" x14ac:dyDescent="0.25">
      <c r="A1150" s="1" t="s">
        <v>10</v>
      </c>
      <c r="B1150" s="1" t="s">
        <v>253</v>
      </c>
      <c r="C1150" s="1" t="s">
        <v>143</v>
      </c>
      <c r="D1150" s="1">
        <v>0</v>
      </c>
      <c r="E1150" s="1">
        <v>0</v>
      </c>
      <c r="F1150" s="1">
        <v>0</v>
      </c>
      <c r="G1150" s="1">
        <v>0</v>
      </c>
      <c r="H1150" s="1">
        <v>0</v>
      </c>
      <c r="I1150" s="1">
        <v>0</v>
      </c>
    </row>
    <row r="1151" spans="1:9" hidden="1" x14ac:dyDescent="0.25">
      <c r="A1151" s="1" t="s">
        <v>10</v>
      </c>
      <c r="B1151" s="1" t="s">
        <v>253</v>
      </c>
      <c r="C1151" s="1" t="s">
        <v>3</v>
      </c>
      <c r="D1151" s="1">
        <v>0</v>
      </c>
      <c r="E1151" s="1">
        <v>0</v>
      </c>
      <c r="F1151" s="1">
        <v>0</v>
      </c>
      <c r="G1151" s="1">
        <v>0</v>
      </c>
      <c r="H1151" s="1">
        <v>0</v>
      </c>
      <c r="I1151" s="1">
        <v>0</v>
      </c>
    </row>
    <row r="1152" spans="1:9" hidden="1" x14ac:dyDescent="0.25">
      <c r="A1152" s="1" t="s">
        <v>125</v>
      </c>
      <c r="B1152" s="1" t="s">
        <v>254</v>
      </c>
      <c r="C1152" s="1" t="s">
        <v>143</v>
      </c>
      <c r="D1152" s="1">
        <v>233.92</v>
      </c>
      <c r="E1152" s="1">
        <v>0</v>
      </c>
      <c r="F1152" s="1">
        <v>25.01</v>
      </c>
      <c r="G1152" s="1">
        <v>165.04300000000001</v>
      </c>
      <c r="H1152" s="1">
        <v>1403.51</v>
      </c>
      <c r="I1152" s="1">
        <v>-1403.51</v>
      </c>
    </row>
    <row r="1153" spans="1:9" hidden="1" x14ac:dyDescent="0.25">
      <c r="A1153" s="1" t="s">
        <v>125</v>
      </c>
      <c r="B1153" s="1" t="s">
        <v>254</v>
      </c>
      <c r="C1153" s="1" t="s">
        <v>3</v>
      </c>
      <c r="D1153" s="1">
        <v>258.44</v>
      </c>
      <c r="E1153" s="1">
        <v>0</v>
      </c>
      <c r="F1153" s="1">
        <v>25.01</v>
      </c>
      <c r="G1153" s="1">
        <v>165.04300000000001</v>
      </c>
      <c r="H1153" s="1">
        <v>1625.8779999999999</v>
      </c>
      <c r="I1153" s="1">
        <v>-1550.636</v>
      </c>
    </row>
    <row r="1154" spans="1:9" hidden="1" x14ac:dyDescent="0.25">
      <c r="A1154" s="1" t="s">
        <v>126</v>
      </c>
      <c r="B1154" s="1" t="s">
        <v>254</v>
      </c>
      <c r="C1154" s="1" t="s">
        <v>143</v>
      </c>
      <c r="D1154" s="1">
        <v>492.36</v>
      </c>
      <c r="E1154" s="1">
        <v>0</v>
      </c>
      <c r="F1154" s="1">
        <v>48.04</v>
      </c>
      <c r="G1154" s="1">
        <v>317.28500000000003</v>
      </c>
      <c r="H1154" s="1">
        <v>3029.3879999999999</v>
      </c>
      <c r="I1154" s="1">
        <v>-2954.1460000000002</v>
      </c>
    </row>
    <row r="1155" spans="1:9" hidden="1" x14ac:dyDescent="0.25">
      <c r="A1155" s="1" t="s">
        <v>126</v>
      </c>
      <c r="B1155" s="1" t="s">
        <v>254</v>
      </c>
      <c r="C1155" s="1" t="s">
        <v>3</v>
      </c>
      <c r="D1155" s="1">
        <v>516.88</v>
      </c>
      <c r="E1155" s="1">
        <v>0</v>
      </c>
      <c r="F1155" s="1">
        <v>48.04</v>
      </c>
      <c r="G1155" s="1">
        <v>317.28500000000003</v>
      </c>
      <c r="H1155" s="1">
        <v>3321.0659999999998</v>
      </c>
      <c r="I1155" s="1">
        <v>-3101.2710000000002</v>
      </c>
    </row>
    <row r="1156" spans="1:9" hidden="1" x14ac:dyDescent="0.25">
      <c r="A1156" s="1" t="s">
        <v>127</v>
      </c>
      <c r="B1156" s="1" t="s">
        <v>254</v>
      </c>
      <c r="C1156" s="1" t="s">
        <v>143</v>
      </c>
      <c r="D1156" s="1">
        <v>750.8</v>
      </c>
      <c r="E1156" s="1">
        <v>0</v>
      </c>
      <c r="F1156" s="1">
        <v>66.84</v>
      </c>
      <c r="G1156" s="1">
        <v>441.93200000000002</v>
      </c>
      <c r="H1156" s="1">
        <v>4724.576</v>
      </c>
      <c r="I1156" s="1">
        <v>-4504.7809999999999</v>
      </c>
    </row>
    <row r="1157" spans="1:9" hidden="1" x14ac:dyDescent="0.25">
      <c r="A1157" s="1" t="s">
        <v>127</v>
      </c>
      <c r="B1157" s="1" t="s">
        <v>254</v>
      </c>
      <c r="C1157" s="1" t="s">
        <v>3</v>
      </c>
      <c r="D1157" s="1">
        <v>775.32</v>
      </c>
      <c r="E1157" s="1">
        <v>0</v>
      </c>
      <c r="F1157" s="1">
        <v>66.84</v>
      </c>
      <c r="G1157" s="1">
        <v>441.93200000000002</v>
      </c>
      <c r="H1157" s="1">
        <v>5073.067</v>
      </c>
      <c r="I1157" s="1">
        <v>-4651.9070000000002</v>
      </c>
    </row>
    <row r="1158" spans="1:9" hidden="1" x14ac:dyDescent="0.25">
      <c r="A1158" s="1" t="s">
        <v>9</v>
      </c>
      <c r="B1158" s="1" t="s">
        <v>254</v>
      </c>
      <c r="C1158" s="1" t="s">
        <v>143</v>
      </c>
      <c r="D1158" s="1">
        <v>1009.24</v>
      </c>
      <c r="E1158" s="1">
        <v>0</v>
      </c>
      <c r="F1158" s="1">
        <v>79.62</v>
      </c>
      <c r="G1158" s="1">
        <v>527.15800000000002</v>
      </c>
      <c r="H1158" s="1">
        <v>6476.5770000000002</v>
      </c>
      <c r="I1158" s="1">
        <v>-6055.4170000000004</v>
      </c>
    </row>
    <row r="1159" spans="1:9" hidden="1" x14ac:dyDescent="0.25">
      <c r="A1159" s="1" t="s">
        <v>9</v>
      </c>
      <c r="B1159" s="1" t="s">
        <v>254</v>
      </c>
      <c r="C1159" s="1" t="s">
        <v>3</v>
      </c>
      <c r="D1159" s="1">
        <v>1033.76</v>
      </c>
      <c r="E1159" s="1">
        <v>0</v>
      </c>
      <c r="F1159" s="1">
        <v>79.62</v>
      </c>
      <c r="G1159" s="1">
        <v>527.15800000000002</v>
      </c>
      <c r="H1159" s="1">
        <v>6865.9369999999999</v>
      </c>
      <c r="I1159" s="1">
        <v>-6202.5429999999997</v>
      </c>
    </row>
    <row r="1160" spans="1:9" hidden="1" x14ac:dyDescent="0.25">
      <c r="A1160" s="1" t="s">
        <v>10</v>
      </c>
      <c r="B1160" s="1" t="s">
        <v>254</v>
      </c>
      <c r="C1160" s="1" t="s">
        <v>143</v>
      </c>
      <c r="D1160" s="1">
        <v>0</v>
      </c>
      <c r="E1160" s="1">
        <v>0</v>
      </c>
      <c r="F1160" s="1">
        <v>0</v>
      </c>
      <c r="G1160" s="1">
        <v>0</v>
      </c>
      <c r="H1160" s="1">
        <v>0</v>
      </c>
      <c r="I1160" s="1">
        <v>0</v>
      </c>
    </row>
    <row r="1161" spans="1:9" hidden="1" x14ac:dyDescent="0.25">
      <c r="A1161" s="1" t="s">
        <v>10</v>
      </c>
      <c r="B1161" s="1" t="s">
        <v>254</v>
      </c>
      <c r="C1161" s="1" t="s">
        <v>3</v>
      </c>
      <c r="D1161" s="1">
        <v>0</v>
      </c>
      <c r="E1161" s="1">
        <v>0</v>
      </c>
      <c r="F1161" s="1">
        <v>0</v>
      </c>
      <c r="G1161" s="1">
        <v>0</v>
      </c>
      <c r="H1161" s="1">
        <v>0</v>
      </c>
      <c r="I1161" s="1">
        <v>0</v>
      </c>
    </row>
    <row r="1162" spans="1:9" hidden="1" x14ac:dyDescent="0.25">
      <c r="A1162" s="1" t="s">
        <v>125</v>
      </c>
      <c r="B1162" s="1" t="s">
        <v>255</v>
      </c>
      <c r="C1162" s="1" t="s">
        <v>143</v>
      </c>
      <c r="D1162" s="1">
        <v>233.92</v>
      </c>
      <c r="E1162" s="1">
        <v>0</v>
      </c>
      <c r="F1162" s="1">
        <v>-25.01</v>
      </c>
      <c r="G1162" s="1">
        <v>-165.04300000000001</v>
      </c>
      <c r="H1162" s="1">
        <v>1403.51</v>
      </c>
      <c r="I1162" s="1">
        <v>-1403.51</v>
      </c>
    </row>
    <row r="1163" spans="1:9" hidden="1" x14ac:dyDescent="0.25">
      <c r="A1163" s="1" t="s">
        <v>125</v>
      </c>
      <c r="B1163" s="1" t="s">
        <v>255</v>
      </c>
      <c r="C1163" s="1" t="s">
        <v>3</v>
      </c>
      <c r="D1163" s="1">
        <v>258.44</v>
      </c>
      <c r="E1163" s="1">
        <v>0</v>
      </c>
      <c r="F1163" s="1">
        <v>-25.01</v>
      </c>
      <c r="G1163" s="1">
        <v>-165.04300000000001</v>
      </c>
      <c r="H1163" s="1">
        <v>1475.393</v>
      </c>
      <c r="I1163" s="1">
        <v>-1550.636</v>
      </c>
    </row>
    <row r="1164" spans="1:9" hidden="1" x14ac:dyDescent="0.25">
      <c r="A1164" s="1" t="s">
        <v>126</v>
      </c>
      <c r="B1164" s="1" t="s">
        <v>255</v>
      </c>
      <c r="C1164" s="1" t="s">
        <v>143</v>
      </c>
      <c r="D1164" s="1">
        <v>492.36</v>
      </c>
      <c r="E1164" s="1">
        <v>0</v>
      </c>
      <c r="F1164" s="1">
        <v>-48.04</v>
      </c>
      <c r="G1164" s="1">
        <v>-317.28500000000003</v>
      </c>
      <c r="H1164" s="1">
        <v>2878.9029999999998</v>
      </c>
      <c r="I1164" s="1">
        <v>-2954.1460000000002</v>
      </c>
    </row>
    <row r="1165" spans="1:9" hidden="1" x14ac:dyDescent="0.25">
      <c r="A1165" s="1" t="s">
        <v>126</v>
      </c>
      <c r="B1165" s="1" t="s">
        <v>255</v>
      </c>
      <c r="C1165" s="1" t="s">
        <v>3</v>
      </c>
      <c r="D1165" s="1">
        <v>516.88</v>
      </c>
      <c r="E1165" s="1">
        <v>0</v>
      </c>
      <c r="F1165" s="1">
        <v>-48.04</v>
      </c>
      <c r="G1165" s="1">
        <v>-317.28500000000003</v>
      </c>
      <c r="H1165" s="1">
        <v>2881.4769999999999</v>
      </c>
      <c r="I1165" s="1">
        <v>-3101.2710000000002</v>
      </c>
    </row>
    <row r="1166" spans="1:9" hidden="1" x14ac:dyDescent="0.25">
      <c r="A1166" s="1" t="s">
        <v>127</v>
      </c>
      <c r="B1166" s="1" t="s">
        <v>255</v>
      </c>
      <c r="C1166" s="1" t="s">
        <v>143</v>
      </c>
      <c r="D1166" s="1">
        <v>750.8</v>
      </c>
      <c r="E1166" s="1">
        <v>0</v>
      </c>
      <c r="F1166" s="1">
        <v>-66.84</v>
      </c>
      <c r="G1166" s="1">
        <v>-441.93200000000002</v>
      </c>
      <c r="H1166" s="1">
        <v>4284.9870000000001</v>
      </c>
      <c r="I1166" s="1">
        <v>-4504.7809999999999</v>
      </c>
    </row>
    <row r="1167" spans="1:9" hidden="1" x14ac:dyDescent="0.25">
      <c r="A1167" s="1" t="s">
        <v>127</v>
      </c>
      <c r="B1167" s="1" t="s">
        <v>255</v>
      </c>
      <c r="C1167" s="1" t="s">
        <v>3</v>
      </c>
      <c r="D1167" s="1">
        <v>775.32</v>
      </c>
      <c r="E1167" s="1">
        <v>0</v>
      </c>
      <c r="F1167" s="1">
        <v>-66.84</v>
      </c>
      <c r="G1167" s="1">
        <v>-441.93200000000002</v>
      </c>
      <c r="H1167" s="1">
        <v>4230.7470000000003</v>
      </c>
      <c r="I1167" s="1">
        <v>-4651.9070000000002</v>
      </c>
    </row>
    <row r="1168" spans="1:9" hidden="1" x14ac:dyDescent="0.25">
      <c r="A1168" s="1" t="s">
        <v>9</v>
      </c>
      <c r="B1168" s="1" t="s">
        <v>255</v>
      </c>
      <c r="C1168" s="1" t="s">
        <v>143</v>
      </c>
      <c r="D1168" s="1">
        <v>1009.24</v>
      </c>
      <c r="E1168" s="1">
        <v>0</v>
      </c>
      <c r="F1168" s="1">
        <v>-79.62</v>
      </c>
      <c r="G1168" s="1">
        <v>-527.15800000000002</v>
      </c>
      <c r="H1168" s="1">
        <v>5634.2569999999996</v>
      </c>
      <c r="I1168" s="1">
        <v>-6055.4170000000004</v>
      </c>
    </row>
    <row r="1169" spans="1:9" hidden="1" x14ac:dyDescent="0.25">
      <c r="A1169" s="1" t="s">
        <v>9</v>
      </c>
      <c r="B1169" s="1" t="s">
        <v>255</v>
      </c>
      <c r="C1169" s="1" t="s">
        <v>3</v>
      </c>
      <c r="D1169" s="1">
        <v>1033.76</v>
      </c>
      <c r="E1169" s="1">
        <v>0</v>
      </c>
      <c r="F1169" s="1">
        <v>-79.62</v>
      </c>
      <c r="G1169" s="1">
        <v>-527.15800000000002</v>
      </c>
      <c r="H1169" s="1">
        <v>5539.1490000000003</v>
      </c>
      <c r="I1169" s="1">
        <v>-6202.5429999999997</v>
      </c>
    </row>
    <row r="1170" spans="1:9" hidden="1" x14ac:dyDescent="0.25">
      <c r="A1170" s="1" t="s">
        <v>10</v>
      </c>
      <c r="B1170" s="1" t="s">
        <v>255</v>
      </c>
      <c r="C1170" s="1" t="s">
        <v>143</v>
      </c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</row>
    <row r="1171" spans="1:9" hidden="1" x14ac:dyDescent="0.25">
      <c r="A1171" s="1" t="s">
        <v>10</v>
      </c>
      <c r="B1171" s="1" t="s">
        <v>255</v>
      </c>
      <c r="C1171" s="1" t="s">
        <v>3</v>
      </c>
      <c r="D1171" s="1">
        <v>0</v>
      </c>
      <c r="E1171" s="1">
        <v>0</v>
      </c>
      <c r="F1171" s="1">
        <v>0</v>
      </c>
      <c r="G1171" s="1">
        <v>0</v>
      </c>
      <c r="H1171" s="1">
        <v>0</v>
      </c>
      <c r="I1171" s="1">
        <v>0</v>
      </c>
    </row>
    <row r="1172" spans="1:9" hidden="1" x14ac:dyDescent="0.25">
      <c r="A1172" s="1" t="s">
        <v>125</v>
      </c>
      <c r="B1172" s="1" t="s">
        <v>256</v>
      </c>
      <c r="C1172" s="1" t="s">
        <v>143</v>
      </c>
      <c r="D1172" s="1">
        <v>167.08</v>
      </c>
      <c r="E1172" s="1">
        <v>0</v>
      </c>
      <c r="F1172" s="1">
        <v>25.01</v>
      </c>
      <c r="G1172" s="1">
        <v>165.04300000000001</v>
      </c>
      <c r="H1172" s="1">
        <v>1002.5069999999999</v>
      </c>
      <c r="I1172" s="1">
        <v>-1002.5069999999999</v>
      </c>
    </row>
    <row r="1173" spans="1:9" hidden="1" x14ac:dyDescent="0.25">
      <c r="A1173" s="1" t="s">
        <v>125</v>
      </c>
      <c r="B1173" s="1" t="s">
        <v>256</v>
      </c>
      <c r="C1173" s="1" t="s">
        <v>3</v>
      </c>
      <c r="D1173" s="1">
        <v>184.6</v>
      </c>
      <c r="E1173" s="1">
        <v>0</v>
      </c>
      <c r="F1173" s="1">
        <v>25.01</v>
      </c>
      <c r="G1173" s="1">
        <v>165.04300000000001</v>
      </c>
      <c r="H1173" s="1">
        <v>1182.8399999999999</v>
      </c>
      <c r="I1173" s="1">
        <v>-1107.597</v>
      </c>
    </row>
    <row r="1174" spans="1:9" hidden="1" x14ac:dyDescent="0.25">
      <c r="A1174" s="1" t="s">
        <v>126</v>
      </c>
      <c r="B1174" s="1" t="s">
        <v>256</v>
      </c>
      <c r="C1174" s="1" t="s">
        <v>143</v>
      </c>
      <c r="D1174" s="1">
        <v>351.68</v>
      </c>
      <c r="E1174" s="1">
        <v>0</v>
      </c>
      <c r="F1174" s="1">
        <v>48.04</v>
      </c>
      <c r="G1174" s="1">
        <v>317.28500000000003</v>
      </c>
      <c r="H1174" s="1">
        <v>2185.3470000000002</v>
      </c>
      <c r="I1174" s="1">
        <v>-2110.1039999999998</v>
      </c>
    </row>
    <row r="1175" spans="1:9" hidden="1" x14ac:dyDescent="0.25">
      <c r="A1175" s="1" t="s">
        <v>126</v>
      </c>
      <c r="B1175" s="1" t="s">
        <v>256</v>
      </c>
      <c r="C1175" s="1" t="s">
        <v>3</v>
      </c>
      <c r="D1175" s="1">
        <v>369.2</v>
      </c>
      <c r="E1175" s="1">
        <v>0</v>
      </c>
      <c r="F1175" s="1">
        <v>48.04</v>
      </c>
      <c r="G1175" s="1">
        <v>317.28500000000003</v>
      </c>
      <c r="H1175" s="1">
        <v>2434.989</v>
      </c>
      <c r="I1175" s="1">
        <v>-2215.194</v>
      </c>
    </row>
    <row r="1176" spans="1:9" hidden="1" x14ac:dyDescent="0.25">
      <c r="A1176" s="1" t="s">
        <v>127</v>
      </c>
      <c r="B1176" s="1" t="s">
        <v>256</v>
      </c>
      <c r="C1176" s="1" t="s">
        <v>143</v>
      </c>
      <c r="D1176" s="1">
        <v>536.28</v>
      </c>
      <c r="E1176" s="1">
        <v>0</v>
      </c>
      <c r="F1176" s="1">
        <v>66.84</v>
      </c>
      <c r="G1176" s="1">
        <v>441.93200000000002</v>
      </c>
      <c r="H1176" s="1">
        <v>3437.4960000000001</v>
      </c>
      <c r="I1176" s="1">
        <v>-3217.701</v>
      </c>
    </row>
    <row r="1177" spans="1:9" hidden="1" x14ac:dyDescent="0.25">
      <c r="A1177" s="1" t="s">
        <v>127</v>
      </c>
      <c r="B1177" s="1" t="s">
        <v>256</v>
      </c>
      <c r="C1177" s="1" t="s">
        <v>3</v>
      </c>
      <c r="D1177" s="1">
        <v>553.79999999999995</v>
      </c>
      <c r="E1177" s="1">
        <v>0</v>
      </c>
      <c r="F1177" s="1">
        <v>66.84</v>
      </c>
      <c r="G1177" s="1">
        <v>441.93200000000002</v>
      </c>
      <c r="H1177" s="1">
        <v>3743.951</v>
      </c>
      <c r="I1177" s="1">
        <v>-3322.7910000000002</v>
      </c>
    </row>
    <row r="1178" spans="1:9" hidden="1" x14ac:dyDescent="0.25">
      <c r="A1178" s="1" t="s">
        <v>9</v>
      </c>
      <c r="B1178" s="1" t="s">
        <v>256</v>
      </c>
      <c r="C1178" s="1" t="s">
        <v>143</v>
      </c>
      <c r="D1178" s="1">
        <v>720.88</v>
      </c>
      <c r="E1178" s="1">
        <v>0</v>
      </c>
      <c r="F1178" s="1">
        <v>79.62</v>
      </c>
      <c r="G1178" s="1">
        <v>527.15800000000002</v>
      </c>
      <c r="H1178" s="1">
        <v>4746.4579999999996</v>
      </c>
      <c r="I1178" s="1">
        <v>-4325.2979999999998</v>
      </c>
    </row>
    <row r="1179" spans="1:9" hidden="1" x14ac:dyDescent="0.25">
      <c r="A1179" s="1" t="s">
        <v>9</v>
      </c>
      <c r="B1179" s="1" t="s">
        <v>256</v>
      </c>
      <c r="C1179" s="1" t="s">
        <v>3</v>
      </c>
      <c r="D1179" s="1">
        <v>738.4</v>
      </c>
      <c r="E1179" s="1">
        <v>0</v>
      </c>
      <c r="F1179" s="1">
        <v>79.62</v>
      </c>
      <c r="G1179" s="1">
        <v>527.15800000000002</v>
      </c>
      <c r="H1179" s="1">
        <v>5093.7820000000002</v>
      </c>
      <c r="I1179" s="1">
        <v>-4430.3879999999999</v>
      </c>
    </row>
    <row r="1180" spans="1:9" hidden="1" x14ac:dyDescent="0.25">
      <c r="A1180" s="1" t="s">
        <v>10</v>
      </c>
      <c r="B1180" s="1" t="s">
        <v>256</v>
      </c>
      <c r="C1180" s="1" t="s">
        <v>143</v>
      </c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</row>
    <row r="1181" spans="1:9" hidden="1" x14ac:dyDescent="0.25">
      <c r="A1181" s="1" t="s">
        <v>10</v>
      </c>
      <c r="B1181" s="1" t="s">
        <v>256</v>
      </c>
      <c r="C1181" s="1" t="s">
        <v>3</v>
      </c>
      <c r="D1181" s="1">
        <v>0</v>
      </c>
      <c r="E1181" s="1">
        <v>0</v>
      </c>
      <c r="F1181" s="1">
        <v>0</v>
      </c>
      <c r="G1181" s="1">
        <v>0</v>
      </c>
      <c r="H1181" s="1">
        <v>0</v>
      </c>
      <c r="I1181" s="1">
        <v>0</v>
      </c>
    </row>
    <row r="1182" spans="1:9" hidden="1" x14ac:dyDescent="0.25">
      <c r="A1182" s="1" t="s">
        <v>125</v>
      </c>
      <c r="B1182" s="1" t="s">
        <v>257</v>
      </c>
      <c r="C1182" s="1" t="s">
        <v>143</v>
      </c>
      <c r="D1182" s="1">
        <v>167.08</v>
      </c>
      <c r="E1182" s="1">
        <v>0</v>
      </c>
      <c r="F1182" s="1">
        <v>-25.01</v>
      </c>
      <c r="G1182" s="1">
        <v>-165.04300000000001</v>
      </c>
      <c r="H1182" s="1">
        <v>1002.5069999999999</v>
      </c>
      <c r="I1182" s="1">
        <v>-1002.5069999999999</v>
      </c>
    </row>
    <row r="1183" spans="1:9" hidden="1" x14ac:dyDescent="0.25">
      <c r="A1183" s="1" t="s">
        <v>125</v>
      </c>
      <c r="B1183" s="1" t="s">
        <v>257</v>
      </c>
      <c r="C1183" s="1" t="s">
        <v>3</v>
      </c>
      <c r="D1183" s="1">
        <v>184.6</v>
      </c>
      <c r="E1183" s="1">
        <v>0</v>
      </c>
      <c r="F1183" s="1">
        <v>-25.01</v>
      </c>
      <c r="G1183" s="1">
        <v>-165.04300000000001</v>
      </c>
      <c r="H1183" s="1">
        <v>1032.354</v>
      </c>
      <c r="I1183" s="1">
        <v>-1107.597</v>
      </c>
    </row>
    <row r="1184" spans="1:9" hidden="1" x14ac:dyDescent="0.25">
      <c r="A1184" s="1" t="s">
        <v>126</v>
      </c>
      <c r="B1184" s="1" t="s">
        <v>257</v>
      </c>
      <c r="C1184" s="1" t="s">
        <v>143</v>
      </c>
      <c r="D1184" s="1">
        <v>351.68</v>
      </c>
      <c r="E1184" s="1">
        <v>0</v>
      </c>
      <c r="F1184" s="1">
        <v>-48.04</v>
      </c>
      <c r="G1184" s="1">
        <v>-317.28500000000003</v>
      </c>
      <c r="H1184" s="1">
        <v>2034.8610000000001</v>
      </c>
      <c r="I1184" s="1">
        <v>-2110.1039999999998</v>
      </c>
    </row>
    <row r="1185" spans="1:9" hidden="1" x14ac:dyDescent="0.25">
      <c r="A1185" s="1" t="s">
        <v>126</v>
      </c>
      <c r="B1185" s="1" t="s">
        <v>257</v>
      </c>
      <c r="C1185" s="1" t="s">
        <v>3</v>
      </c>
      <c r="D1185" s="1">
        <v>369.2</v>
      </c>
      <c r="E1185" s="1">
        <v>0</v>
      </c>
      <c r="F1185" s="1">
        <v>-48.04</v>
      </c>
      <c r="G1185" s="1">
        <v>-317.28500000000003</v>
      </c>
      <c r="H1185" s="1">
        <v>1995.3989999999999</v>
      </c>
      <c r="I1185" s="1">
        <v>-2215.194</v>
      </c>
    </row>
    <row r="1186" spans="1:9" hidden="1" x14ac:dyDescent="0.25">
      <c r="A1186" s="1" t="s">
        <v>127</v>
      </c>
      <c r="B1186" s="1" t="s">
        <v>257</v>
      </c>
      <c r="C1186" s="1" t="s">
        <v>143</v>
      </c>
      <c r="D1186" s="1">
        <v>536.28</v>
      </c>
      <c r="E1186" s="1">
        <v>0</v>
      </c>
      <c r="F1186" s="1">
        <v>-66.84</v>
      </c>
      <c r="G1186" s="1">
        <v>-441.93200000000002</v>
      </c>
      <c r="H1186" s="1">
        <v>2997.9059999999999</v>
      </c>
      <c r="I1186" s="1">
        <v>-3217.701</v>
      </c>
    </row>
    <row r="1187" spans="1:9" hidden="1" x14ac:dyDescent="0.25">
      <c r="A1187" s="1" t="s">
        <v>127</v>
      </c>
      <c r="B1187" s="1" t="s">
        <v>257</v>
      </c>
      <c r="C1187" s="1" t="s">
        <v>3</v>
      </c>
      <c r="D1187" s="1">
        <v>553.79999999999995</v>
      </c>
      <c r="E1187" s="1">
        <v>0</v>
      </c>
      <c r="F1187" s="1">
        <v>-66.84</v>
      </c>
      <c r="G1187" s="1">
        <v>-441.93200000000002</v>
      </c>
      <c r="H1187" s="1">
        <v>2901.6309999999999</v>
      </c>
      <c r="I1187" s="1">
        <v>-3322.7910000000002</v>
      </c>
    </row>
    <row r="1188" spans="1:9" hidden="1" x14ac:dyDescent="0.25">
      <c r="A1188" s="1" t="s">
        <v>9</v>
      </c>
      <c r="B1188" s="1" t="s">
        <v>257</v>
      </c>
      <c r="C1188" s="1" t="s">
        <v>143</v>
      </c>
      <c r="D1188" s="1">
        <v>720.88</v>
      </c>
      <c r="E1188" s="1">
        <v>0</v>
      </c>
      <c r="F1188" s="1">
        <v>-79.62</v>
      </c>
      <c r="G1188" s="1">
        <v>-527.15800000000002</v>
      </c>
      <c r="H1188" s="1">
        <v>3904.1379999999999</v>
      </c>
      <c r="I1188" s="1">
        <v>-4325.2979999999998</v>
      </c>
    </row>
    <row r="1189" spans="1:9" hidden="1" x14ac:dyDescent="0.25">
      <c r="A1189" s="1" t="s">
        <v>9</v>
      </c>
      <c r="B1189" s="1" t="s">
        <v>257</v>
      </c>
      <c r="C1189" s="1" t="s">
        <v>3</v>
      </c>
      <c r="D1189" s="1">
        <v>738.4</v>
      </c>
      <c r="E1189" s="1">
        <v>0</v>
      </c>
      <c r="F1189" s="1">
        <v>-79.62</v>
      </c>
      <c r="G1189" s="1">
        <v>-527.15800000000002</v>
      </c>
      <c r="H1189" s="1">
        <v>3766.9929999999999</v>
      </c>
      <c r="I1189" s="1">
        <v>-4430.3879999999999</v>
      </c>
    </row>
    <row r="1190" spans="1:9" hidden="1" x14ac:dyDescent="0.25">
      <c r="A1190" s="1" t="s">
        <v>10</v>
      </c>
      <c r="B1190" s="1" t="s">
        <v>257</v>
      </c>
      <c r="C1190" s="1" t="s">
        <v>143</v>
      </c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0</v>
      </c>
    </row>
    <row r="1191" spans="1:9" hidden="1" x14ac:dyDescent="0.25">
      <c r="A1191" s="1" t="s">
        <v>10</v>
      </c>
      <c r="B1191" s="1" t="s">
        <v>257</v>
      </c>
      <c r="C1191" s="1" t="s">
        <v>3</v>
      </c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0</v>
      </c>
    </row>
    <row r="1192" spans="1:9" hidden="1" x14ac:dyDescent="0.25">
      <c r="A1192" s="1" t="s">
        <v>125</v>
      </c>
      <c r="B1192" s="1" t="s">
        <v>147</v>
      </c>
      <c r="C1192" s="1" t="s">
        <v>143</v>
      </c>
      <c r="D1192" s="1">
        <v>0</v>
      </c>
      <c r="E1192" s="1">
        <v>0</v>
      </c>
      <c r="F1192" s="1">
        <v>0</v>
      </c>
      <c r="G1192" s="1">
        <v>0</v>
      </c>
      <c r="H1192" s="1">
        <v>0</v>
      </c>
      <c r="I1192" s="1">
        <v>0</v>
      </c>
    </row>
    <row r="1193" spans="1:9" hidden="1" x14ac:dyDescent="0.25">
      <c r="A1193" s="1" t="s">
        <v>125</v>
      </c>
      <c r="B1193" s="1" t="s">
        <v>147</v>
      </c>
      <c r="C1193" s="1" t="s">
        <v>3</v>
      </c>
      <c r="D1193" s="1">
        <v>0</v>
      </c>
      <c r="E1193" s="1">
        <v>0</v>
      </c>
      <c r="F1193" s="1">
        <v>0</v>
      </c>
      <c r="G1193" s="1">
        <v>0</v>
      </c>
      <c r="H1193" s="1">
        <v>0</v>
      </c>
      <c r="I1193" s="1">
        <v>0</v>
      </c>
    </row>
    <row r="1194" spans="1:9" hidden="1" x14ac:dyDescent="0.25">
      <c r="A1194" s="1" t="s">
        <v>126</v>
      </c>
      <c r="B1194" s="1" t="s">
        <v>147</v>
      </c>
      <c r="C1194" s="1" t="s">
        <v>143</v>
      </c>
      <c r="D1194" s="1">
        <v>0</v>
      </c>
      <c r="E1194" s="1">
        <v>0</v>
      </c>
      <c r="F1194" s="1">
        <v>0</v>
      </c>
      <c r="G1194" s="1">
        <v>0</v>
      </c>
      <c r="H1194" s="1">
        <v>0</v>
      </c>
      <c r="I1194" s="1">
        <v>0</v>
      </c>
    </row>
    <row r="1195" spans="1:9" hidden="1" x14ac:dyDescent="0.25">
      <c r="A1195" s="1" t="s">
        <v>126</v>
      </c>
      <c r="B1195" s="1" t="s">
        <v>147</v>
      </c>
      <c r="C1195" s="1" t="s">
        <v>3</v>
      </c>
      <c r="D1195" s="1">
        <v>0</v>
      </c>
      <c r="E1195" s="1">
        <v>0</v>
      </c>
      <c r="F1195" s="1">
        <v>0</v>
      </c>
      <c r="G1195" s="1">
        <v>0</v>
      </c>
      <c r="H1195" s="1">
        <v>0</v>
      </c>
      <c r="I1195" s="1">
        <v>0</v>
      </c>
    </row>
    <row r="1196" spans="1:9" hidden="1" x14ac:dyDescent="0.25">
      <c r="A1196" s="1" t="s">
        <v>127</v>
      </c>
      <c r="B1196" s="1" t="s">
        <v>147</v>
      </c>
      <c r="C1196" s="1" t="s">
        <v>143</v>
      </c>
      <c r="D1196" s="1">
        <v>0</v>
      </c>
      <c r="E1196" s="1">
        <v>0</v>
      </c>
      <c r="F1196" s="1">
        <v>0</v>
      </c>
      <c r="G1196" s="1">
        <v>0</v>
      </c>
      <c r="H1196" s="1">
        <v>0</v>
      </c>
      <c r="I1196" s="1">
        <v>0</v>
      </c>
    </row>
    <row r="1197" spans="1:9" hidden="1" x14ac:dyDescent="0.25">
      <c r="A1197" s="1" t="s">
        <v>127</v>
      </c>
      <c r="B1197" s="1" t="s">
        <v>147</v>
      </c>
      <c r="C1197" s="1" t="s">
        <v>3</v>
      </c>
      <c r="D1197" s="1">
        <v>0</v>
      </c>
      <c r="E1197" s="1">
        <v>0</v>
      </c>
      <c r="F1197" s="1">
        <v>0</v>
      </c>
      <c r="G1197" s="1">
        <v>0</v>
      </c>
      <c r="H1197" s="1">
        <v>0</v>
      </c>
      <c r="I1197" s="1">
        <v>0</v>
      </c>
    </row>
    <row r="1198" spans="1:9" hidden="1" x14ac:dyDescent="0.25">
      <c r="A1198" s="1" t="s">
        <v>9</v>
      </c>
      <c r="B1198" s="1" t="s">
        <v>147</v>
      </c>
      <c r="C1198" s="1" t="s">
        <v>143</v>
      </c>
      <c r="D1198" s="1">
        <v>0</v>
      </c>
      <c r="E1198" s="1">
        <v>0</v>
      </c>
      <c r="F1198" s="1">
        <v>0</v>
      </c>
      <c r="G1198" s="1">
        <v>0</v>
      </c>
      <c r="H1198" s="1">
        <v>0</v>
      </c>
      <c r="I1198" s="1">
        <v>0</v>
      </c>
    </row>
    <row r="1199" spans="1:9" hidden="1" x14ac:dyDescent="0.25">
      <c r="A1199" s="1" t="s">
        <v>9</v>
      </c>
      <c r="B1199" s="1" t="s">
        <v>147</v>
      </c>
      <c r="C1199" s="1" t="s">
        <v>3</v>
      </c>
      <c r="D1199" s="1">
        <v>0</v>
      </c>
      <c r="E1199" s="1">
        <v>0</v>
      </c>
      <c r="F1199" s="1">
        <v>0</v>
      </c>
      <c r="G1199" s="1">
        <v>0</v>
      </c>
      <c r="H1199" s="1">
        <v>0</v>
      </c>
      <c r="I1199" s="1">
        <v>0</v>
      </c>
    </row>
    <row r="1200" spans="1:9" hidden="1" x14ac:dyDescent="0.25">
      <c r="A1200" s="1" t="s">
        <v>10</v>
      </c>
      <c r="B1200" s="1" t="s">
        <v>147</v>
      </c>
      <c r="C1200" s="1" t="s">
        <v>143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</row>
    <row r="1201" spans="1:9" hidden="1" x14ac:dyDescent="0.25">
      <c r="A1201" s="1" t="s">
        <v>10</v>
      </c>
      <c r="B1201" s="1" t="s">
        <v>147</v>
      </c>
      <c r="C1201" s="1" t="s">
        <v>3</v>
      </c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</row>
    <row r="1202" spans="1:9" hidden="1" x14ac:dyDescent="0.25">
      <c r="A1202" s="1" t="s">
        <v>125</v>
      </c>
      <c r="B1202" s="1" t="s">
        <v>148</v>
      </c>
      <c r="C1202" s="1" t="s">
        <v>143</v>
      </c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</row>
    <row r="1203" spans="1:9" hidden="1" x14ac:dyDescent="0.25">
      <c r="A1203" s="1" t="s">
        <v>125</v>
      </c>
      <c r="B1203" s="1" t="s">
        <v>148</v>
      </c>
      <c r="C1203" s="1" t="s">
        <v>3</v>
      </c>
      <c r="D1203" s="1">
        <v>0</v>
      </c>
      <c r="E1203" s="1">
        <v>0</v>
      </c>
      <c r="F1203" s="1">
        <v>0</v>
      </c>
      <c r="G1203" s="1">
        <v>0</v>
      </c>
      <c r="H1203" s="1">
        <v>0</v>
      </c>
      <c r="I1203" s="1">
        <v>0</v>
      </c>
    </row>
    <row r="1204" spans="1:9" hidden="1" x14ac:dyDescent="0.25">
      <c r="A1204" s="1" t="s">
        <v>126</v>
      </c>
      <c r="B1204" s="1" t="s">
        <v>148</v>
      </c>
      <c r="C1204" s="1" t="s">
        <v>143</v>
      </c>
      <c r="D1204" s="1">
        <v>0</v>
      </c>
      <c r="E1204" s="1">
        <v>0</v>
      </c>
      <c r="F1204" s="1">
        <v>0</v>
      </c>
      <c r="G1204" s="1">
        <v>0</v>
      </c>
      <c r="H1204" s="1">
        <v>0</v>
      </c>
      <c r="I1204" s="1">
        <v>0</v>
      </c>
    </row>
    <row r="1205" spans="1:9" hidden="1" x14ac:dyDescent="0.25">
      <c r="A1205" s="1" t="s">
        <v>126</v>
      </c>
      <c r="B1205" s="1" t="s">
        <v>148</v>
      </c>
      <c r="C1205" s="1" t="s">
        <v>3</v>
      </c>
      <c r="D1205" s="1">
        <v>0</v>
      </c>
      <c r="E1205" s="1">
        <v>0</v>
      </c>
      <c r="F1205" s="1">
        <v>0</v>
      </c>
      <c r="G1205" s="1">
        <v>0</v>
      </c>
      <c r="H1205" s="1">
        <v>0</v>
      </c>
      <c r="I1205" s="1">
        <v>0</v>
      </c>
    </row>
    <row r="1206" spans="1:9" hidden="1" x14ac:dyDescent="0.25">
      <c r="A1206" s="1" t="s">
        <v>127</v>
      </c>
      <c r="B1206" s="1" t="s">
        <v>148</v>
      </c>
      <c r="C1206" s="1" t="s">
        <v>143</v>
      </c>
      <c r="D1206" s="1">
        <v>0</v>
      </c>
      <c r="E1206" s="1">
        <v>0</v>
      </c>
      <c r="F1206" s="1">
        <v>0</v>
      </c>
      <c r="G1206" s="1">
        <v>0</v>
      </c>
      <c r="H1206" s="1">
        <v>0</v>
      </c>
      <c r="I1206" s="1">
        <v>0</v>
      </c>
    </row>
    <row r="1207" spans="1:9" hidden="1" x14ac:dyDescent="0.25">
      <c r="A1207" s="1" t="s">
        <v>127</v>
      </c>
      <c r="B1207" s="1" t="s">
        <v>148</v>
      </c>
      <c r="C1207" s="1" t="s">
        <v>3</v>
      </c>
      <c r="D1207" s="1">
        <v>0</v>
      </c>
      <c r="E1207" s="1">
        <v>0</v>
      </c>
      <c r="F1207" s="1">
        <v>0</v>
      </c>
      <c r="G1207" s="1">
        <v>0</v>
      </c>
      <c r="H1207" s="1">
        <v>0</v>
      </c>
      <c r="I1207" s="1">
        <v>0</v>
      </c>
    </row>
    <row r="1208" spans="1:9" hidden="1" x14ac:dyDescent="0.25">
      <c r="A1208" s="1" t="s">
        <v>9</v>
      </c>
      <c r="B1208" s="1" t="s">
        <v>148</v>
      </c>
      <c r="C1208" s="1" t="s">
        <v>143</v>
      </c>
      <c r="D1208" s="1">
        <v>0</v>
      </c>
      <c r="E1208" s="1">
        <v>0</v>
      </c>
      <c r="F1208" s="1">
        <v>0</v>
      </c>
      <c r="G1208" s="1">
        <v>0</v>
      </c>
      <c r="H1208" s="1">
        <v>0</v>
      </c>
      <c r="I1208" s="1">
        <v>0</v>
      </c>
    </row>
    <row r="1209" spans="1:9" hidden="1" x14ac:dyDescent="0.25">
      <c r="A1209" s="1" t="s">
        <v>9</v>
      </c>
      <c r="B1209" s="1" t="s">
        <v>148</v>
      </c>
      <c r="C1209" s="1" t="s">
        <v>3</v>
      </c>
      <c r="D1209" s="1">
        <v>0</v>
      </c>
      <c r="E1209" s="1">
        <v>0</v>
      </c>
      <c r="F1209" s="1">
        <v>0</v>
      </c>
      <c r="G1209" s="1">
        <v>0</v>
      </c>
      <c r="H1209" s="1">
        <v>0</v>
      </c>
      <c r="I1209" s="1">
        <v>0</v>
      </c>
    </row>
    <row r="1210" spans="1:9" hidden="1" x14ac:dyDescent="0.25">
      <c r="A1210" s="1" t="s">
        <v>10</v>
      </c>
      <c r="B1210" s="1" t="s">
        <v>148</v>
      </c>
      <c r="C1210" s="1" t="s">
        <v>143</v>
      </c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</row>
    <row r="1211" spans="1:9" hidden="1" x14ac:dyDescent="0.25">
      <c r="A1211" s="1" t="s">
        <v>10</v>
      </c>
      <c r="B1211" s="1" t="s">
        <v>148</v>
      </c>
      <c r="C1211" s="1" t="s">
        <v>3</v>
      </c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</row>
    <row r="1212" spans="1:9" hidden="1" x14ac:dyDescent="0.25">
      <c r="A1212" s="1" t="s">
        <v>125</v>
      </c>
      <c r="B1212" s="1" t="s">
        <v>149</v>
      </c>
      <c r="C1212" s="1" t="s">
        <v>143</v>
      </c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</row>
    <row r="1213" spans="1:9" hidden="1" x14ac:dyDescent="0.25">
      <c r="A1213" s="1" t="s">
        <v>125</v>
      </c>
      <c r="B1213" s="1" t="s">
        <v>149</v>
      </c>
      <c r="C1213" s="1" t="s">
        <v>3</v>
      </c>
      <c r="D1213" s="1">
        <v>0</v>
      </c>
      <c r="E1213" s="1">
        <v>0</v>
      </c>
      <c r="F1213" s="1">
        <v>0</v>
      </c>
      <c r="G1213" s="1">
        <v>0</v>
      </c>
      <c r="H1213" s="1">
        <v>0</v>
      </c>
      <c r="I1213" s="1">
        <v>0</v>
      </c>
    </row>
    <row r="1214" spans="1:9" hidden="1" x14ac:dyDescent="0.25">
      <c r="A1214" s="1" t="s">
        <v>126</v>
      </c>
      <c r="B1214" s="1" t="s">
        <v>149</v>
      </c>
      <c r="C1214" s="1" t="s">
        <v>143</v>
      </c>
      <c r="D1214" s="1">
        <v>0</v>
      </c>
      <c r="E1214" s="1">
        <v>0</v>
      </c>
      <c r="F1214" s="1">
        <v>0</v>
      </c>
      <c r="G1214" s="1">
        <v>0</v>
      </c>
      <c r="H1214" s="1">
        <v>0</v>
      </c>
      <c r="I1214" s="1">
        <v>0</v>
      </c>
    </row>
    <row r="1215" spans="1:9" hidden="1" x14ac:dyDescent="0.25">
      <c r="A1215" s="1" t="s">
        <v>126</v>
      </c>
      <c r="B1215" s="1" t="s">
        <v>149</v>
      </c>
      <c r="C1215" s="1" t="s">
        <v>3</v>
      </c>
      <c r="D1215" s="1">
        <v>0</v>
      </c>
      <c r="E1215" s="1">
        <v>0</v>
      </c>
      <c r="F1215" s="1">
        <v>0</v>
      </c>
      <c r="G1215" s="1">
        <v>0</v>
      </c>
      <c r="H1215" s="1">
        <v>0</v>
      </c>
      <c r="I1215" s="1">
        <v>0</v>
      </c>
    </row>
    <row r="1216" spans="1:9" hidden="1" x14ac:dyDescent="0.25">
      <c r="A1216" s="1" t="s">
        <v>127</v>
      </c>
      <c r="B1216" s="1" t="s">
        <v>149</v>
      </c>
      <c r="C1216" s="1" t="s">
        <v>143</v>
      </c>
      <c r="D1216" s="1">
        <v>0</v>
      </c>
      <c r="E1216" s="1">
        <v>0</v>
      </c>
      <c r="F1216" s="1">
        <v>0</v>
      </c>
      <c r="G1216" s="1">
        <v>0</v>
      </c>
      <c r="H1216" s="1">
        <v>0</v>
      </c>
      <c r="I1216" s="1">
        <v>0</v>
      </c>
    </row>
    <row r="1217" spans="1:9" hidden="1" x14ac:dyDescent="0.25">
      <c r="A1217" s="1" t="s">
        <v>127</v>
      </c>
      <c r="B1217" s="1" t="s">
        <v>149</v>
      </c>
      <c r="C1217" s="1" t="s">
        <v>3</v>
      </c>
      <c r="D1217" s="1">
        <v>0</v>
      </c>
      <c r="E1217" s="1">
        <v>0</v>
      </c>
      <c r="F1217" s="1">
        <v>0</v>
      </c>
      <c r="G1217" s="1">
        <v>0</v>
      </c>
      <c r="H1217" s="1">
        <v>0</v>
      </c>
      <c r="I1217" s="1">
        <v>0</v>
      </c>
    </row>
    <row r="1218" spans="1:9" hidden="1" x14ac:dyDescent="0.25">
      <c r="A1218" s="1" t="s">
        <v>9</v>
      </c>
      <c r="B1218" s="1" t="s">
        <v>149</v>
      </c>
      <c r="C1218" s="1" t="s">
        <v>143</v>
      </c>
      <c r="D1218" s="1">
        <v>0</v>
      </c>
      <c r="E1218" s="1">
        <v>0</v>
      </c>
      <c r="F1218" s="1">
        <v>0</v>
      </c>
      <c r="G1218" s="1">
        <v>0</v>
      </c>
      <c r="H1218" s="1">
        <v>0</v>
      </c>
      <c r="I1218" s="1">
        <v>0</v>
      </c>
    </row>
    <row r="1219" spans="1:9" hidden="1" x14ac:dyDescent="0.25">
      <c r="A1219" s="1" t="s">
        <v>9</v>
      </c>
      <c r="B1219" s="1" t="s">
        <v>149</v>
      </c>
      <c r="C1219" s="1" t="s">
        <v>3</v>
      </c>
      <c r="D1219" s="1">
        <v>0</v>
      </c>
      <c r="E1219" s="1">
        <v>0</v>
      </c>
      <c r="F1219" s="1">
        <v>0</v>
      </c>
      <c r="G1219" s="1">
        <v>0</v>
      </c>
      <c r="H1219" s="1">
        <v>0</v>
      </c>
      <c r="I1219" s="1">
        <v>0</v>
      </c>
    </row>
    <row r="1220" spans="1:9" hidden="1" x14ac:dyDescent="0.25">
      <c r="A1220" s="1" t="s">
        <v>10</v>
      </c>
      <c r="B1220" s="1" t="s">
        <v>149</v>
      </c>
      <c r="C1220" s="1" t="s">
        <v>143</v>
      </c>
      <c r="D1220" s="1">
        <v>0</v>
      </c>
      <c r="E1220" s="1">
        <v>0</v>
      </c>
      <c r="F1220" s="1">
        <v>0</v>
      </c>
      <c r="G1220" s="1">
        <v>0</v>
      </c>
      <c r="H1220" s="1">
        <v>0</v>
      </c>
      <c r="I1220" s="1">
        <v>0</v>
      </c>
    </row>
    <row r="1221" spans="1:9" hidden="1" x14ac:dyDescent="0.25">
      <c r="A1221" s="1" t="s">
        <v>10</v>
      </c>
      <c r="B1221" s="1" t="s">
        <v>149</v>
      </c>
      <c r="C1221" s="1" t="s">
        <v>3</v>
      </c>
      <c r="D1221" s="1">
        <v>0</v>
      </c>
      <c r="E1221" s="1">
        <v>0</v>
      </c>
      <c r="F1221" s="1">
        <v>0</v>
      </c>
      <c r="G1221" s="1">
        <v>0</v>
      </c>
      <c r="H1221" s="1">
        <v>0</v>
      </c>
      <c r="I1221" s="1">
        <v>0</v>
      </c>
    </row>
    <row r="1222" spans="1:9" hidden="1" x14ac:dyDescent="0.25">
      <c r="A1222" s="1" t="s">
        <v>125</v>
      </c>
      <c r="B1222" s="1" t="s">
        <v>150</v>
      </c>
      <c r="C1222" s="1" t="s">
        <v>143</v>
      </c>
      <c r="D1222" s="1">
        <v>0</v>
      </c>
      <c r="E1222" s="1">
        <v>0</v>
      </c>
      <c r="F1222" s="1">
        <v>0</v>
      </c>
      <c r="G1222" s="1">
        <v>0</v>
      </c>
      <c r="H1222" s="1">
        <v>0</v>
      </c>
      <c r="I1222" s="1">
        <v>0</v>
      </c>
    </row>
    <row r="1223" spans="1:9" hidden="1" x14ac:dyDescent="0.25">
      <c r="A1223" s="1" t="s">
        <v>125</v>
      </c>
      <c r="B1223" s="1" t="s">
        <v>150</v>
      </c>
      <c r="C1223" s="1" t="s">
        <v>3</v>
      </c>
      <c r="D1223" s="1">
        <v>0</v>
      </c>
      <c r="E1223" s="1">
        <v>0</v>
      </c>
      <c r="F1223" s="1">
        <v>0</v>
      </c>
      <c r="G1223" s="1">
        <v>0</v>
      </c>
      <c r="H1223" s="1">
        <v>0</v>
      </c>
      <c r="I1223" s="1">
        <v>0</v>
      </c>
    </row>
    <row r="1224" spans="1:9" hidden="1" x14ac:dyDescent="0.25">
      <c r="A1224" s="1" t="s">
        <v>126</v>
      </c>
      <c r="B1224" s="1" t="s">
        <v>150</v>
      </c>
      <c r="C1224" s="1" t="s">
        <v>143</v>
      </c>
      <c r="D1224" s="1">
        <v>0</v>
      </c>
      <c r="E1224" s="1">
        <v>0</v>
      </c>
      <c r="F1224" s="1">
        <v>0</v>
      </c>
      <c r="G1224" s="1">
        <v>0</v>
      </c>
      <c r="H1224" s="1">
        <v>0</v>
      </c>
      <c r="I1224" s="1">
        <v>0</v>
      </c>
    </row>
    <row r="1225" spans="1:9" hidden="1" x14ac:dyDescent="0.25">
      <c r="A1225" s="1" t="s">
        <v>126</v>
      </c>
      <c r="B1225" s="1" t="s">
        <v>150</v>
      </c>
      <c r="C1225" s="1" t="s">
        <v>3</v>
      </c>
      <c r="D1225" s="1">
        <v>0</v>
      </c>
      <c r="E1225" s="1">
        <v>0</v>
      </c>
      <c r="F1225" s="1">
        <v>0</v>
      </c>
      <c r="G1225" s="1">
        <v>0</v>
      </c>
      <c r="H1225" s="1">
        <v>0</v>
      </c>
      <c r="I1225" s="1">
        <v>0</v>
      </c>
    </row>
    <row r="1226" spans="1:9" hidden="1" x14ac:dyDescent="0.25">
      <c r="A1226" s="1" t="s">
        <v>127</v>
      </c>
      <c r="B1226" s="1" t="s">
        <v>150</v>
      </c>
      <c r="C1226" s="1" t="s">
        <v>143</v>
      </c>
      <c r="D1226" s="1">
        <v>0</v>
      </c>
      <c r="E1226" s="1">
        <v>0</v>
      </c>
      <c r="F1226" s="1">
        <v>0</v>
      </c>
      <c r="G1226" s="1">
        <v>0</v>
      </c>
      <c r="H1226" s="1">
        <v>0</v>
      </c>
      <c r="I1226" s="1">
        <v>0</v>
      </c>
    </row>
    <row r="1227" spans="1:9" hidden="1" x14ac:dyDescent="0.25">
      <c r="A1227" s="1" t="s">
        <v>127</v>
      </c>
      <c r="B1227" s="1" t="s">
        <v>150</v>
      </c>
      <c r="C1227" s="1" t="s">
        <v>3</v>
      </c>
      <c r="D1227" s="1">
        <v>0</v>
      </c>
      <c r="E1227" s="1">
        <v>0</v>
      </c>
      <c r="F1227" s="1">
        <v>0</v>
      </c>
      <c r="G1227" s="1">
        <v>0</v>
      </c>
      <c r="H1227" s="1">
        <v>0</v>
      </c>
      <c r="I1227" s="1">
        <v>0</v>
      </c>
    </row>
    <row r="1228" spans="1:9" hidden="1" x14ac:dyDescent="0.25">
      <c r="A1228" s="1" t="s">
        <v>9</v>
      </c>
      <c r="B1228" s="1" t="s">
        <v>150</v>
      </c>
      <c r="C1228" s="1" t="s">
        <v>143</v>
      </c>
      <c r="D1228" s="1">
        <v>0</v>
      </c>
      <c r="E1228" s="1">
        <v>0</v>
      </c>
      <c r="F1228" s="1">
        <v>0</v>
      </c>
      <c r="G1228" s="1">
        <v>0</v>
      </c>
      <c r="H1228" s="1">
        <v>0</v>
      </c>
      <c r="I1228" s="1">
        <v>0</v>
      </c>
    </row>
    <row r="1229" spans="1:9" hidden="1" x14ac:dyDescent="0.25">
      <c r="A1229" s="1" t="s">
        <v>9</v>
      </c>
      <c r="B1229" s="1" t="s">
        <v>150</v>
      </c>
      <c r="C1229" s="1" t="s">
        <v>3</v>
      </c>
      <c r="D1229" s="1">
        <v>0</v>
      </c>
      <c r="E1229" s="1">
        <v>0</v>
      </c>
      <c r="F1229" s="1">
        <v>0</v>
      </c>
      <c r="G1229" s="1">
        <v>0</v>
      </c>
      <c r="H1229" s="1">
        <v>0</v>
      </c>
      <c r="I1229" s="1">
        <v>0</v>
      </c>
    </row>
    <row r="1230" spans="1:9" hidden="1" x14ac:dyDescent="0.25">
      <c r="A1230" s="1" t="s">
        <v>10</v>
      </c>
      <c r="B1230" s="1" t="s">
        <v>150</v>
      </c>
      <c r="C1230" s="1" t="s">
        <v>143</v>
      </c>
      <c r="D1230" s="1">
        <v>0</v>
      </c>
      <c r="E1230" s="1">
        <v>0</v>
      </c>
      <c r="F1230" s="1">
        <v>0</v>
      </c>
      <c r="G1230" s="1">
        <v>0</v>
      </c>
      <c r="H1230" s="1">
        <v>0</v>
      </c>
      <c r="I1230" s="1">
        <v>0</v>
      </c>
    </row>
    <row r="1231" spans="1:9" hidden="1" x14ac:dyDescent="0.25">
      <c r="A1231" s="1" t="s">
        <v>10</v>
      </c>
      <c r="B1231" s="1" t="s">
        <v>150</v>
      </c>
      <c r="C1231" s="1" t="s">
        <v>3</v>
      </c>
      <c r="D1231" s="1">
        <v>0</v>
      </c>
      <c r="E1231" s="1">
        <v>0</v>
      </c>
      <c r="F1231" s="1">
        <v>0</v>
      </c>
      <c r="G1231" s="1">
        <v>0</v>
      </c>
      <c r="H1231" s="1">
        <v>0</v>
      </c>
      <c r="I1231" s="1">
        <v>0</v>
      </c>
    </row>
    <row r="1232" spans="1:9" hidden="1" x14ac:dyDescent="0.25">
      <c r="A1232" s="1" t="s">
        <v>125</v>
      </c>
      <c r="B1232" s="1" t="s">
        <v>145</v>
      </c>
      <c r="C1232" s="1" t="s">
        <v>143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125</v>
      </c>
      <c r="B1233" s="1" t="s">
        <v>145</v>
      </c>
      <c r="C1233" s="1" t="s">
        <v>3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126</v>
      </c>
      <c r="B1234" s="1" t="s">
        <v>145</v>
      </c>
      <c r="C1234" s="1" t="s">
        <v>143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126</v>
      </c>
      <c r="B1235" s="1" t="s">
        <v>145</v>
      </c>
      <c r="C1235" s="1" t="s">
        <v>3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127</v>
      </c>
      <c r="B1236" s="1" t="s">
        <v>145</v>
      </c>
      <c r="C1236" s="1" t="s">
        <v>143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127</v>
      </c>
      <c r="B1237" s="1" t="s">
        <v>145</v>
      </c>
      <c r="C1237" s="1" t="s">
        <v>3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9</v>
      </c>
      <c r="B1238" s="1" t="s">
        <v>145</v>
      </c>
      <c r="C1238" s="1" t="s">
        <v>143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9</v>
      </c>
      <c r="B1239" s="1" t="s">
        <v>145</v>
      </c>
      <c r="C1239" s="1" t="s">
        <v>3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10</v>
      </c>
      <c r="B1240" s="1" t="s">
        <v>145</v>
      </c>
      <c r="C1240" s="1" t="s">
        <v>143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10</v>
      </c>
      <c r="B1241" s="1" t="s">
        <v>145</v>
      </c>
      <c r="C1241" s="1" t="s">
        <v>3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125</v>
      </c>
      <c r="B1242" s="1" t="s">
        <v>146</v>
      </c>
      <c r="C1242" s="1" t="s">
        <v>143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125</v>
      </c>
      <c r="B1243" s="1" t="s">
        <v>146</v>
      </c>
      <c r="C1243" s="1" t="s">
        <v>3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126</v>
      </c>
      <c r="B1244" s="1" t="s">
        <v>146</v>
      </c>
      <c r="C1244" s="1" t="s">
        <v>143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126</v>
      </c>
      <c r="B1245" s="1" t="s">
        <v>146</v>
      </c>
      <c r="C1245" s="1" t="s">
        <v>3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127</v>
      </c>
      <c r="B1246" s="1" t="s">
        <v>146</v>
      </c>
      <c r="C1246" s="1" t="s">
        <v>143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127</v>
      </c>
      <c r="B1247" s="1" t="s">
        <v>146</v>
      </c>
      <c r="C1247" s="1" t="s">
        <v>3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9</v>
      </c>
      <c r="B1248" s="1" t="s">
        <v>146</v>
      </c>
      <c r="C1248" s="1" t="s">
        <v>143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9</v>
      </c>
      <c r="B1249" s="1" t="s">
        <v>146</v>
      </c>
      <c r="C1249" s="1" t="s">
        <v>3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10</v>
      </c>
      <c r="B1250" s="1" t="s">
        <v>146</v>
      </c>
      <c r="C1250" s="1" t="s">
        <v>143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10</v>
      </c>
      <c r="B1251" s="1" t="s">
        <v>146</v>
      </c>
      <c r="C1251" s="1" t="s">
        <v>3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</sheetData>
  <autoFilter ref="A1:I1251" xr:uid="{9239E310-E620-485C-931D-59CA0965B663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sortState xmlns:xlrd2="http://schemas.microsoft.com/office/spreadsheetml/2017/richdata2" ref="A2:I1253">
    <sortCondition ref="B2"/>
  </sortState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 filterMode="1"/>
  <dimension ref="A1:H17"/>
  <sheetViews>
    <sheetView workbookViewId="0">
      <selection sqref="A1:XFD1048576"/>
    </sheetView>
  </sheetViews>
  <sheetFormatPr defaultRowHeight="16.5" x14ac:dyDescent="0.25"/>
  <cols>
    <col min="1" max="16384" width="9" style="1"/>
  </cols>
  <sheetData>
    <row r="1" spans="1:8" x14ac:dyDescent="0.25">
      <c r="A1" s="1" t="s">
        <v>0</v>
      </c>
      <c r="B1" s="1" t="s">
        <v>131</v>
      </c>
      <c r="C1" s="1" t="s">
        <v>132</v>
      </c>
      <c r="D1" s="1" t="s">
        <v>133</v>
      </c>
      <c r="E1" s="1" t="s">
        <v>11</v>
      </c>
      <c r="F1" s="1" t="s">
        <v>134</v>
      </c>
      <c r="G1" s="1" t="s">
        <v>135</v>
      </c>
      <c r="H1" s="1" t="s">
        <v>136</v>
      </c>
    </row>
    <row r="2" spans="1:8" hidden="1" x14ac:dyDescent="0.25">
      <c r="A2" s="1" t="s">
        <v>125</v>
      </c>
      <c r="B2" s="1" t="s">
        <v>137</v>
      </c>
      <c r="C2" s="1" t="s">
        <v>138</v>
      </c>
      <c r="D2" s="1">
        <v>23.353000000000002</v>
      </c>
      <c r="E2" s="1">
        <v>144</v>
      </c>
      <c r="F2" s="1">
        <v>0.16220000000000001</v>
      </c>
      <c r="G2" s="1">
        <v>9</v>
      </c>
    </row>
    <row r="3" spans="1:8" hidden="1" x14ac:dyDescent="0.25">
      <c r="A3" s="1" t="s">
        <v>125</v>
      </c>
      <c r="B3" s="1" t="s">
        <v>139</v>
      </c>
      <c r="C3" s="1" t="s">
        <v>138</v>
      </c>
      <c r="D3" s="1">
        <v>54.491</v>
      </c>
      <c r="E3" s="1">
        <v>144</v>
      </c>
      <c r="F3" s="1">
        <v>0.37840000000000001</v>
      </c>
      <c r="G3" s="1">
        <v>12</v>
      </c>
      <c r="H3" s="1">
        <v>0</v>
      </c>
    </row>
    <row r="4" spans="1:8" x14ac:dyDescent="0.25">
      <c r="A4" s="1" t="s">
        <v>125</v>
      </c>
      <c r="B4" s="1" t="s">
        <v>140</v>
      </c>
      <c r="C4" s="1" t="s">
        <v>138</v>
      </c>
      <c r="D4" s="1">
        <v>83.034000000000006</v>
      </c>
      <c r="E4" s="1">
        <v>144</v>
      </c>
      <c r="F4" s="1">
        <v>0.5766</v>
      </c>
    </row>
    <row r="5" spans="1:8" hidden="1" x14ac:dyDescent="0.25">
      <c r="A5" s="1" t="s">
        <v>126</v>
      </c>
      <c r="B5" s="1" t="s">
        <v>137</v>
      </c>
      <c r="C5" s="1" t="s">
        <v>138</v>
      </c>
      <c r="D5" s="1">
        <v>23.353000000000002</v>
      </c>
      <c r="E5" s="1">
        <v>144</v>
      </c>
      <c r="F5" s="1">
        <v>0.16220000000000001</v>
      </c>
      <c r="G5" s="1">
        <v>9</v>
      </c>
    </row>
    <row r="6" spans="1:8" hidden="1" x14ac:dyDescent="0.25">
      <c r="A6" s="1" t="s">
        <v>126</v>
      </c>
      <c r="B6" s="1" t="s">
        <v>139</v>
      </c>
      <c r="C6" s="1" t="s">
        <v>138</v>
      </c>
      <c r="D6" s="1">
        <v>54.491</v>
      </c>
      <c r="E6" s="1">
        <v>144</v>
      </c>
      <c r="F6" s="1">
        <v>0.37840000000000001</v>
      </c>
      <c r="G6" s="1">
        <v>12</v>
      </c>
      <c r="H6" s="1">
        <v>0</v>
      </c>
    </row>
    <row r="7" spans="1:8" x14ac:dyDescent="0.25">
      <c r="A7" s="1" t="s">
        <v>126</v>
      </c>
      <c r="B7" s="1" t="s">
        <v>140</v>
      </c>
      <c r="C7" s="1" t="s">
        <v>138</v>
      </c>
      <c r="D7" s="1">
        <v>83.034000000000006</v>
      </c>
      <c r="E7" s="1">
        <v>144</v>
      </c>
      <c r="F7" s="1">
        <v>0.5766</v>
      </c>
    </row>
    <row r="8" spans="1:8" hidden="1" x14ac:dyDescent="0.25">
      <c r="A8" s="1" t="s">
        <v>127</v>
      </c>
      <c r="B8" s="1" t="s">
        <v>137</v>
      </c>
      <c r="C8" s="1" t="s">
        <v>138</v>
      </c>
      <c r="D8" s="1">
        <v>23.353000000000002</v>
      </c>
      <c r="E8" s="1">
        <v>144</v>
      </c>
      <c r="F8" s="1">
        <v>0.16220000000000001</v>
      </c>
      <c r="G8" s="1">
        <v>9</v>
      </c>
    </row>
    <row r="9" spans="1:8" hidden="1" x14ac:dyDescent="0.25">
      <c r="A9" s="1" t="s">
        <v>127</v>
      </c>
      <c r="B9" s="1" t="s">
        <v>139</v>
      </c>
      <c r="C9" s="1" t="s">
        <v>138</v>
      </c>
      <c r="D9" s="1">
        <v>54.491</v>
      </c>
      <c r="E9" s="1">
        <v>144</v>
      </c>
      <c r="F9" s="1">
        <v>0.37840000000000001</v>
      </c>
      <c r="G9" s="1">
        <v>12</v>
      </c>
      <c r="H9" s="1">
        <v>0</v>
      </c>
    </row>
    <row r="10" spans="1:8" x14ac:dyDescent="0.25">
      <c r="A10" s="1" t="s">
        <v>127</v>
      </c>
      <c r="B10" s="1" t="s">
        <v>140</v>
      </c>
      <c r="C10" s="1" t="s">
        <v>138</v>
      </c>
      <c r="D10" s="1">
        <v>83.034000000000006</v>
      </c>
      <c r="E10" s="1">
        <v>144</v>
      </c>
      <c r="F10" s="1">
        <v>0.5766</v>
      </c>
    </row>
    <row r="11" spans="1:8" hidden="1" x14ac:dyDescent="0.25">
      <c r="A11" s="1" t="s">
        <v>9</v>
      </c>
      <c r="B11" s="1" t="s">
        <v>137</v>
      </c>
      <c r="C11" s="1" t="s">
        <v>138</v>
      </c>
      <c r="D11" s="1">
        <v>23.353000000000002</v>
      </c>
      <c r="E11" s="1">
        <v>144</v>
      </c>
      <c r="F11" s="1">
        <v>0.16220000000000001</v>
      </c>
      <c r="G11" s="1">
        <v>9</v>
      </c>
    </row>
    <row r="12" spans="1:8" hidden="1" x14ac:dyDescent="0.25">
      <c r="A12" s="1" t="s">
        <v>9</v>
      </c>
      <c r="B12" s="1" t="s">
        <v>139</v>
      </c>
      <c r="C12" s="1" t="s">
        <v>138</v>
      </c>
      <c r="D12" s="1">
        <v>54.491</v>
      </c>
      <c r="E12" s="1">
        <v>144</v>
      </c>
      <c r="F12" s="1">
        <v>0.37840000000000001</v>
      </c>
      <c r="G12" s="1">
        <v>12</v>
      </c>
      <c r="H12" s="1">
        <v>0</v>
      </c>
    </row>
    <row r="13" spans="1:8" x14ac:dyDescent="0.25">
      <c r="A13" s="1" t="s">
        <v>9</v>
      </c>
      <c r="B13" s="1" t="s">
        <v>140</v>
      </c>
      <c r="C13" s="1" t="s">
        <v>138</v>
      </c>
      <c r="D13" s="1">
        <v>83.034000000000006</v>
      </c>
      <c r="E13" s="1">
        <v>144</v>
      </c>
      <c r="F13" s="1">
        <v>0.5766</v>
      </c>
    </row>
    <row r="14" spans="1:8" hidden="1" x14ac:dyDescent="0.25">
      <c r="A14" s="1" t="s">
        <v>141</v>
      </c>
      <c r="B14" s="1" t="s">
        <v>137</v>
      </c>
      <c r="C14" s="1" t="s">
        <v>138</v>
      </c>
      <c r="D14" s="1">
        <v>93.412999999999997</v>
      </c>
      <c r="E14" s="1">
        <v>576</v>
      </c>
      <c r="F14" s="1">
        <v>0.16220000000000001</v>
      </c>
      <c r="G14" s="1">
        <v>36</v>
      </c>
    </row>
    <row r="15" spans="1:8" hidden="1" x14ac:dyDescent="0.25">
      <c r="A15" s="1" t="s">
        <v>141</v>
      </c>
      <c r="B15" s="1" t="s">
        <v>139</v>
      </c>
      <c r="C15" s="1" t="s">
        <v>138</v>
      </c>
      <c r="D15" s="1">
        <v>217.964</v>
      </c>
      <c r="E15" s="1">
        <v>576</v>
      </c>
      <c r="F15" s="1">
        <v>0.37840000000000001</v>
      </c>
      <c r="G15" s="1">
        <v>48</v>
      </c>
      <c r="H15" s="1">
        <v>0</v>
      </c>
    </row>
    <row r="16" spans="1:8" x14ac:dyDescent="0.25">
      <c r="A16" s="1" t="s">
        <v>141</v>
      </c>
      <c r="B16" s="1" t="s">
        <v>140</v>
      </c>
      <c r="C16" s="1" t="s">
        <v>138</v>
      </c>
      <c r="D16" s="1">
        <v>332.13499999999999</v>
      </c>
      <c r="E16" s="1">
        <v>576</v>
      </c>
      <c r="F16" s="1">
        <v>0.5766</v>
      </c>
    </row>
    <row r="17" spans="1:8" hidden="1" x14ac:dyDescent="0.25">
      <c r="A17" s="1" t="s">
        <v>142</v>
      </c>
      <c r="B17" s="1" t="s">
        <v>128</v>
      </c>
      <c r="C17" s="1" t="s">
        <v>128</v>
      </c>
      <c r="D17" s="1">
        <v>643.51199999999994</v>
      </c>
      <c r="E17" s="1">
        <v>576</v>
      </c>
      <c r="F17" s="1">
        <v>1.1172</v>
      </c>
      <c r="G17" s="1">
        <v>84</v>
      </c>
      <c r="H17" s="1">
        <v>0</v>
      </c>
    </row>
  </sheetData>
  <autoFilter ref="A1:H17" xr:uid="{834BF231-4BF4-4BAF-8441-2DA79C0E0495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sheetPr filterMode="1"/>
  <dimension ref="A1:K16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116</v>
      </c>
      <c r="C1" s="1" t="s">
        <v>17</v>
      </c>
      <c r="D1" s="1" t="s">
        <v>117</v>
      </c>
      <c r="E1" s="1" t="s">
        <v>118</v>
      </c>
      <c r="F1" s="1" t="s">
        <v>119</v>
      </c>
      <c r="G1" s="1" t="s">
        <v>120</v>
      </c>
      <c r="H1" s="1" t="s">
        <v>121</v>
      </c>
      <c r="I1" s="1" t="s">
        <v>122</v>
      </c>
      <c r="J1" s="1" t="s">
        <v>123</v>
      </c>
      <c r="K1" s="1" t="s">
        <v>124</v>
      </c>
    </row>
    <row r="2" spans="1:11" x14ac:dyDescent="0.25">
      <c r="A2" s="1" t="s">
        <v>125</v>
      </c>
      <c r="B2" s="1" t="s">
        <v>128</v>
      </c>
      <c r="C2" s="1">
        <v>23.290467</v>
      </c>
      <c r="D2" s="1">
        <v>23.290467</v>
      </c>
      <c r="E2" s="1">
        <v>0</v>
      </c>
      <c r="F2" s="1">
        <v>0</v>
      </c>
      <c r="G2" s="1">
        <v>0</v>
      </c>
      <c r="H2" s="1">
        <v>938.94630800000004</v>
      </c>
    </row>
    <row r="3" spans="1:11" x14ac:dyDescent="0.25">
      <c r="A3" s="1" t="s">
        <v>126</v>
      </c>
      <c r="B3" s="1" t="s">
        <v>128</v>
      </c>
      <c r="C3" s="1">
        <v>24.481152000000002</v>
      </c>
      <c r="D3" s="1">
        <v>24.481152000000002</v>
      </c>
      <c r="E3" s="1">
        <v>0</v>
      </c>
      <c r="F3" s="1">
        <v>0</v>
      </c>
      <c r="G3" s="1">
        <v>0</v>
      </c>
      <c r="H3" s="1">
        <v>996.09921099999997</v>
      </c>
    </row>
    <row r="4" spans="1:11" x14ac:dyDescent="0.25">
      <c r="A4" s="1" t="s">
        <v>127</v>
      </c>
      <c r="B4" s="1" t="s">
        <v>128</v>
      </c>
      <c r="C4" s="1">
        <v>24.481152000000002</v>
      </c>
      <c r="D4" s="1">
        <v>24.481152000000002</v>
      </c>
      <c r="E4" s="1">
        <v>0</v>
      </c>
      <c r="F4" s="1">
        <v>0</v>
      </c>
      <c r="G4" s="1">
        <v>0</v>
      </c>
      <c r="H4" s="1">
        <v>996.09921099999997</v>
      </c>
    </row>
    <row r="5" spans="1:11" x14ac:dyDescent="0.25">
      <c r="A5" s="1" t="s">
        <v>9</v>
      </c>
      <c r="B5" s="1" t="s">
        <v>128</v>
      </c>
      <c r="C5" s="1">
        <v>24.481152000000002</v>
      </c>
      <c r="D5" s="1">
        <v>24.481152000000002</v>
      </c>
      <c r="E5" s="1">
        <v>0</v>
      </c>
      <c r="F5" s="1">
        <v>0</v>
      </c>
      <c r="G5" s="1">
        <v>0</v>
      </c>
      <c r="H5" s="1">
        <v>996.09921099999997</v>
      </c>
    </row>
    <row r="6" spans="1:11" x14ac:dyDescent="0.25">
      <c r="A6" s="1" t="s">
        <v>10</v>
      </c>
      <c r="B6" s="1" t="s">
        <v>128</v>
      </c>
      <c r="C6" s="1">
        <v>1.190685</v>
      </c>
      <c r="D6" s="1">
        <v>1.190685</v>
      </c>
      <c r="E6" s="1">
        <v>0</v>
      </c>
      <c r="F6" s="1">
        <v>0</v>
      </c>
      <c r="G6" s="1">
        <v>0</v>
      </c>
      <c r="H6" s="1">
        <v>57.152903000000002</v>
      </c>
    </row>
    <row r="7" spans="1:11" x14ac:dyDescent="0.25">
      <c r="A7" s="1" t="s">
        <v>129</v>
      </c>
      <c r="B7" s="1" t="s">
        <v>128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</row>
    <row r="8" spans="1:11" x14ac:dyDescent="0.25">
      <c r="A8" s="1" t="s">
        <v>130</v>
      </c>
      <c r="B8" s="1" t="s">
        <v>128</v>
      </c>
      <c r="C8" s="1">
        <v>97.924609000000004</v>
      </c>
      <c r="D8" s="1">
        <v>97.924609000000004</v>
      </c>
      <c r="E8" s="1">
        <v>0</v>
      </c>
      <c r="F8" s="1">
        <v>0</v>
      </c>
      <c r="G8" s="1">
        <v>0</v>
      </c>
      <c r="H8" s="1">
        <v>3984.3968450000002</v>
      </c>
    </row>
    <row r="9" spans="1:11" hidden="1" x14ac:dyDescent="0.25">
      <c r="A9" s="1" t="s">
        <v>10</v>
      </c>
      <c r="B9" s="1">
        <v>22</v>
      </c>
      <c r="C9" s="1">
        <v>1.190685</v>
      </c>
      <c r="D9" s="1">
        <v>1.190685</v>
      </c>
      <c r="E9" s="1">
        <v>0</v>
      </c>
      <c r="F9" s="1">
        <v>0</v>
      </c>
      <c r="G9" s="1">
        <v>0</v>
      </c>
      <c r="H9" s="1">
        <v>57.152903000000002</v>
      </c>
      <c r="I9" s="1">
        <v>6</v>
      </c>
      <c r="J9" s="1">
        <v>6</v>
      </c>
      <c r="K9" s="1">
        <v>3</v>
      </c>
    </row>
    <row r="10" spans="1:11" hidden="1" x14ac:dyDescent="0.25">
      <c r="A10" s="1" t="s">
        <v>9</v>
      </c>
      <c r="B10" s="1">
        <v>21</v>
      </c>
      <c r="C10" s="1">
        <v>24.481152000000002</v>
      </c>
      <c r="D10" s="1">
        <v>24.481152000000002</v>
      </c>
      <c r="E10" s="1">
        <v>0</v>
      </c>
      <c r="F10" s="1">
        <v>0</v>
      </c>
      <c r="G10" s="1">
        <v>0</v>
      </c>
      <c r="H10" s="1">
        <v>996.09921099999997</v>
      </c>
      <c r="I10" s="1">
        <v>6</v>
      </c>
      <c r="J10" s="1">
        <v>6</v>
      </c>
      <c r="K10" s="1">
        <v>6</v>
      </c>
    </row>
    <row r="11" spans="1:11" hidden="1" x14ac:dyDescent="0.25">
      <c r="A11" s="1" t="s">
        <v>127</v>
      </c>
      <c r="B11" s="1">
        <v>20</v>
      </c>
      <c r="C11" s="1">
        <v>24.481152000000002</v>
      </c>
      <c r="D11" s="1">
        <v>24.481152000000002</v>
      </c>
      <c r="E11" s="1">
        <v>0</v>
      </c>
      <c r="F11" s="1">
        <v>0</v>
      </c>
      <c r="G11" s="1">
        <v>0</v>
      </c>
      <c r="H11" s="1">
        <v>996.09921099999997</v>
      </c>
      <c r="I11" s="1">
        <v>6</v>
      </c>
      <c r="J11" s="1">
        <v>6</v>
      </c>
      <c r="K11" s="1">
        <v>9</v>
      </c>
    </row>
    <row r="12" spans="1:11" hidden="1" x14ac:dyDescent="0.25">
      <c r="A12" s="1" t="s">
        <v>126</v>
      </c>
      <c r="B12" s="1">
        <v>19</v>
      </c>
      <c r="C12" s="1">
        <v>24.481152000000002</v>
      </c>
      <c r="D12" s="1">
        <v>24.481152000000002</v>
      </c>
      <c r="E12" s="1">
        <v>0</v>
      </c>
      <c r="F12" s="1">
        <v>0</v>
      </c>
      <c r="G12" s="1">
        <v>0</v>
      </c>
      <c r="H12" s="1">
        <v>996.09921099999997</v>
      </c>
      <c r="I12" s="1">
        <v>6</v>
      </c>
      <c r="J12" s="1">
        <v>6</v>
      </c>
      <c r="K12" s="1">
        <v>12</v>
      </c>
    </row>
    <row r="13" spans="1:11" hidden="1" x14ac:dyDescent="0.25">
      <c r="A13" s="1" t="s">
        <v>125</v>
      </c>
      <c r="B13" s="1">
        <v>18</v>
      </c>
      <c r="C13" s="1">
        <v>23.290467</v>
      </c>
      <c r="D13" s="1">
        <v>23.290467</v>
      </c>
      <c r="E13" s="1">
        <v>0</v>
      </c>
      <c r="F13" s="1">
        <v>0</v>
      </c>
      <c r="G13" s="1">
        <v>0</v>
      </c>
      <c r="H13" s="1">
        <v>938.94630800000004</v>
      </c>
      <c r="I13" s="1">
        <v>6</v>
      </c>
      <c r="J13" s="1">
        <v>6</v>
      </c>
      <c r="K13" s="1">
        <v>15</v>
      </c>
    </row>
    <row r="14" spans="1:11" hidden="1" x14ac:dyDescent="0.25"/>
    <row r="15" spans="1:11" hidden="1" x14ac:dyDescent="0.25"/>
    <row r="16" spans="1:11" hidden="1" x14ac:dyDescent="0.25"/>
  </sheetData>
  <autoFilter ref="A1:K16" xr:uid="{09DF6FA9-70EC-48AD-BB4A-453402195336}">
    <filterColumn colId="1">
      <filters>
        <filter val="All"/>
      </filters>
    </filterColumn>
  </autoFilter>
  <sortState xmlns:xlrd2="http://schemas.microsoft.com/office/spreadsheetml/2017/richdata2" ref="A2:K15">
    <sortCondition descending="1" ref="B2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skyran1278@gmail.com</cp:lastModifiedBy>
  <dcterms:created xsi:type="dcterms:W3CDTF">2016-06-27T02:49:03Z</dcterms:created>
  <dcterms:modified xsi:type="dcterms:W3CDTF">2021-02-05T02:22:09Z</dcterms:modified>
</cp:coreProperties>
</file>